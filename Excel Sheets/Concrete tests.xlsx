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oncrete Orders" sheetId="2" r:id="rId6"/>
    <sheet state="visible" name="صفحة الفرز" sheetId="3" r:id="rId7"/>
    <sheet state="visible" name="ملخص الفرز" sheetId="4" r:id="rId8"/>
    <sheet state="visible" name="كطعات" sheetId="5" r:id="rId9"/>
    <sheet state="visible" name="DROPDOWN" sheetId="6" r:id="rId10"/>
  </sheets>
  <definedNames>
    <definedName hidden="1" localSheetId="1" name="_xlnm._FilterDatabase">'Concrete Orders'!$C$3:$R$391</definedName>
  </definedNames>
  <calcPr/>
</workbook>
</file>

<file path=xl/sharedStrings.xml><?xml version="1.0" encoding="utf-8"?>
<sst xmlns="http://schemas.openxmlformats.org/spreadsheetml/2006/main" count="3255" uniqueCount="358">
  <si>
    <t xml:space="preserve"> </t>
  </si>
  <si>
    <t>m</t>
  </si>
  <si>
    <t>Total</t>
  </si>
  <si>
    <t>المتبقي</t>
  </si>
  <si>
    <t>NO.</t>
  </si>
  <si>
    <t>اسم القناة المغذية</t>
  </si>
  <si>
    <t>متر طول المنفذ</t>
  </si>
  <si>
    <t>التصميمي</t>
  </si>
  <si>
    <t>DC34</t>
  </si>
  <si>
    <t>DC35</t>
  </si>
  <si>
    <t>DC36</t>
  </si>
  <si>
    <t>DC38</t>
  </si>
  <si>
    <t>DC39</t>
  </si>
  <si>
    <t>Dc40</t>
  </si>
  <si>
    <t>BRG9</t>
  </si>
  <si>
    <t>BRG10</t>
  </si>
  <si>
    <t>BRG11</t>
  </si>
  <si>
    <t>Brg 12</t>
  </si>
  <si>
    <t>القناة الموزعة</t>
  </si>
  <si>
    <t>المقطع</t>
  </si>
  <si>
    <t>طول التبطين</t>
  </si>
  <si>
    <t>المحيط</t>
  </si>
  <si>
    <t>المساحه M²</t>
  </si>
  <si>
    <t>0-670</t>
  </si>
  <si>
    <t>690-1750</t>
  </si>
  <si>
    <t>0-840</t>
  </si>
  <si>
    <t>840-END</t>
  </si>
  <si>
    <t>القناة الفرعية</t>
  </si>
  <si>
    <t>1100-2500</t>
  </si>
  <si>
    <t>2500-3900</t>
  </si>
  <si>
    <t>BRG 12</t>
  </si>
  <si>
    <t>حساب الكمية لتاريخ</t>
  </si>
  <si>
    <t>مجموع الطول</t>
  </si>
  <si>
    <t>الفاشل</t>
  </si>
  <si>
    <t>رقم السلفة</t>
  </si>
  <si>
    <t>التسلسل</t>
  </si>
  <si>
    <t>تاريخ الصب</t>
  </si>
  <si>
    <t>بعد 7 ايام</t>
  </si>
  <si>
    <t>بعد 28 يوم</t>
  </si>
  <si>
    <t>التفاصيل</t>
  </si>
  <si>
    <t>Panels</t>
  </si>
  <si>
    <t>عدد</t>
  </si>
  <si>
    <t>Betweens</t>
  </si>
  <si>
    <t>رقم الاوردر</t>
  </si>
  <si>
    <t>الكدس</t>
  </si>
  <si>
    <t>الكمية</t>
  </si>
  <si>
    <t>من</t>
  </si>
  <si>
    <t xml:space="preserve">الى </t>
  </si>
  <si>
    <t>Y</t>
  </si>
  <si>
    <t>2</t>
  </si>
  <si>
    <t>1 to 6</t>
  </si>
  <si>
    <t>D34-1L</t>
  </si>
  <si>
    <t>73 TO 78</t>
  </si>
  <si>
    <t>D36-1L</t>
  </si>
  <si>
    <t>91-96</t>
  </si>
  <si>
    <t>D36-2L</t>
  </si>
  <si>
    <t>109-114</t>
  </si>
  <si>
    <t>115-120</t>
  </si>
  <si>
    <t>127-132</t>
  </si>
  <si>
    <t>133-138</t>
  </si>
  <si>
    <t>151-156</t>
  </si>
  <si>
    <t>157-162</t>
  </si>
  <si>
    <t>169-174</t>
  </si>
  <si>
    <t>187-192</t>
  </si>
  <si>
    <t>D34-2L</t>
  </si>
  <si>
    <t>205-210</t>
  </si>
  <si>
    <t>217-222</t>
  </si>
  <si>
    <t>229-234</t>
  </si>
  <si>
    <t>D34-2R</t>
  </si>
  <si>
    <t>241-246</t>
  </si>
  <si>
    <t>253-258</t>
  </si>
  <si>
    <t>D34-1R</t>
  </si>
  <si>
    <t>265-270</t>
  </si>
  <si>
    <t>277-282</t>
  </si>
  <si>
    <t>283-288</t>
  </si>
  <si>
    <t>289-294</t>
  </si>
  <si>
    <t>D34-3R</t>
  </si>
  <si>
    <t>295-300</t>
  </si>
  <si>
    <t>307 to 312</t>
  </si>
  <si>
    <t>319-324</t>
  </si>
  <si>
    <t>D34-3L</t>
  </si>
  <si>
    <t>331 to 336</t>
  </si>
  <si>
    <t>343 to 348</t>
  </si>
  <si>
    <t>D34-4R</t>
  </si>
  <si>
    <t>3</t>
  </si>
  <si>
    <t>غير ماشي في سلفة رقم ٢</t>
  </si>
  <si>
    <t>D37-2R</t>
  </si>
  <si>
    <t>361 to 366</t>
  </si>
  <si>
    <t>D37-2L</t>
  </si>
  <si>
    <t>D34-4L</t>
  </si>
  <si>
    <t>397-402</t>
  </si>
  <si>
    <t>D37-1L</t>
  </si>
  <si>
    <t>409-414</t>
  </si>
  <si>
    <t>D38-1L</t>
  </si>
  <si>
    <t>427-432</t>
  </si>
  <si>
    <t>D37-1R</t>
  </si>
  <si>
    <t>D38-3L</t>
  </si>
  <si>
    <t>DC40</t>
  </si>
  <si>
    <t>D40-2L-1</t>
  </si>
  <si>
    <t>BRG12</t>
  </si>
  <si>
    <t>4</t>
  </si>
  <si>
    <t>D38-2L</t>
  </si>
  <si>
    <t>D40-4L-1</t>
  </si>
  <si>
    <t>S15,G15</t>
  </si>
  <si>
    <t>32.314M3</t>
  </si>
  <si>
    <t>S15,G16</t>
  </si>
  <si>
    <t>13.49M3</t>
  </si>
  <si>
    <t>45M3</t>
  </si>
  <si>
    <t>S16,G17</t>
  </si>
  <si>
    <t>ملغي</t>
  </si>
  <si>
    <t>D35-3R</t>
  </si>
  <si>
    <t>D35-2R</t>
  </si>
  <si>
    <t>S15,G17</t>
  </si>
  <si>
    <t>41.25M3</t>
  </si>
  <si>
    <t>D41-5L</t>
  </si>
  <si>
    <t>24.162M3</t>
  </si>
  <si>
    <t>46.25M3</t>
  </si>
  <si>
    <t>S17,G18</t>
  </si>
  <si>
    <t>18.32M3</t>
  </si>
  <si>
    <t>S18,G19</t>
  </si>
  <si>
    <t>50M3</t>
  </si>
  <si>
    <t>هنا القطع</t>
  </si>
  <si>
    <t>S21,G22</t>
  </si>
  <si>
    <t>S22,G23</t>
  </si>
  <si>
    <t>S23,G24</t>
  </si>
  <si>
    <t>5</t>
  </si>
  <si>
    <t>D33-1L</t>
  </si>
  <si>
    <t>D41-4R</t>
  </si>
  <si>
    <t>D41-4L</t>
  </si>
  <si>
    <t>D41-5R</t>
  </si>
  <si>
    <t>N</t>
  </si>
  <si>
    <t>D35-1R</t>
  </si>
  <si>
    <t>208-209</t>
  </si>
  <si>
    <t>6</t>
  </si>
  <si>
    <t>739-744</t>
  </si>
  <si>
    <t>D41-3R</t>
  </si>
  <si>
    <t>805-810</t>
  </si>
  <si>
    <t>D33-2L</t>
  </si>
  <si>
    <t>817-822</t>
  </si>
  <si>
    <t>835-840</t>
  </si>
  <si>
    <t>D40-1L</t>
  </si>
  <si>
    <t>D41-3L</t>
  </si>
  <si>
    <t>D41-1L</t>
  </si>
  <si>
    <t>925-930</t>
  </si>
  <si>
    <t>D40-2R</t>
  </si>
  <si>
    <t>D40-2L</t>
  </si>
  <si>
    <t>967-972</t>
  </si>
  <si>
    <t>961-966</t>
  </si>
  <si>
    <t>D33-3L</t>
  </si>
  <si>
    <t>973-978</t>
  </si>
  <si>
    <t>979-984</t>
  </si>
  <si>
    <t>985-990</t>
  </si>
  <si>
    <t>991-996</t>
  </si>
  <si>
    <t>1009-1014</t>
  </si>
  <si>
    <t>D33-4L</t>
  </si>
  <si>
    <t>1003-1008</t>
  </si>
  <si>
    <t>D40-3L</t>
  </si>
  <si>
    <t>D40-3R</t>
  </si>
  <si>
    <t>997-1002</t>
  </si>
  <si>
    <t>1027-1032</t>
  </si>
  <si>
    <t>1021-1026</t>
  </si>
  <si>
    <t>1033-1038</t>
  </si>
  <si>
    <t>1039-1044</t>
  </si>
  <si>
    <t>1045-1050</t>
  </si>
  <si>
    <t>1057-1062</t>
  </si>
  <si>
    <t>D41-2L</t>
  </si>
  <si>
    <t>1051-1056</t>
  </si>
  <si>
    <t>1063-1068</t>
  </si>
  <si>
    <t>1069-1074</t>
  </si>
  <si>
    <t>1075-1080</t>
  </si>
  <si>
    <t>1081-1086</t>
  </si>
  <si>
    <t>1087-1092</t>
  </si>
  <si>
    <t>1105-1110</t>
  </si>
  <si>
    <t>1117-1122</t>
  </si>
  <si>
    <t>D39-3R</t>
  </si>
  <si>
    <t>1111-1116</t>
  </si>
  <si>
    <t>1129-1134</t>
  </si>
  <si>
    <t>D39-2R</t>
  </si>
  <si>
    <t>1123-1128</t>
  </si>
  <si>
    <t>1147-1152</t>
  </si>
  <si>
    <t>1135-1140</t>
  </si>
  <si>
    <t>D40-1R</t>
  </si>
  <si>
    <t>1141-1146</t>
  </si>
  <si>
    <t>1165-1170</t>
  </si>
  <si>
    <t>1159-1164</t>
  </si>
  <si>
    <t>1171-1176</t>
  </si>
  <si>
    <t>1183-1188</t>
  </si>
  <si>
    <t>1189-1194</t>
  </si>
  <si>
    <t>1195-1200</t>
  </si>
  <si>
    <t>1201-1206</t>
  </si>
  <si>
    <t>1207-1212</t>
  </si>
  <si>
    <t>D40-4R</t>
  </si>
  <si>
    <t>1219-1224</t>
  </si>
  <si>
    <t>1213-1218</t>
  </si>
  <si>
    <t>1237-1242</t>
  </si>
  <si>
    <t>1231-1236</t>
  </si>
  <si>
    <t>D39-1R</t>
  </si>
  <si>
    <t>1234-1248</t>
  </si>
  <si>
    <t>7</t>
  </si>
  <si>
    <t>43-48</t>
  </si>
  <si>
    <t>D40-4L</t>
  </si>
  <si>
    <t>37-42</t>
  </si>
  <si>
    <t>67-72</t>
  </si>
  <si>
    <t>55-60</t>
  </si>
  <si>
    <t>D42-1R</t>
  </si>
  <si>
    <t>85-90</t>
  </si>
  <si>
    <t>103-108</t>
  </si>
  <si>
    <t>D42-2R</t>
  </si>
  <si>
    <t xml:space="preserve">127-132 </t>
  </si>
  <si>
    <t>127-132 يوجد اختلاف في رقم البتوينا</t>
  </si>
  <si>
    <t>D42-2L</t>
  </si>
  <si>
    <t>145-150</t>
  </si>
  <si>
    <t>D35-1L</t>
  </si>
  <si>
    <t>139-144</t>
  </si>
  <si>
    <t>163-168</t>
  </si>
  <si>
    <t>D42-5L</t>
  </si>
  <si>
    <t>175-180</t>
  </si>
  <si>
    <t>D28-1L</t>
  </si>
  <si>
    <t>181-186</t>
  </si>
  <si>
    <t>193-198</t>
  </si>
  <si>
    <t>199-204</t>
  </si>
  <si>
    <t>211-216</t>
  </si>
  <si>
    <t>D28-2L</t>
  </si>
  <si>
    <t>235-240</t>
  </si>
  <si>
    <t>8</t>
  </si>
  <si>
    <t>247-252</t>
  </si>
  <si>
    <t>S42,G46</t>
  </si>
  <si>
    <t>271-276 خطأ مطبعي</t>
  </si>
  <si>
    <t>283-288 خطا مطبعي</t>
  </si>
  <si>
    <t>301-306</t>
  </si>
  <si>
    <t>325-330 خطا مطبعي بالترتيب بنلات</t>
  </si>
  <si>
    <t>S43,G46</t>
  </si>
  <si>
    <t>337-342</t>
  </si>
  <si>
    <t>D32-3R</t>
  </si>
  <si>
    <t>331-336</t>
  </si>
  <si>
    <t>343-348</t>
  </si>
  <si>
    <t>349-354</t>
  </si>
  <si>
    <t>367-372</t>
  </si>
  <si>
    <t>S43,G47</t>
  </si>
  <si>
    <t>373-378</t>
  </si>
  <si>
    <t>385-390</t>
  </si>
  <si>
    <t>379-384</t>
  </si>
  <si>
    <t>S44,G47</t>
  </si>
  <si>
    <t>391-396</t>
  </si>
  <si>
    <t>403-408</t>
  </si>
  <si>
    <t>D42-1L</t>
  </si>
  <si>
    <t>S44,G48</t>
  </si>
  <si>
    <t>415-420</t>
  </si>
  <si>
    <t>S45,G48</t>
  </si>
  <si>
    <t>439-444</t>
  </si>
  <si>
    <t>S45,G49</t>
  </si>
  <si>
    <t>445-450</t>
  </si>
  <si>
    <t>451-456</t>
  </si>
  <si>
    <t>457-462</t>
  </si>
  <si>
    <t>S46,G49</t>
  </si>
  <si>
    <t>463-468</t>
  </si>
  <si>
    <t>D42-4L</t>
  </si>
  <si>
    <t>469-474</t>
  </si>
  <si>
    <t>475-480</t>
  </si>
  <si>
    <t>487-492</t>
  </si>
  <si>
    <t>481-486</t>
  </si>
  <si>
    <t>505-510</t>
  </si>
  <si>
    <t>NOT CLEAR</t>
  </si>
  <si>
    <t>499-504</t>
  </si>
  <si>
    <t>499-504 خطا مطبعي</t>
  </si>
  <si>
    <t>D42-5R</t>
  </si>
  <si>
    <t>523-528 خطا مطبعي</t>
  </si>
  <si>
    <t>S47,G50</t>
  </si>
  <si>
    <t>529-234</t>
  </si>
  <si>
    <t>535-540</t>
  </si>
  <si>
    <t>541-546</t>
  </si>
  <si>
    <t>559-564</t>
  </si>
  <si>
    <t>D42-3R</t>
  </si>
  <si>
    <t>571-576</t>
  </si>
  <si>
    <t>S48,G51</t>
  </si>
  <si>
    <t>577-582</t>
  </si>
  <si>
    <t>S47,G51</t>
  </si>
  <si>
    <t>595-600</t>
  </si>
  <si>
    <t>D42-4R</t>
  </si>
  <si>
    <t>589-594 خطا مطبعي 278 و 280 مو الى</t>
  </si>
  <si>
    <t>589-594</t>
  </si>
  <si>
    <t>607-612</t>
  </si>
  <si>
    <t>D31-1R</t>
  </si>
  <si>
    <t>S49,G52</t>
  </si>
  <si>
    <t>D31-2R</t>
  </si>
  <si>
    <t>D31-3R</t>
  </si>
  <si>
    <t>S49,G54</t>
  </si>
  <si>
    <t>S50,G54</t>
  </si>
  <si>
    <t>D31-4R</t>
  </si>
  <si>
    <t>D41-1R</t>
  </si>
  <si>
    <t>D41-2R</t>
  </si>
  <si>
    <t>S50,G53</t>
  </si>
  <si>
    <t>DC32</t>
  </si>
  <si>
    <t>DC33</t>
  </si>
  <si>
    <t>D42-3L</t>
  </si>
  <si>
    <t>DC42</t>
  </si>
  <si>
    <t>DC41</t>
  </si>
  <si>
    <t>DC37</t>
  </si>
  <si>
    <t>نتائج متوفرة؟</t>
  </si>
  <si>
    <t>اسم القناة</t>
  </si>
  <si>
    <t>الى</t>
  </si>
  <si>
    <t>الكل</t>
  </si>
  <si>
    <t>متر طول التنفيذ</t>
  </si>
  <si>
    <t>متر طول التصميمي</t>
  </si>
  <si>
    <t>اسم القناة الموزعة</t>
  </si>
  <si>
    <t>متر طول</t>
  </si>
  <si>
    <t>اسم القناة الفرعية</t>
  </si>
  <si>
    <t>D28/1</t>
  </si>
  <si>
    <t>D28/2L</t>
  </si>
  <si>
    <t>D31/1R</t>
  </si>
  <si>
    <t>D31/2R</t>
  </si>
  <si>
    <t>D31/3R</t>
  </si>
  <si>
    <t>D31/4R</t>
  </si>
  <si>
    <t>D32/3R</t>
  </si>
  <si>
    <t>D33/L1</t>
  </si>
  <si>
    <t>D33/L2</t>
  </si>
  <si>
    <t>D33/L3</t>
  </si>
  <si>
    <t>D33/L4</t>
  </si>
  <si>
    <t>D34/L1</t>
  </si>
  <si>
    <t>D34/R1</t>
  </si>
  <si>
    <t>D34/L2</t>
  </si>
  <si>
    <t>D34/R2</t>
  </si>
  <si>
    <t>D34/L3</t>
  </si>
  <si>
    <t>D34/R3</t>
  </si>
  <si>
    <t>D34/L4</t>
  </si>
  <si>
    <t>D34/R4</t>
  </si>
  <si>
    <t>D35/1L</t>
  </si>
  <si>
    <t>D35- 1R</t>
  </si>
  <si>
    <t>D35- 2R</t>
  </si>
  <si>
    <t>D35- 3R</t>
  </si>
  <si>
    <t>D36- 1L</t>
  </si>
  <si>
    <t>D36- 2L</t>
  </si>
  <si>
    <t>D37- 1L</t>
  </si>
  <si>
    <t>D37 - 2L</t>
  </si>
  <si>
    <t>D38- 1L</t>
  </si>
  <si>
    <t>D38- 2L</t>
  </si>
  <si>
    <t>D38- 3L</t>
  </si>
  <si>
    <t>D39- 1R</t>
  </si>
  <si>
    <t>D39- 2R</t>
  </si>
  <si>
    <t>D39- 3R</t>
  </si>
  <si>
    <t>D40- 2L-1</t>
  </si>
  <si>
    <t>D40- 4L-1</t>
  </si>
  <si>
    <t>D41-L1</t>
  </si>
  <si>
    <t>D41/1R</t>
  </si>
  <si>
    <t>D41-L2</t>
  </si>
  <si>
    <t>D41/2R</t>
  </si>
  <si>
    <t>D41-L3</t>
  </si>
  <si>
    <t>D41-R3</t>
  </si>
  <si>
    <t>D41-L4</t>
  </si>
  <si>
    <t>D41-R4</t>
  </si>
  <si>
    <t>D41-L5</t>
  </si>
  <si>
    <t>D41-R5</t>
  </si>
  <si>
    <t>D42/1R</t>
  </si>
  <si>
    <t>D42/2R</t>
  </si>
  <si>
    <t>D42/3R</t>
  </si>
  <si>
    <t>D42/4L</t>
  </si>
  <si>
    <t>D42/4R</t>
  </si>
  <si>
    <t>DC31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</si>
</sst>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"/>
    <numFmt numFmtId="165" formatCode="M/d/yyyy"/>
    <numFmt numFmtId="166" formatCode="yyyy/m/d"/>
    <numFmt numFmtId="167" formatCode="[$-1010000]yyyy/mm/dd"/>
    <numFmt numFmtId="168" formatCode="yyyy&quot;-&quot;mm&quot;-&quot;dd"/>
  </numFmts>
  <fonts count="15">
    <font>
      <sz val="11.0"/>
      <color theme="1"/>
      <name val="Calibri"/>
      <scheme val="minor"/>
    </font>
    <font>
      <b/>
      <sz val="14.0"/>
      <color theme="1"/>
      <name val="Arial"/>
    </font>
    <font>
      <b/>
      <sz val="14.0"/>
      <color theme="1"/>
      <name val="Calibri Light"/>
    </font>
    <font>
      <b/>
      <sz val="12.0"/>
      <color theme="1"/>
      <name val="Arial"/>
    </font>
    <font>
      <b/>
      <sz val="14.0"/>
      <color rgb="FF000000"/>
      <name val="Arial"/>
    </font>
    <font>
      <sz val="13.0"/>
      <color rgb="FF000000"/>
      <name val="Arial"/>
    </font>
    <font>
      <sz val="13.0"/>
      <color theme="1"/>
      <name val="Calibri Light"/>
    </font>
    <font/>
    <font>
      <color theme="1"/>
      <name val="Calibri"/>
      <scheme val="minor"/>
    </font>
    <font>
      <sz val="16.0"/>
      <color theme="1"/>
      <name val="Calibri"/>
    </font>
    <font>
      <sz val="11.0"/>
      <color theme="1"/>
      <name val="Calibri"/>
    </font>
    <font>
      <b/>
      <sz val="18.0"/>
      <color theme="1"/>
      <name val="Calibri"/>
    </font>
    <font>
      <color theme="1"/>
      <name val="Arial"/>
    </font>
    <font>
      <b/>
      <sz val="12.0"/>
      <color theme="1"/>
      <name val="Calibri Light"/>
    </font>
    <font>
      <b/>
      <sz val="14.0"/>
      <color theme="1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00CC66"/>
        <bgColor rgb="FF00CC66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D9D9D9"/>
        <bgColor rgb="FFD9D9D9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A5A5A5"/>
        <bgColor rgb="FFA5A5A5"/>
      </patternFill>
    </fill>
    <fill>
      <patternFill patternType="solid">
        <fgColor rgb="FFEAF1DD"/>
        <bgColor rgb="FFEAF1D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2" fontId="3" numFmtId="0" xfId="0" applyAlignment="1" applyBorder="1" applyFont="1">
      <alignment horizontal="center" readingOrder="0" vertical="center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horizontal="center" readingOrder="0" shrinkToFit="0" vertical="center" wrapText="0"/>
    </xf>
    <xf borderId="1" fillId="4" fontId="6" numFmtId="164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2" fillId="3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3" fillId="0" fontId="7" numFmtId="0" xfId="0" applyBorder="1" applyFont="1"/>
    <xf borderId="1" fillId="0" fontId="2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shrinkToFit="0" vertical="center" wrapText="0"/>
    </xf>
    <xf borderId="0" fillId="0" fontId="8" numFmtId="4" xfId="0" applyFont="1" applyNumberFormat="1"/>
    <xf borderId="2" fillId="2" fontId="1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 shrinkToFit="0" vertical="center" wrapText="0"/>
    </xf>
    <xf borderId="0" fillId="0" fontId="9" numFmtId="0" xfId="0" applyAlignment="1" applyFont="1">
      <alignment horizontal="center" vertical="center"/>
    </xf>
    <xf borderId="4" fillId="0" fontId="9" numFmtId="49" xfId="0" applyAlignment="1" applyBorder="1" applyFont="1" applyNumberFormat="1">
      <alignment horizontal="center" vertical="center"/>
    </xf>
    <xf borderId="4" fillId="0" fontId="9" numFmtId="0" xfId="0" applyAlignment="1" applyBorder="1" applyFont="1">
      <alignment horizontal="center" vertical="center"/>
    </xf>
    <xf borderId="1" fillId="5" fontId="10" numFmtId="0" xfId="0" applyAlignment="1" applyBorder="1" applyFill="1" applyFont="1">
      <alignment horizontal="right" vertical="center"/>
    </xf>
    <xf borderId="1" fillId="5" fontId="10" numFmtId="0" xfId="0" applyAlignment="1" applyBorder="1" applyFont="1">
      <alignment horizontal="left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right" vertical="center"/>
    </xf>
    <xf borderId="0" fillId="0" fontId="8" numFmtId="0" xfId="0" applyAlignment="1" applyFont="1">
      <alignment horizontal="left" vertical="center"/>
    </xf>
    <xf borderId="0" fillId="4" fontId="10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4" fillId="0" fontId="9" numFmtId="165" xfId="0" applyAlignment="1" applyBorder="1" applyFont="1" applyNumberFormat="1">
      <alignment horizontal="center" vertical="center"/>
    </xf>
    <xf borderId="0" fillId="0" fontId="8" numFmtId="0" xfId="0" applyAlignment="1" applyFont="1">
      <alignment readingOrder="0" vertical="center"/>
    </xf>
    <xf borderId="1" fillId="0" fontId="10" numFmtId="166" xfId="0" applyAlignment="1" applyBorder="1" applyFont="1" applyNumberFormat="1">
      <alignment horizontal="right" readingOrder="0" vertical="center"/>
    </xf>
    <xf borderId="1" fillId="0" fontId="8" numFmtId="0" xfId="0" applyAlignment="1" applyBorder="1" applyFont="1">
      <alignment readingOrder="0" vertical="center"/>
    </xf>
    <xf borderId="0" fillId="0" fontId="11" numFmtId="0" xfId="0" applyAlignment="1" applyFont="1">
      <alignment horizontal="center" readingOrder="0" vertical="center"/>
    </xf>
    <xf borderId="4" fillId="0" fontId="11" numFmtId="49" xfId="0" applyAlignment="1" applyBorder="1" applyFont="1" applyNumberForma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11" numFmtId="165" xfId="0" applyAlignment="1" applyBorder="1" applyFont="1" applyNumberFormat="1">
      <alignment horizontal="center" readingOrder="0" vertical="center"/>
    </xf>
    <xf borderId="1" fillId="0" fontId="8" numFmtId="0" xfId="0" applyAlignment="1" applyBorder="1" applyFont="1">
      <alignment vertical="center"/>
    </xf>
    <xf borderId="1" fillId="0" fontId="8" numFmtId="0" xfId="0" applyAlignment="1" applyBorder="1" applyFont="1">
      <alignment horizontal="right" readingOrder="0" vertical="center"/>
    </xf>
    <xf borderId="0" fillId="0" fontId="10" numFmtId="0" xfId="0" applyAlignment="1" applyFont="1">
      <alignment horizontal="center" readingOrder="0" vertical="center"/>
    </xf>
    <xf borderId="2" fillId="0" fontId="10" numFmtId="49" xfId="0" applyAlignment="1" applyBorder="1" applyFont="1" applyNumberFormat="1">
      <alignment horizontal="center" vertical="center"/>
    </xf>
    <xf borderId="2" fillId="0" fontId="10" numFmtId="0" xfId="0" applyAlignment="1" applyBorder="1" applyFont="1">
      <alignment horizontal="center" vertical="center"/>
    </xf>
    <xf borderId="2" fillId="0" fontId="10" numFmtId="165" xfId="0" applyAlignment="1" applyBorder="1" applyFont="1" applyNumberFormat="1">
      <alignment horizontal="center" vertical="center"/>
    </xf>
    <xf borderId="2" fillId="0" fontId="10" numFmtId="167" xfId="0" applyAlignment="1" applyBorder="1" applyFont="1" applyNumberFormat="1">
      <alignment horizontal="center" vertical="center"/>
    </xf>
    <xf borderId="5" fillId="5" fontId="10" numFmtId="0" xfId="0" applyAlignment="1" applyBorder="1" applyFont="1">
      <alignment horizontal="center" readingOrder="0" vertical="center"/>
    </xf>
    <xf borderId="6" fillId="0" fontId="7" numFmtId="0" xfId="0" applyBorder="1" applyFont="1"/>
    <xf borderId="2" fillId="0" fontId="8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7" fillId="6" fontId="10" numFmtId="0" xfId="0" applyAlignment="1" applyBorder="1" applyFill="1" applyFont="1">
      <alignment horizontal="center" vertical="center"/>
    </xf>
    <xf borderId="2" fillId="6" fontId="10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1" fillId="5" fontId="8" numFmtId="0" xfId="0" applyAlignment="1" applyBorder="1" applyFont="1">
      <alignment horizontal="right" readingOrder="0" vertical="center"/>
    </xf>
    <xf borderId="1" fillId="5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horizontal="left" readingOrder="0" vertical="center"/>
    </xf>
    <xf borderId="0" fillId="7" fontId="10" numFmtId="0" xfId="0" applyAlignment="1" applyFill="1" applyFont="1">
      <alignment horizontal="center" readingOrder="0" vertical="center"/>
    </xf>
    <xf borderId="1" fillId="7" fontId="10" numFmtId="49" xfId="0" applyAlignment="1" applyBorder="1" applyFont="1" applyNumberFormat="1">
      <alignment horizontal="center" vertical="center"/>
    </xf>
    <xf borderId="1" fillId="7" fontId="10" numFmtId="16" xfId="0" applyAlignment="1" applyBorder="1" applyFont="1" applyNumberFormat="1">
      <alignment horizontal="center" vertical="center"/>
    </xf>
    <xf borderId="1" fillId="0" fontId="10" numFmtId="167" xfId="0" applyAlignment="1" applyBorder="1" applyFont="1" applyNumberFormat="1">
      <alignment horizontal="center" vertical="center"/>
    </xf>
    <xf borderId="1" fillId="8" fontId="10" numFmtId="167" xfId="0" applyAlignment="1" applyBorder="1" applyFill="1" applyFont="1" applyNumberFormat="1">
      <alignment horizontal="center" vertical="center"/>
    </xf>
    <xf borderId="1" fillId="9" fontId="10" numFmtId="167" xfId="0" applyAlignment="1" applyBorder="1" applyFill="1" applyFont="1" applyNumberForma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right" vertical="center"/>
    </xf>
    <xf borderId="1" fillId="5" fontId="8" numFmtId="0" xfId="0" applyAlignment="1" applyBorder="1" applyFont="1">
      <alignment horizontal="left" vertical="center"/>
    </xf>
    <xf borderId="1" fillId="6" fontId="10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vertical="center"/>
    </xf>
    <xf borderId="1" fillId="7" fontId="10" numFmtId="49" xfId="0" applyAlignment="1" applyBorder="1" applyFont="1" applyNumberFormat="1">
      <alignment vertical="center"/>
    </xf>
    <xf borderId="1" fillId="7" fontId="10" numFmtId="0" xfId="0" applyAlignment="1" applyBorder="1" applyFont="1">
      <alignment vertical="center"/>
    </xf>
    <xf borderId="1" fillId="0" fontId="10" numFmtId="49" xfId="0" applyAlignment="1" applyBorder="1" applyFont="1" applyNumberFormat="1">
      <alignment horizontal="right" vertical="center"/>
    </xf>
    <xf borderId="1" fillId="0" fontId="10" numFmtId="0" xfId="0" applyAlignment="1" applyBorder="1" applyFont="1">
      <alignment horizontal="right" vertical="center"/>
    </xf>
    <xf borderId="1" fillId="0" fontId="8" numFmtId="49" xfId="0" applyAlignment="1" applyBorder="1" applyFont="1" applyNumberFormat="1">
      <alignment vertical="center"/>
    </xf>
    <xf borderId="1" fillId="0" fontId="10" numFmtId="0" xfId="0" applyAlignment="1" applyBorder="1" applyFont="1">
      <alignment horizontal="center" readingOrder="0" vertical="center"/>
    </xf>
    <xf borderId="1" fillId="0" fontId="10" numFmtId="49" xfId="0" applyAlignment="1" applyBorder="1" applyFont="1" applyNumberFormat="1">
      <alignment vertical="center"/>
    </xf>
    <xf borderId="1" fillId="0" fontId="10" numFmtId="0" xfId="0" applyAlignment="1" applyBorder="1" applyFont="1">
      <alignment vertical="center"/>
    </xf>
    <xf borderId="1" fillId="0" fontId="8" numFmtId="49" xfId="0" applyAlignment="1" applyBorder="1" applyFont="1" applyNumberFormat="1">
      <alignment readingOrder="0" vertical="center"/>
    </xf>
    <xf borderId="1" fillId="0" fontId="8" numFmtId="0" xfId="0" applyAlignment="1" applyBorder="1" applyFont="1">
      <alignment readingOrder="0" vertical="center"/>
    </xf>
    <xf borderId="1" fillId="4" fontId="8" numFmtId="0" xfId="0" applyAlignment="1" applyBorder="1" applyFont="1">
      <alignment horizontal="center" vertical="center"/>
    </xf>
    <xf borderId="0" fillId="4" fontId="8" numFmtId="0" xfId="0" applyAlignment="1" applyFont="1">
      <alignment vertical="center"/>
    </xf>
    <xf borderId="1" fillId="4" fontId="8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right" readingOrder="0" vertical="center"/>
    </xf>
    <xf borderId="1" fillId="4" fontId="10" numFmtId="49" xfId="0" applyAlignment="1" applyBorder="1" applyFont="1" applyNumberFormat="1">
      <alignment vertical="center"/>
    </xf>
    <xf borderId="1" fillId="4" fontId="10" numFmtId="0" xfId="0" applyAlignment="1" applyBorder="1" applyFont="1">
      <alignment vertical="center"/>
    </xf>
    <xf borderId="1" fillId="0" fontId="10" numFmtId="0" xfId="0" applyAlignment="1" applyBorder="1" applyFont="1">
      <alignment readingOrder="0" vertical="center"/>
    </xf>
    <xf borderId="1" fillId="10" fontId="10" numFmtId="0" xfId="0" applyAlignment="1" applyBorder="1" applyFill="1" applyFont="1">
      <alignment horizontal="center" vertical="center"/>
    </xf>
    <xf borderId="1" fillId="11" fontId="10" numFmtId="0" xfId="0" applyAlignment="1" applyBorder="1" applyFill="1" applyFont="1">
      <alignment readingOrder="0" vertical="center"/>
    </xf>
    <xf borderId="1" fillId="10" fontId="10" numFmtId="0" xfId="0" applyAlignment="1" applyBorder="1" applyFont="1">
      <alignment readingOrder="0" vertical="center"/>
    </xf>
    <xf borderId="1" fillId="8" fontId="8" numFmtId="49" xfId="0" applyAlignment="1" applyBorder="1" applyFont="1" applyNumberFormat="1">
      <alignment vertical="center"/>
    </xf>
    <xf borderId="1" fillId="8" fontId="8" numFmtId="0" xfId="0" applyAlignment="1" applyBorder="1" applyFont="1">
      <alignment vertical="center"/>
    </xf>
    <xf borderId="1" fillId="12" fontId="10" numFmtId="0" xfId="0" applyAlignment="1" applyBorder="1" applyFill="1" applyFont="1">
      <alignment vertical="center"/>
    </xf>
    <xf borderId="1" fillId="0" fontId="8" numFmtId="0" xfId="0" applyAlignment="1" applyBorder="1" applyFont="1">
      <alignment horizontal="center" readingOrder="0" vertical="center"/>
    </xf>
    <xf borderId="1" fillId="10" fontId="8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13" fontId="8" numFmtId="49" xfId="0" applyAlignment="1" applyBorder="1" applyFill="1" applyFont="1" applyNumberFormat="1">
      <alignment vertical="center"/>
    </xf>
    <xf borderId="1" fillId="13" fontId="8" numFmtId="0" xfId="0" applyAlignment="1" applyBorder="1" applyFont="1">
      <alignment vertical="center"/>
    </xf>
    <xf borderId="1" fillId="5" fontId="8" numFmtId="0" xfId="0" applyAlignment="1" applyBorder="1" applyFont="1">
      <alignment horizontal="right" readingOrder="0" vertical="center"/>
    </xf>
    <xf borderId="1" fillId="5" fontId="8" numFmtId="0" xfId="0" applyAlignment="1" applyBorder="1" applyFont="1">
      <alignment horizontal="left" readingOrder="0" vertical="center"/>
    </xf>
    <xf borderId="1" fillId="0" fontId="10" numFmtId="0" xfId="0" applyAlignment="1" applyBorder="1" applyFont="1">
      <alignment vertical="center"/>
    </xf>
    <xf borderId="1" fillId="0" fontId="10" numFmtId="49" xfId="0" applyAlignment="1" applyBorder="1" applyFont="1" applyNumberFormat="1">
      <alignment horizontal="center" vertical="center"/>
    </xf>
    <xf borderId="1" fillId="0" fontId="0" numFmtId="0" xfId="0" applyAlignment="1" applyBorder="1" applyFont="1">
      <alignment horizontal="center" readingOrder="0" vertical="center"/>
    </xf>
    <xf borderId="1" fillId="14" fontId="10" numFmtId="0" xfId="0" applyAlignment="1" applyBorder="1" applyFill="1" applyFont="1">
      <alignment vertical="center"/>
    </xf>
    <xf borderId="1" fillId="12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readingOrder="0" vertical="center"/>
    </xf>
    <xf borderId="1" fillId="8" fontId="10" numFmtId="0" xfId="0" applyAlignment="1" applyBorder="1" applyFont="1">
      <alignment horizontal="center" vertical="center"/>
    </xf>
    <xf borderId="1" fillId="4" fontId="10" numFmtId="0" xfId="0" applyAlignment="1" applyBorder="1" applyFont="1">
      <alignment readingOrder="0" shrinkToFit="0" vertical="center" wrapText="1"/>
    </xf>
    <xf borderId="1" fillId="6" fontId="10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bottom"/>
    </xf>
    <xf borderId="1" fillId="15" fontId="10" numFmtId="0" xfId="0" applyAlignment="1" applyBorder="1" applyFill="1" applyFont="1">
      <alignment horizontal="right" vertical="bottom"/>
    </xf>
    <xf borderId="1" fillId="15" fontId="10" numFmtId="0" xfId="0" applyAlignment="1" applyBorder="1" applyFont="1">
      <alignment horizontal="right" readingOrder="0" vertical="bottom"/>
    </xf>
    <xf borderId="1" fillId="0" fontId="10" numFmtId="167" xfId="0" applyAlignment="1" applyBorder="1" applyFont="1" applyNumberFormat="1">
      <alignment horizontal="center" readingOrder="0" vertical="center"/>
    </xf>
    <xf borderId="1" fillId="12" fontId="10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shrinkToFit="0" vertical="center" wrapText="1"/>
    </xf>
    <xf borderId="1" fillId="12" fontId="8" numFmtId="0" xfId="0" applyAlignment="1" applyBorder="1" applyFont="1">
      <alignment vertical="center"/>
    </xf>
    <xf borderId="1" fillId="8" fontId="10" numFmtId="0" xfId="0" applyAlignment="1" applyBorder="1" applyFont="1">
      <alignment horizontal="center" readingOrder="0" vertical="center"/>
    </xf>
    <xf borderId="1" fillId="0" fontId="8" numFmtId="165" xfId="0" applyAlignment="1" applyBorder="1" applyFont="1" applyNumberFormat="1">
      <alignment vertical="center"/>
    </xf>
    <xf borderId="1" fillId="10" fontId="10" numFmtId="0" xfId="0" applyAlignment="1" applyBorder="1" applyFont="1">
      <alignment horizontal="center" readingOrder="0" vertical="center"/>
    </xf>
    <xf borderId="1" fillId="10" fontId="10" numFmtId="167" xfId="0" applyAlignment="1" applyBorder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readingOrder="0"/>
    </xf>
    <xf borderId="0" fillId="0" fontId="8" numFmtId="3" xfId="0" applyFont="1" applyNumberFormat="1"/>
    <xf borderId="0" fillId="0" fontId="8" numFmtId="0" xfId="0" applyAlignment="1" applyFont="1">
      <alignment horizontal="center" readingOrder="0"/>
    </xf>
    <xf borderId="0" fillId="0" fontId="8" numFmtId="166" xfId="0" applyAlignment="1" applyFont="1" applyNumberFormat="1">
      <alignment readingOrder="0"/>
    </xf>
    <xf borderId="0" fillId="0" fontId="8" numFmtId="49" xfId="0" applyAlignment="1" applyFont="1" applyNumberFormat="1">
      <alignment readingOrder="0"/>
    </xf>
    <xf borderId="0" fillId="0" fontId="12" numFmtId="49" xfId="0" applyAlignment="1" applyFont="1" applyNumberForma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1" fillId="0" fontId="8" numFmtId="3" xfId="0" applyAlignment="1" applyBorder="1" applyFont="1" applyNumberFormat="1">
      <alignment readingOrder="0"/>
    </xf>
    <xf borderId="1" fillId="0" fontId="8" numFmtId="0" xfId="0" applyAlignment="1" applyBorder="1" applyFont="1">
      <alignment readingOrder="0"/>
    </xf>
    <xf borderId="0" fillId="0" fontId="8" numFmtId="168" xfId="0" applyAlignment="1" applyFont="1" applyNumberFormat="1">
      <alignment readingOrder="0"/>
    </xf>
    <xf borderId="2" fillId="5" fontId="10" numFmtId="167" xfId="0" applyAlignment="1" applyBorder="1" applyFont="1" applyNumberFormat="1">
      <alignment horizontal="right" vertical="center"/>
    </xf>
    <xf borderId="8" fillId="5" fontId="10" numFmtId="167" xfId="0" applyAlignment="1" applyBorder="1" applyFont="1" applyNumberFormat="1">
      <alignment horizontal="right" vertical="center"/>
    </xf>
    <xf borderId="5" fillId="0" fontId="8" numFmtId="3" xfId="0" applyAlignment="1" applyBorder="1" applyFont="1" applyNumberFormat="1">
      <alignment horizontal="center" readingOrder="0" vertical="center"/>
    </xf>
    <xf borderId="6" fillId="0" fontId="10" numFmtId="167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center" readingOrder="0" vertical="center"/>
    </xf>
    <xf borderId="9" fillId="0" fontId="7" numFmtId="0" xfId="0" applyBorder="1" applyFont="1"/>
    <xf borderId="1" fillId="0" fontId="8" numFmtId="3" xfId="0" applyAlignment="1" applyBorder="1" applyFont="1" applyNumberForma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0" fillId="0" fontId="8" numFmtId="167" xfId="0" applyFont="1" applyNumberFormat="1"/>
    <xf borderId="1" fillId="0" fontId="8" numFmtId="0" xfId="0" applyAlignment="1" applyBorder="1" applyFont="1">
      <alignment horizontal="center"/>
    </xf>
    <xf borderId="1" fillId="0" fontId="8" numFmtId="0" xfId="0" applyBorder="1" applyFont="1"/>
    <xf borderId="1" fillId="0" fontId="8" numFmtId="167" xfId="0" applyBorder="1" applyFont="1" applyNumberFormat="1"/>
    <xf borderId="1" fillId="0" fontId="8" numFmtId="3" xfId="0" applyBorder="1" applyFont="1" applyNumberFormat="1"/>
    <xf borderId="0" fillId="2" fontId="3" numFmtId="0" xfId="0" applyAlignment="1" applyFont="1">
      <alignment horizontal="center" readingOrder="0" vertical="center"/>
    </xf>
    <xf borderId="0" fillId="4" fontId="3" numFmtId="0" xfId="0" applyAlignment="1" applyFont="1">
      <alignment horizontal="center" readingOrder="0" vertical="center"/>
    </xf>
    <xf borderId="1" fillId="2" fontId="13" numFmtId="0" xfId="0" applyAlignment="1" applyBorder="1" applyFont="1">
      <alignment horizontal="center" vertical="center"/>
    </xf>
    <xf borderId="0" fillId="3" fontId="5" numFmtId="0" xfId="0" applyAlignment="1" applyFont="1">
      <alignment horizontal="center" readingOrder="0" shrinkToFit="0" vertical="center" wrapText="0"/>
    </xf>
    <xf borderId="1" fillId="16" fontId="14" numFmtId="164" xfId="0" applyAlignment="1" applyBorder="1" applyFill="1" applyFont="1" applyNumberFormat="1">
      <alignment horizontal="center" vertical="bottom"/>
    </xf>
    <xf borderId="0" fillId="0" fontId="10" numFmtId="0" xfId="0" applyAlignment="1" applyFont="1">
      <alignment vertical="bottom"/>
    </xf>
    <xf borderId="1" fillId="0" fontId="14" numFmtId="0" xfId="0" applyAlignment="1" applyBorder="1" applyFont="1">
      <alignment horizontal="center" vertical="bottom"/>
    </xf>
    <xf borderId="0" fillId="4" fontId="5" numFmtId="0" xfId="0" applyAlignment="1" applyFont="1">
      <alignment horizontal="center" readingOrder="0" shrinkToFit="0" vertical="center" wrapText="0"/>
    </xf>
    <xf borderId="0" fillId="4" fontId="8" numFmtId="0" xfId="0" applyFont="1"/>
    <xf borderId="1" fillId="0" fontId="14" numFmtId="164" xfId="0" applyAlignment="1" applyBorder="1" applyFont="1" applyNumberFormat="1">
      <alignment horizontal="center" vertical="bottom"/>
    </xf>
    <xf borderId="1" fillId="0" fontId="14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right" vertical="bottom"/>
    </xf>
    <xf borderId="0" fillId="0" fontId="12" numFmtId="3" xfId="0" applyAlignment="1" applyFont="1" applyNumberFormat="1">
      <alignment horizontal="right" vertical="bottom"/>
    </xf>
    <xf borderId="0" fillId="0" fontId="12" numFmtId="0" xfId="0" applyAlignment="1" applyFont="1">
      <alignment readingOrder="0" vertical="bottom"/>
    </xf>
    <xf borderId="1" fillId="0" fontId="12" numFmtId="0" xfId="0" applyAlignment="1" applyBorder="1" applyFont="1">
      <alignment vertical="bottom"/>
    </xf>
    <xf borderId="0" fillId="0" fontId="10" numFmtId="0" xfId="0" applyAlignment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3.43"/>
    <col customWidth="1" min="8" max="8" width="5.14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H1" s="4" t="s">
        <v>4</v>
      </c>
      <c r="I1" s="4" t="s">
        <v>5</v>
      </c>
      <c r="J1" s="5" t="s">
        <v>6</v>
      </c>
      <c r="K1" s="5" t="s">
        <v>7</v>
      </c>
      <c r="L1" s="5" t="s">
        <v>3</v>
      </c>
    </row>
    <row r="2">
      <c r="A2" s="6" t="s">
        <v>8</v>
      </c>
      <c r="B2" s="7">
        <f>'ملخص الفرز'!I2</f>
        <v>1743</v>
      </c>
      <c r="C2" s="7">
        <v>1735.0</v>
      </c>
      <c r="D2" s="7">
        <f t="shared" ref="D2:D11" si="1">C2-B2</f>
        <v>-8</v>
      </c>
      <c r="H2" s="8">
        <v>1.0</v>
      </c>
      <c r="I2" s="9" t="str">
        <f>'ملخص الفرز'!B2</f>
        <v>D28-1L</v>
      </c>
      <c r="J2" s="10">
        <f>'ملخص الفرز'!C2</f>
        <v>897</v>
      </c>
      <c r="K2" s="11">
        <f>'ملخص الفرز'!F2</f>
        <v>925</v>
      </c>
      <c r="L2" s="10">
        <f t="shared" ref="L2:L65" si="2">K2-J2</f>
        <v>28</v>
      </c>
    </row>
    <row r="3">
      <c r="A3" s="6" t="s">
        <v>9</v>
      </c>
      <c r="B3" s="7">
        <f>'ملخص الفرز'!I3</f>
        <v>564</v>
      </c>
      <c r="C3" s="12">
        <v>640.0</v>
      </c>
      <c r="D3" s="7">
        <f t="shared" si="1"/>
        <v>76</v>
      </c>
      <c r="H3" s="8">
        <v>2.0</v>
      </c>
      <c r="I3" s="9" t="str">
        <f>'ملخص الفرز'!B3</f>
        <v>D28-2L</v>
      </c>
      <c r="J3" s="10">
        <f>'ملخص الفرز'!C3</f>
        <v>1371</v>
      </c>
      <c r="K3" s="11">
        <f>'ملخص الفرز'!F3</f>
        <v>1400</v>
      </c>
      <c r="L3" s="10">
        <f t="shared" si="2"/>
        <v>29</v>
      </c>
    </row>
    <row r="4">
      <c r="A4" s="6" t="s">
        <v>10</v>
      </c>
      <c r="B4" s="7">
        <f>'ملخص الفرز'!I4</f>
        <v>363</v>
      </c>
      <c r="C4" s="7">
        <v>360.0</v>
      </c>
      <c r="D4" s="7">
        <f t="shared" si="1"/>
        <v>-3</v>
      </c>
      <c r="H4" s="8">
        <v>3.0</v>
      </c>
      <c r="I4" s="9" t="str">
        <f>'ملخص الفرز'!B4</f>
        <v>D31-1R</v>
      </c>
      <c r="J4" s="10">
        <f>'ملخص الفرز'!C4</f>
        <v>579</v>
      </c>
      <c r="K4" s="11">
        <f>'ملخص الفرز'!F4</f>
        <v>775</v>
      </c>
      <c r="L4" s="10">
        <f t="shared" si="2"/>
        <v>196</v>
      </c>
    </row>
    <row r="5">
      <c r="A5" s="6" t="s">
        <v>11</v>
      </c>
      <c r="B5" s="7">
        <f>'ملخص الفرز'!I5</f>
        <v>1860</v>
      </c>
      <c r="C5" s="7">
        <v>1926.0</v>
      </c>
      <c r="D5" s="7">
        <f t="shared" si="1"/>
        <v>66</v>
      </c>
      <c r="H5" s="8">
        <v>4.0</v>
      </c>
      <c r="I5" s="9" t="str">
        <f>'ملخص الفرز'!B5</f>
        <v>D31-2R</v>
      </c>
      <c r="J5" s="10">
        <f>'ملخص الفرز'!C5</f>
        <v>726</v>
      </c>
      <c r="K5" s="11">
        <f>'ملخص الفرز'!F5</f>
        <v>925</v>
      </c>
      <c r="L5" s="10">
        <f t="shared" si="2"/>
        <v>199</v>
      </c>
    </row>
    <row r="6">
      <c r="A6" s="6" t="s">
        <v>12</v>
      </c>
      <c r="B6" s="7">
        <f>'ملخص الفرز'!I6</f>
        <v>795</v>
      </c>
      <c r="C6" s="7">
        <v>840.0</v>
      </c>
      <c r="D6" s="7">
        <f t="shared" si="1"/>
        <v>45</v>
      </c>
      <c r="H6" s="8">
        <v>5.0</v>
      </c>
      <c r="I6" s="9" t="str">
        <f>'ملخص الفرز'!B6</f>
        <v>D31-3R</v>
      </c>
      <c r="J6" s="10">
        <f>'ملخص الفرز'!C6</f>
        <v>762</v>
      </c>
      <c r="K6" s="11">
        <f>'ملخص الفرز'!F6</f>
        <v>925</v>
      </c>
      <c r="L6" s="10">
        <f t="shared" si="2"/>
        <v>163</v>
      </c>
    </row>
    <row r="7">
      <c r="A7" s="6" t="s">
        <v>13</v>
      </c>
      <c r="B7" s="7">
        <f>'ملخص الفرز'!I7</f>
        <v>1875</v>
      </c>
      <c r="C7" s="13">
        <v>1920.0</v>
      </c>
      <c r="D7" s="7">
        <f t="shared" si="1"/>
        <v>45</v>
      </c>
      <c r="H7" s="8">
        <v>6.0</v>
      </c>
      <c r="I7" s="9" t="str">
        <f>'ملخص الفرز'!B7</f>
        <v>D31-4R</v>
      </c>
      <c r="J7" s="10">
        <f>'ملخص الفرز'!C7</f>
        <v>768</v>
      </c>
      <c r="K7" s="11">
        <f>'ملخص الفرز'!F7</f>
        <v>925</v>
      </c>
      <c r="L7" s="10">
        <f t="shared" si="2"/>
        <v>157</v>
      </c>
    </row>
    <row r="8">
      <c r="A8" s="6" t="s">
        <v>14</v>
      </c>
      <c r="B8" s="7">
        <f>'ملخص الفرز'!I8</f>
        <v>1122</v>
      </c>
      <c r="C8" s="12">
        <v>1150.0</v>
      </c>
      <c r="D8" s="7">
        <f t="shared" si="1"/>
        <v>28</v>
      </c>
      <c r="H8" s="8">
        <v>7.0</v>
      </c>
      <c r="I8" s="9" t="str">
        <f>'ملخص الفرز'!B8</f>
        <v>D32-3R</v>
      </c>
      <c r="J8" s="10">
        <f>'ملخص الفرز'!C8</f>
        <v>885</v>
      </c>
      <c r="K8" s="11">
        <f>'ملخص الفرز'!F8</f>
        <v>925</v>
      </c>
      <c r="L8" s="10">
        <f t="shared" si="2"/>
        <v>40</v>
      </c>
    </row>
    <row r="9">
      <c r="A9" s="6" t="s">
        <v>15</v>
      </c>
      <c r="B9" s="13">
        <v>2605.0</v>
      </c>
      <c r="C9" s="13">
        <v>2775.0</v>
      </c>
      <c r="D9" s="7">
        <f t="shared" si="1"/>
        <v>170</v>
      </c>
      <c r="H9" s="8">
        <v>8.0</v>
      </c>
      <c r="I9" s="9" t="str">
        <f>'ملخص الفرز'!B9</f>
        <v>D33-1L</v>
      </c>
      <c r="J9" s="10">
        <f>'ملخص الفرز'!C9</f>
        <v>825</v>
      </c>
      <c r="K9" s="11">
        <f>'ملخص الفرز'!F9</f>
        <v>925</v>
      </c>
      <c r="L9" s="10">
        <f t="shared" si="2"/>
        <v>100</v>
      </c>
    </row>
    <row r="10">
      <c r="A10" s="6" t="s">
        <v>16</v>
      </c>
      <c r="B10" s="7">
        <f>'ملخص الفرز'!L2</f>
        <v>2898</v>
      </c>
      <c r="C10" s="13">
        <v>2950.0</v>
      </c>
      <c r="D10" s="7">
        <f t="shared" si="1"/>
        <v>52</v>
      </c>
      <c r="H10" s="8">
        <v>9.0</v>
      </c>
      <c r="I10" s="9" t="str">
        <f>'ملخص الفرز'!B10</f>
        <v>D33-2L</v>
      </c>
      <c r="J10" s="10">
        <f>'ملخص الفرز'!C10</f>
        <v>897</v>
      </c>
      <c r="K10" s="11">
        <f>'ملخص الفرز'!F10</f>
        <v>925</v>
      </c>
      <c r="L10" s="10">
        <f t="shared" si="2"/>
        <v>28</v>
      </c>
    </row>
    <row r="11">
      <c r="A11" s="6" t="s">
        <v>17</v>
      </c>
      <c r="B11" s="7">
        <f>'ملخص الفرز'!L3</f>
        <v>5622</v>
      </c>
      <c r="C11" s="13">
        <v>5780.0</v>
      </c>
      <c r="D11" s="7">
        <f t="shared" si="1"/>
        <v>158</v>
      </c>
      <c r="H11" s="8">
        <v>10.0</v>
      </c>
      <c r="I11" s="9" t="str">
        <f>'ملخص الفرز'!B11</f>
        <v>D33-3L</v>
      </c>
      <c r="J11" s="10">
        <f>'ملخص الفرز'!C11</f>
        <v>888</v>
      </c>
      <c r="K11" s="11">
        <f>'ملخص الفرز'!F11</f>
        <v>925</v>
      </c>
      <c r="L11" s="10">
        <f t="shared" si="2"/>
        <v>37</v>
      </c>
    </row>
    <row r="12">
      <c r="H12" s="8">
        <v>11.0</v>
      </c>
      <c r="I12" s="9" t="str">
        <f>'ملخص الفرز'!B12</f>
        <v>D33-4L</v>
      </c>
      <c r="J12" s="10">
        <f>'ملخص الفرز'!C12</f>
        <v>1335</v>
      </c>
      <c r="K12" s="11">
        <f>'ملخص الفرز'!F12</f>
        <v>1460</v>
      </c>
      <c r="L12" s="10">
        <f t="shared" si="2"/>
        <v>125</v>
      </c>
    </row>
    <row r="13">
      <c r="H13" s="8">
        <v>12.0</v>
      </c>
      <c r="I13" s="9" t="str">
        <f>'ملخص الفرز'!B13</f>
        <v>D34-1L</v>
      </c>
      <c r="J13" s="10">
        <f>'ملخص الفرز'!C13</f>
        <v>900</v>
      </c>
      <c r="K13" s="11">
        <f>'ملخص الفرز'!F13</f>
        <v>925</v>
      </c>
      <c r="L13" s="10">
        <f t="shared" si="2"/>
        <v>25</v>
      </c>
    </row>
    <row r="14">
      <c r="A14" s="14" t="s">
        <v>18</v>
      </c>
      <c r="B14" s="15" t="s">
        <v>19</v>
      </c>
      <c r="C14" s="14" t="s">
        <v>20</v>
      </c>
      <c r="D14" s="15" t="s">
        <v>21</v>
      </c>
      <c r="E14" s="16" t="s">
        <v>22</v>
      </c>
      <c r="H14" s="8">
        <v>13.0</v>
      </c>
      <c r="I14" s="9" t="str">
        <f>'ملخص الفرز'!B14</f>
        <v>D34-1R</v>
      </c>
      <c r="J14" s="10">
        <f>'ملخص الفرز'!C14</f>
        <v>822</v>
      </c>
      <c r="K14" s="11">
        <f>'ملخص الفرز'!F14</f>
        <v>925</v>
      </c>
      <c r="L14" s="10">
        <f t="shared" si="2"/>
        <v>103</v>
      </c>
    </row>
    <row r="15">
      <c r="A15" s="17" t="s">
        <v>8</v>
      </c>
      <c r="B15" s="18" t="s">
        <v>23</v>
      </c>
      <c r="C15" s="18">
        <v>660.0</v>
      </c>
      <c r="D15" s="19">
        <v>3.3436</v>
      </c>
      <c r="E15" s="19">
        <f t="shared" ref="E15:E24" si="3">D15*C15</f>
        <v>2206.776</v>
      </c>
      <c r="H15" s="8">
        <v>14.0</v>
      </c>
      <c r="I15" s="9" t="str">
        <f>'ملخص الفرز'!B15</f>
        <v>D34-2L</v>
      </c>
      <c r="J15" s="10">
        <f>'ملخص الفرز'!C15</f>
        <v>903</v>
      </c>
      <c r="K15" s="11">
        <f>'ملخص الفرز'!F15</f>
        <v>925</v>
      </c>
      <c r="L15" s="10">
        <f t="shared" si="2"/>
        <v>22</v>
      </c>
    </row>
    <row r="16">
      <c r="A16" s="20"/>
      <c r="B16" s="18" t="s">
        <v>24</v>
      </c>
      <c r="C16" s="19">
        <f>B2-C15</f>
        <v>1083</v>
      </c>
      <c r="D16" s="19">
        <v>2.983</v>
      </c>
      <c r="E16" s="19">
        <f t="shared" si="3"/>
        <v>3230.589</v>
      </c>
      <c r="H16" s="8">
        <v>15.0</v>
      </c>
      <c r="I16" s="9" t="str">
        <f>'ملخص الفرز'!B16</f>
        <v>D34-2R</v>
      </c>
      <c r="J16" s="10">
        <f>'ملخص الفرز'!C16</f>
        <v>894</v>
      </c>
      <c r="K16" s="11">
        <f>'ملخص الفرز'!F16</f>
        <v>925</v>
      </c>
      <c r="L16" s="10">
        <f t="shared" si="2"/>
        <v>31</v>
      </c>
    </row>
    <row r="17">
      <c r="A17" s="6" t="s">
        <v>9</v>
      </c>
      <c r="B17" s="18">
        <v>1.0</v>
      </c>
      <c r="C17" s="19">
        <f t="shared" ref="C17:C20" si="4">B3</f>
        <v>564</v>
      </c>
      <c r="D17" s="21">
        <v>2.98</v>
      </c>
      <c r="E17" s="19">
        <f t="shared" si="3"/>
        <v>1680.72</v>
      </c>
      <c r="H17" s="8">
        <v>16.0</v>
      </c>
      <c r="I17" s="9" t="str">
        <f>'ملخص الفرز'!B17</f>
        <v>D34-3L</v>
      </c>
      <c r="J17" s="10">
        <f>'ملخص الفرز'!C17</f>
        <v>915</v>
      </c>
      <c r="K17" s="11">
        <f>'ملخص الفرز'!F17</f>
        <v>925</v>
      </c>
      <c r="L17" s="10">
        <f t="shared" si="2"/>
        <v>10</v>
      </c>
    </row>
    <row r="18">
      <c r="A18" s="6" t="s">
        <v>10</v>
      </c>
      <c r="B18" s="19">
        <v>1.0</v>
      </c>
      <c r="C18" s="19">
        <f t="shared" si="4"/>
        <v>363</v>
      </c>
      <c r="D18" s="21">
        <v>2.98</v>
      </c>
      <c r="E18" s="19">
        <f t="shared" si="3"/>
        <v>1081.74</v>
      </c>
      <c r="H18" s="8">
        <v>17.0</v>
      </c>
      <c r="I18" s="9" t="str">
        <f>'ملخص الفرز'!B18</f>
        <v>D34-3R</v>
      </c>
      <c r="J18" s="10">
        <f>'ملخص الفرز'!C18</f>
        <v>867</v>
      </c>
      <c r="K18" s="11">
        <f>'ملخص الفرز'!F18</f>
        <v>925</v>
      </c>
      <c r="L18" s="10">
        <f t="shared" si="2"/>
        <v>58</v>
      </c>
    </row>
    <row r="19">
      <c r="A19" s="6" t="s">
        <v>11</v>
      </c>
      <c r="B19" s="18">
        <v>1.0</v>
      </c>
      <c r="C19" s="19">
        <f t="shared" si="4"/>
        <v>1860</v>
      </c>
      <c r="D19" s="21">
        <v>3.06</v>
      </c>
      <c r="E19" s="19">
        <f t="shared" si="3"/>
        <v>5691.6</v>
      </c>
      <c r="H19" s="8">
        <v>18.0</v>
      </c>
      <c r="I19" s="9" t="str">
        <f>'ملخص الفرز'!B19</f>
        <v>D34-4L</v>
      </c>
      <c r="J19" s="10">
        <f>'ملخص الفرز'!C19</f>
        <v>561</v>
      </c>
      <c r="K19" s="11">
        <f>'ملخص الفرز'!F19</f>
        <v>560</v>
      </c>
      <c r="L19" s="10">
        <f t="shared" si="2"/>
        <v>-1</v>
      </c>
    </row>
    <row r="20">
      <c r="A20" s="6" t="s">
        <v>12</v>
      </c>
      <c r="B20" s="18">
        <v>1.0</v>
      </c>
      <c r="C20" s="19">
        <f t="shared" si="4"/>
        <v>795</v>
      </c>
      <c r="D20" s="21">
        <v>2.98</v>
      </c>
      <c r="E20" s="19">
        <f t="shared" si="3"/>
        <v>2369.1</v>
      </c>
      <c r="H20" s="8">
        <v>19.0</v>
      </c>
      <c r="I20" s="9" t="str">
        <f>'ملخص الفرز'!B20</f>
        <v>D34-4R</v>
      </c>
      <c r="J20" s="10">
        <f>'ملخص الفرز'!C20</f>
        <v>876</v>
      </c>
      <c r="K20" s="11">
        <f>'ملخص الفرز'!F20</f>
        <v>925</v>
      </c>
      <c r="L20" s="10">
        <f t="shared" si="2"/>
        <v>49</v>
      </c>
    </row>
    <row r="21">
      <c r="A21" s="22" t="s">
        <v>13</v>
      </c>
      <c r="B21" s="21" t="s">
        <v>25</v>
      </c>
      <c r="C21" s="18">
        <f>792+9</f>
        <v>801</v>
      </c>
      <c r="D21" s="21">
        <v>3.68</v>
      </c>
      <c r="E21" s="19">
        <f t="shared" si="3"/>
        <v>2947.68</v>
      </c>
      <c r="H21" s="8">
        <v>20.0</v>
      </c>
      <c r="I21" s="9" t="str">
        <f>'ملخص الفرز'!B21</f>
        <v>D35-1L</v>
      </c>
      <c r="J21" s="10">
        <f>'ملخص الفرز'!C21</f>
        <v>987</v>
      </c>
      <c r="K21" s="11">
        <f>'ملخص الفرز'!F21</f>
        <v>1050</v>
      </c>
      <c r="L21" s="10">
        <f t="shared" si="2"/>
        <v>63</v>
      </c>
    </row>
    <row r="22">
      <c r="A22" s="20"/>
      <c r="B22" s="21" t="s">
        <v>26</v>
      </c>
      <c r="C22" s="19">
        <f>B7-C21</f>
        <v>1074</v>
      </c>
      <c r="D22" s="21">
        <v>3.06</v>
      </c>
      <c r="E22" s="19">
        <f t="shared" si="3"/>
        <v>3286.44</v>
      </c>
      <c r="H22" s="8">
        <v>21.0</v>
      </c>
      <c r="I22" s="9" t="str">
        <f>'ملخص الفرز'!B22</f>
        <v>D35-1R</v>
      </c>
      <c r="J22" s="10">
        <f>'ملخص الفرز'!C22</f>
        <v>783</v>
      </c>
      <c r="K22" s="11">
        <f>'ملخص الفرز'!F22</f>
        <v>925</v>
      </c>
      <c r="L22" s="10">
        <f t="shared" si="2"/>
        <v>142</v>
      </c>
    </row>
    <row r="23">
      <c r="A23" s="6" t="s">
        <v>14</v>
      </c>
      <c r="B23" s="18">
        <v>1.0</v>
      </c>
      <c r="C23" s="19">
        <f t="shared" ref="C23:C24" si="5">B8</f>
        <v>1122</v>
      </c>
      <c r="D23" s="21">
        <v>4.4648</v>
      </c>
      <c r="E23" s="19">
        <f t="shared" si="3"/>
        <v>5009.5056</v>
      </c>
      <c r="H23" s="8">
        <v>22.0</v>
      </c>
      <c r="I23" s="9" t="str">
        <f>'ملخص الفرز'!B23</f>
        <v>D35-2R</v>
      </c>
      <c r="J23" s="10">
        <f>'ملخص الفرز'!C23</f>
        <v>885</v>
      </c>
      <c r="K23" s="11">
        <f>'ملخص الفرز'!F23</f>
        <v>925</v>
      </c>
      <c r="L23" s="10">
        <f t="shared" si="2"/>
        <v>40</v>
      </c>
    </row>
    <row r="24">
      <c r="A24" s="6" t="s">
        <v>15</v>
      </c>
      <c r="B24" s="18">
        <v>1.0</v>
      </c>
      <c r="C24" s="19">
        <f t="shared" si="5"/>
        <v>2605</v>
      </c>
      <c r="D24" s="21">
        <v>3.52</v>
      </c>
      <c r="E24" s="19">
        <f t="shared" si="3"/>
        <v>9169.6</v>
      </c>
      <c r="H24" s="8">
        <v>23.0</v>
      </c>
      <c r="I24" s="9" t="str">
        <f>'ملخص الفرز'!B24</f>
        <v>D35-3R</v>
      </c>
      <c r="J24" s="10">
        <f>'ملخص الفرز'!C24</f>
        <v>1152</v>
      </c>
      <c r="K24" s="11">
        <f>'ملخص الفرز'!F24</f>
        <v>1200</v>
      </c>
      <c r="L24" s="10">
        <f t="shared" si="2"/>
        <v>48</v>
      </c>
    </row>
    <row r="25">
      <c r="E25" s="19">
        <f>SUM(E15:E24)</f>
        <v>36673.7506</v>
      </c>
      <c r="H25" s="8">
        <v>24.0</v>
      </c>
      <c r="I25" s="9" t="str">
        <f>'ملخص الفرز'!B25</f>
        <v>D36-1L</v>
      </c>
      <c r="J25" s="10">
        <f>'ملخص الفرز'!C25</f>
        <v>540</v>
      </c>
      <c r="K25" s="11">
        <f>'ملخص الفرز'!F25</f>
        <v>550</v>
      </c>
      <c r="L25" s="10">
        <f t="shared" si="2"/>
        <v>10</v>
      </c>
    </row>
    <row r="26">
      <c r="H26" s="8">
        <v>25.0</v>
      </c>
      <c r="I26" s="9" t="str">
        <f>'ملخص الفرز'!B26</f>
        <v>D36-2L</v>
      </c>
      <c r="J26" s="10">
        <f>'ملخص الفرز'!C26</f>
        <v>906</v>
      </c>
      <c r="K26" s="11">
        <f>'ملخص الفرز'!F26</f>
        <v>1030</v>
      </c>
      <c r="L26" s="10">
        <f t="shared" si="2"/>
        <v>124</v>
      </c>
    </row>
    <row r="27">
      <c r="H27" s="8">
        <v>26.0</v>
      </c>
      <c r="I27" s="9" t="str">
        <f>'ملخص الفرز'!B27</f>
        <v>D37-1L</v>
      </c>
      <c r="J27" s="10">
        <f>'ملخص الفرز'!C27</f>
        <v>927</v>
      </c>
      <c r="K27" s="11">
        <f>'ملخص الفرز'!F27</f>
        <v>925</v>
      </c>
      <c r="L27" s="10">
        <f t="shared" si="2"/>
        <v>-2</v>
      </c>
    </row>
    <row r="28">
      <c r="E28" s="23"/>
      <c r="H28" s="8">
        <v>27.0</v>
      </c>
      <c r="I28" s="9" t="str">
        <f>'ملخص الفرز'!B28</f>
        <v>D37-1R</v>
      </c>
      <c r="J28" s="10">
        <f>'ملخص الفرز'!C28</f>
        <v>897</v>
      </c>
      <c r="K28" s="11">
        <f>'ملخص الفرز'!F28</f>
        <v>925</v>
      </c>
      <c r="L28" s="10">
        <f t="shared" si="2"/>
        <v>28</v>
      </c>
    </row>
    <row r="29">
      <c r="E29" s="23"/>
      <c r="H29" s="8">
        <v>28.0</v>
      </c>
      <c r="I29" s="9" t="str">
        <f>'ملخص الفرز'!B29</f>
        <v>D37-2L</v>
      </c>
      <c r="J29" s="10">
        <f>'ملخص الفرز'!C29</f>
        <v>930</v>
      </c>
      <c r="K29" s="11">
        <f>'ملخص الفرز'!F29</f>
        <v>925</v>
      </c>
      <c r="L29" s="10">
        <f t="shared" si="2"/>
        <v>-5</v>
      </c>
    </row>
    <row r="30">
      <c r="E30" s="23"/>
      <c r="H30" s="8">
        <v>29.0</v>
      </c>
      <c r="I30" s="9" t="str">
        <f>'ملخص الفرز'!B30</f>
        <v>D37-2R</v>
      </c>
      <c r="J30" s="10">
        <f>'ملخص الفرز'!C30</f>
        <v>924</v>
      </c>
      <c r="K30" s="11">
        <f>'ملخص الفرز'!F30</f>
        <v>925</v>
      </c>
      <c r="L30" s="10">
        <f t="shared" si="2"/>
        <v>1</v>
      </c>
    </row>
    <row r="31">
      <c r="H31" s="8">
        <v>30.0</v>
      </c>
      <c r="I31" s="9" t="str">
        <f>'ملخص الفرز'!B31</f>
        <v>D38-1L</v>
      </c>
      <c r="J31" s="10">
        <f>'ملخص الفرز'!C31</f>
        <v>912</v>
      </c>
      <c r="K31" s="11">
        <f>'ملخص الفرز'!F31</f>
        <v>925</v>
      </c>
      <c r="L31" s="10">
        <f t="shared" si="2"/>
        <v>13</v>
      </c>
    </row>
    <row r="32">
      <c r="H32" s="8">
        <v>31.0</v>
      </c>
      <c r="I32" s="9" t="str">
        <f>'ملخص الفرز'!B32</f>
        <v>D38-2L</v>
      </c>
      <c r="J32" s="10">
        <f>'ملخص الفرز'!C32</f>
        <v>909</v>
      </c>
      <c r="K32" s="11">
        <f>'ملخص الفرز'!F32</f>
        <v>1000</v>
      </c>
      <c r="L32" s="10">
        <f t="shared" si="2"/>
        <v>91</v>
      </c>
    </row>
    <row r="33">
      <c r="A33" s="24" t="s">
        <v>27</v>
      </c>
      <c r="B33" s="15" t="s">
        <v>19</v>
      </c>
      <c r="C33" s="16" t="s">
        <v>20</v>
      </c>
      <c r="D33" s="16" t="s">
        <v>21</v>
      </c>
      <c r="E33" s="16" t="s">
        <v>22</v>
      </c>
      <c r="H33" s="8">
        <v>32.0</v>
      </c>
      <c r="I33" s="9" t="str">
        <f>'ملخص الفرز'!B33</f>
        <v>D38-3L</v>
      </c>
      <c r="J33" s="10">
        <f>'ملخص الفرز'!C33</f>
        <v>1395</v>
      </c>
      <c r="K33" s="11">
        <f>'ملخص الفرز'!F33</f>
        <v>1460</v>
      </c>
      <c r="L33" s="10">
        <f t="shared" si="2"/>
        <v>65</v>
      </c>
    </row>
    <row r="34">
      <c r="A34" s="25" t="s">
        <v>16</v>
      </c>
      <c r="B34" s="21" t="s">
        <v>28</v>
      </c>
      <c r="C34" s="19">
        <f>466*3</f>
        <v>1398</v>
      </c>
      <c r="D34" s="21">
        <v>5.1</v>
      </c>
      <c r="E34" s="19">
        <f t="shared" ref="E34:E37" si="6">D34*C34</f>
        <v>7129.8</v>
      </c>
      <c r="H34" s="8">
        <v>33.0</v>
      </c>
      <c r="I34" s="9" t="str">
        <f>'ملخص الفرز'!B34</f>
        <v>D39-1R</v>
      </c>
      <c r="J34" s="10">
        <f>'ملخص الفرز'!C34</f>
        <v>822</v>
      </c>
      <c r="K34" s="11">
        <f>'ملخص الفرز'!F34</f>
        <v>925</v>
      </c>
      <c r="L34" s="10">
        <f t="shared" si="2"/>
        <v>103</v>
      </c>
    </row>
    <row r="35">
      <c r="A35" s="20"/>
      <c r="B35" s="21" t="s">
        <v>29</v>
      </c>
      <c r="C35" s="19">
        <f>B10-C34</f>
        <v>1500</v>
      </c>
      <c r="D35" s="21">
        <v>3.98</v>
      </c>
      <c r="E35" s="19">
        <f t="shared" si="6"/>
        <v>5970</v>
      </c>
      <c r="H35" s="8">
        <v>34.0</v>
      </c>
      <c r="I35" s="9" t="str">
        <f>'ملخص الفرز'!B35</f>
        <v>D39-2R</v>
      </c>
      <c r="J35" s="10">
        <f>'ملخص الفرز'!C35</f>
        <v>825</v>
      </c>
      <c r="K35" s="11">
        <f>'ملخص الفرز'!F35</f>
        <v>925</v>
      </c>
      <c r="L35" s="10">
        <f t="shared" si="2"/>
        <v>100</v>
      </c>
    </row>
    <row r="36">
      <c r="A36" s="25" t="s">
        <v>30</v>
      </c>
      <c r="B36" s="18">
        <v>1.0</v>
      </c>
      <c r="C36" s="21">
        <v>3261.0</v>
      </c>
      <c r="D36" s="21">
        <v>6.451</v>
      </c>
      <c r="E36" s="19">
        <f t="shared" si="6"/>
        <v>21036.711</v>
      </c>
      <c r="H36" s="8">
        <v>35.0</v>
      </c>
      <c r="I36" s="9" t="str">
        <f>'ملخص الفرز'!B36</f>
        <v>D39-3R</v>
      </c>
      <c r="J36" s="10">
        <f>'ملخص الفرز'!C36</f>
        <v>1413</v>
      </c>
      <c r="K36" s="11">
        <f>'ملخص الفرز'!F36</f>
        <v>1465</v>
      </c>
      <c r="L36" s="10">
        <f t="shared" si="2"/>
        <v>52</v>
      </c>
    </row>
    <row r="37">
      <c r="A37" s="20"/>
      <c r="B37" s="18">
        <v>2.0</v>
      </c>
      <c r="C37" s="19">
        <f>B11-C36</f>
        <v>2361</v>
      </c>
      <c r="D37" s="21">
        <v>4.72</v>
      </c>
      <c r="E37" s="19">
        <f t="shared" si="6"/>
        <v>11143.92</v>
      </c>
      <c r="H37" s="8">
        <v>36.0</v>
      </c>
      <c r="I37" s="9" t="str">
        <f>'ملخص الفرز'!B37</f>
        <v>D40-1L</v>
      </c>
      <c r="J37" s="10">
        <f>'ملخص الفرز'!C37</f>
        <v>645</v>
      </c>
      <c r="K37" s="11">
        <f>'ملخص الفرز'!F37</f>
        <v>775</v>
      </c>
      <c r="L37" s="10">
        <f t="shared" si="2"/>
        <v>130</v>
      </c>
    </row>
    <row r="38">
      <c r="E38" s="19">
        <f>SUM(E34:E37)</f>
        <v>45280.431</v>
      </c>
      <c r="H38" s="8">
        <v>37.0</v>
      </c>
      <c r="I38" s="9" t="str">
        <f>'ملخص الفرز'!B38</f>
        <v>D40-1R</v>
      </c>
      <c r="J38" s="10">
        <f>'ملخص الفرز'!C38</f>
        <v>663</v>
      </c>
      <c r="K38" s="11">
        <f>'ملخص الفرز'!F38</f>
        <v>975</v>
      </c>
      <c r="L38" s="10">
        <f t="shared" si="2"/>
        <v>312</v>
      </c>
    </row>
    <row r="39">
      <c r="H39" s="8">
        <v>38.0</v>
      </c>
      <c r="I39" s="9" t="str">
        <f>'ملخص الفرز'!B39</f>
        <v>D40-2L</v>
      </c>
      <c r="J39" s="10">
        <f>'ملخص الفرز'!C39</f>
        <v>831</v>
      </c>
      <c r="K39" s="11">
        <f>'ملخص الفرز'!F39</f>
        <v>875</v>
      </c>
      <c r="L39" s="10">
        <f t="shared" si="2"/>
        <v>44</v>
      </c>
    </row>
    <row r="40">
      <c r="H40" s="8">
        <v>39.0</v>
      </c>
      <c r="I40" s="9" t="str">
        <f>'ملخص الفرز'!B40</f>
        <v>D40-2L-1</v>
      </c>
      <c r="J40" s="10">
        <f>'ملخص الفرز'!C40</f>
        <v>981</v>
      </c>
      <c r="K40" s="11">
        <f>'ملخص الفرز'!F40</f>
        <v>1050</v>
      </c>
      <c r="L40" s="10">
        <f t="shared" si="2"/>
        <v>69</v>
      </c>
    </row>
    <row r="41">
      <c r="H41" s="8">
        <v>40.0</v>
      </c>
      <c r="I41" s="9" t="str">
        <f>'ملخص الفرز'!B41</f>
        <v>D40-2R</v>
      </c>
      <c r="J41" s="10">
        <f>'ملخص الفرز'!C41</f>
        <v>744</v>
      </c>
      <c r="K41" s="11">
        <f>'ملخص الفرز'!F41</f>
        <v>925</v>
      </c>
      <c r="L41" s="10">
        <f t="shared" si="2"/>
        <v>181</v>
      </c>
    </row>
    <row r="42">
      <c r="H42" s="8">
        <v>41.0</v>
      </c>
      <c r="I42" s="9" t="str">
        <f>'ملخص الفرز'!B42</f>
        <v>D40-3L</v>
      </c>
      <c r="J42" s="10">
        <f>'ملخص الفرز'!C42</f>
        <v>318</v>
      </c>
      <c r="K42" s="11">
        <f>'ملخص الفرز'!F42</f>
        <v>325</v>
      </c>
      <c r="L42" s="10">
        <f t="shared" si="2"/>
        <v>7</v>
      </c>
    </row>
    <row r="43">
      <c r="H43" s="8">
        <v>42.0</v>
      </c>
      <c r="I43" s="9" t="str">
        <f>'ملخص الفرز'!B43</f>
        <v>D40-3R</v>
      </c>
      <c r="J43" s="10">
        <f>'ملخص الفرز'!C43</f>
        <v>765</v>
      </c>
      <c r="K43" s="11">
        <f>'ملخص الفرز'!F43</f>
        <v>925</v>
      </c>
      <c r="L43" s="10">
        <f t="shared" si="2"/>
        <v>160</v>
      </c>
    </row>
    <row r="44">
      <c r="H44" s="8">
        <v>43.0</v>
      </c>
      <c r="I44" s="9" t="str">
        <f>'ملخص الفرز'!B44</f>
        <v>D40-4L</v>
      </c>
      <c r="J44" s="10">
        <f>'ملخص الفرز'!C44</f>
        <v>786</v>
      </c>
      <c r="K44" s="11">
        <f>'ملخص الفرز'!F44</f>
        <v>875</v>
      </c>
      <c r="L44" s="10">
        <f t="shared" si="2"/>
        <v>89</v>
      </c>
    </row>
    <row r="45">
      <c r="H45" s="8">
        <v>44.0</v>
      </c>
      <c r="I45" s="9" t="str">
        <f>'ملخص الفرز'!B45</f>
        <v>D40-4L-1</v>
      </c>
      <c r="J45" s="10">
        <f>'ملخص الفرز'!C45</f>
        <v>1149</v>
      </c>
      <c r="K45" s="11">
        <f>'ملخص الفرز'!F45</f>
        <v>1270</v>
      </c>
      <c r="L45" s="10">
        <f t="shared" si="2"/>
        <v>121</v>
      </c>
    </row>
    <row r="46">
      <c r="H46" s="8">
        <v>45.0</v>
      </c>
      <c r="I46" s="9" t="str">
        <f>'ملخص الفرز'!B46</f>
        <v>D40-4R</v>
      </c>
      <c r="J46" s="10">
        <f>'ملخص الفرز'!C46</f>
        <v>675</v>
      </c>
      <c r="K46" s="11">
        <f>'ملخص الفرز'!F46</f>
        <v>775</v>
      </c>
      <c r="L46" s="10">
        <f t="shared" si="2"/>
        <v>100</v>
      </c>
    </row>
    <row r="47">
      <c r="H47" s="8">
        <v>46.0</v>
      </c>
      <c r="I47" s="9" t="str">
        <f>'ملخص الفرز'!B47</f>
        <v>D41-1L</v>
      </c>
      <c r="J47" s="10">
        <f>'ملخص الفرز'!C47</f>
        <v>867</v>
      </c>
      <c r="K47" s="11">
        <f>'ملخص الفرز'!F47</f>
        <v>925</v>
      </c>
      <c r="L47" s="10">
        <f t="shared" si="2"/>
        <v>58</v>
      </c>
    </row>
    <row r="48">
      <c r="H48" s="8">
        <v>47.0</v>
      </c>
      <c r="I48" s="9" t="str">
        <f>'ملخص الفرز'!B48</f>
        <v>D41-1R</v>
      </c>
      <c r="J48" s="10">
        <f>'ملخص الفرز'!C48</f>
        <v>516</v>
      </c>
      <c r="K48" s="11">
        <f>'ملخص الفرز'!F48</f>
        <v>1075</v>
      </c>
      <c r="L48" s="10">
        <f t="shared" si="2"/>
        <v>559</v>
      </c>
    </row>
    <row r="49">
      <c r="H49" s="8">
        <v>48.0</v>
      </c>
      <c r="I49" s="9" t="str">
        <f>'ملخص الفرز'!B49</f>
        <v>D41-2L</v>
      </c>
      <c r="J49" s="10">
        <f>'ملخص الفرز'!C49</f>
        <v>924</v>
      </c>
      <c r="K49" s="11">
        <f>'ملخص الفرز'!F49</f>
        <v>925</v>
      </c>
      <c r="L49" s="10">
        <f t="shared" si="2"/>
        <v>1</v>
      </c>
    </row>
    <row r="50">
      <c r="H50" s="8">
        <v>49.0</v>
      </c>
      <c r="I50" s="9" t="str">
        <f>'ملخص الفرز'!B50</f>
        <v>D41-2R</v>
      </c>
      <c r="J50" s="10">
        <f>'ملخص الفرز'!C50</f>
        <v>858</v>
      </c>
      <c r="K50" s="11">
        <f>'ملخص الفرز'!F50</f>
        <v>925</v>
      </c>
      <c r="L50" s="10">
        <f t="shared" si="2"/>
        <v>67</v>
      </c>
    </row>
    <row r="51">
      <c r="H51" s="8">
        <v>50.0</v>
      </c>
      <c r="I51" s="9" t="str">
        <f>'ملخص الفرز'!B51</f>
        <v>D41-3L</v>
      </c>
      <c r="J51" s="10">
        <f>'ملخص الفرز'!C51</f>
        <v>924</v>
      </c>
      <c r="K51" s="11">
        <f>'ملخص الفرز'!F51</f>
        <v>925</v>
      </c>
      <c r="L51" s="10">
        <f t="shared" si="2"/>
        <v>1</v>
      </c>
    </row>
    <row r="52">
      <c r="H52" s="8">
        <v>51.0</v>
      </c>
      <c r="I52" s="9" t="str">
        <f>'ملخص الفرز'!B52</f>
        <v>D41-3R</v>
      </c>
      <c r="J52" s="10">
        <f>'ملخص الفرز'!C52</f>
        <v>924</v>
      </c>
      <c r="K52" s="11">
        <f>'ملخص الفرز'!F52</f>
        <v>925</v>
      </c>
      <c r="L52" s="10">
        <f t="shared" si="2"/>
        <v>1</v>
      </c>
    </row>
    <row r="53">
      <c r="H53" s="8">
        <v>52.0</v>
      </c>
      <c r="I53" s="9" t="str">
        <f>'ملخص الفرز'!B53</f>
        <v>D41-4L</v>
      </c>
      <c r="J53" s="10">
        <f>'ملخص الفرز'!C53</f>
        <v>909</v>
      </c>
      <c r="K53" s="11">
        <f>'ملخص الفرز'!F53</f>
        <v>925</v>
      </c>
      <c r="L53" s="10">
        <f t="shared" si="2"/>
        <v>16</v>
      </c>
    </row>
    <row r="54">
      <c r="H54" s="8">
        <v>53.0</v>
      </c>
      <c r="I54" s="9" t="str">
        <f>'ملخص الفرز'!B54</f>
        <v>D41-4R</v>
      </c>
      <c r="J54" s="10">
        <f>'ملخص الفرز'!C54</f>
        <v>933</v>
      </c>
      <c r="K54" s="11">
        <f>'ملخص الفرز'!F54</f>
        <v>925</v>
      </c>
      <c r="L54" s="10">
        <f t="shared" si="2"/>
        <v>-8</v>
      </c>
    </row>
    <row r="55">
      <c r="H55" s="8">
        <v>54.0</v>
      </c>
      <c r="I55" s="9" t="str">
        <f>'ملخص الفرز'!B55</f>
        <v>D41-5L</v>
      </c>
      <c r="J55" s="10">
        <f>'ملخص الفرز'!C55</f>
        <v>924</v>
      </c>
      <c r="K55" s="11">
        <f>'ملخص الفرز'!F55</f>
        <v>925</v>
      </c>
      <c r="L55" s="10">
        <f t="shared" si="2"/>
        <v>1</v>
      </c>
    </row>
    <row r="56">
      <c r="H56" s="8">
        <v>55.0</v>
      </c>
      <c r="I56" s="9" t="str">
        <f>'ملخص الفرز'!B56</f>
        <v>D41-5R</v>
      </c>
      <c r="J56" s="10">
        <f>'ملخص الفرز'!C56</f>
        <v>918</v>
      </c>
      <c r="K56" s="11">
        <f>'ملخص الفرز'!F56</f>
        <v>925</v>
      </c>
      <c r="L56" s="10">
        <f t="shared" si="2"/>
        <v>7</v>
      </c>
    </row>
    <row r="57">
      <c r="H57" s="8">
        <v>56.0</v>
      </c>
      <c r="I57" s="9" t="str">
        <f>'ملخص الفرز'!B57</f>
        <v>D42-1L</v>
      </c>
      <c r="J57" s="10">
        <f>'ملخص الفرز'!C57</f>
        <v>810</v>
      </c>
      <c r="K57" s="11">
        <f>'ملخص الفرز'!F57</f>
        <v>925</v>
      </c>
      <c r="L57" s="10">
        <f t="shared" si="2"/>
        <v>115</v>
      </c>
    </row>
    <row r="58">
      <c r="H58" s="8">
        <v>57.0</v>
      </c>
      <c r="I58" s="9" t="str">
        <f>'ملخص الفرز'!B58</f>
        <v>D42-1R</v>
      </c>
      <c r="J58" s="10">
        <f>'ملخص الفرز'!C58</f>
        <v>909</v>
      </c>
      <c r="K58" s="11">
        <f>'ملخص الفرز'!F58</f>
        <v>925</v>
      </c>
      <c r="L58" s="10">
        <f t="shared" si="2"/>
        <v>16</v>
      </c>
    </row>
    <row r="59">
      <c r="H59" s="8">
        <v>58.0</v>
      </c>
      <c r="I59" s="9" t="str">
        <f>'ملخص الفرز'!B59</f>
        <v>D42-2L</v>
      </c>
      <c r="J59" s="10">
        <f>'ملخص الفرز'!C59</f>
        <v>927</v>
      </c>
      <c r="K59" s="11">
        <f>'ملخص الفرز'!F59</f>
        <v>925</v>
      </c>
      <c r="L59" s="10">
        <f t="shared" si="2"/>
        <v>-2</v>
      </c>
    </row>
    <row r="60">
      <c r="H60" s="8">
        <v>59.0</v>
      </c>
      <c r="I60" s="9" t="str">
        <f>'ملخص الفرز'!B60</f>
        <v>D42-2R</v>
      </c>
      <c r="J60" s="10">
        <f>'ملخص الفرز'!C60</f>
        <v>918</v>
      </c>
      <c r="K60" s="11">
        <f>'ملخص الفرز'!F60</f>
        <v>925</v>
      </c>
      <c r="L60" s="10">
        <f t="shared" si="2"/>
        <v>7</v>
      </c>
    </row>
    <row r="61">
      <c r="H61" s="8">
        <v>60.0</v>
      </c>
      <c r="I61" s="9" t="str">
        <f>'ملخص الفرز'!B61</f>
        <v>D42-3R</v>
      </c>
      <c r="J61" s="10">
        <f>'ملخص الفرز'!C61</f>
        <v>921</v>
      </c>
      <c r="K61" s="11">
        <f>'ملخص الفرز'!F61</f>
        <v>925</v>
      </c>
      <c r="L61" s="10">
        <f t="shared" si="2"/>
        <v>4</v>
      </c>
    </row>
    <row r="62">
      <c r="H62" s="8">
        <v>61.0</v>
      </c>
      <c r="I62" s="9" t="str">
        <f>'ملخص الفرز'!B62</f>
        <v>D42-4L</v>
      </c>
      <c r="J62" s="10">
        <f>'ملخص الفرز'!C62</f>
        <v>918</v>
      </c>
      <c r="K62" s="11">
        <f>'ملخص الفرز'!F62</f>
        <v>925</v>
      </c>
      <c r="L62" s="10">
        <f t="shared" si="2"/>
        <v>7</v>
      </c>
    </row>
    <row r="63">
      <c r="H63" s="8">
        <v>62.0</v>
      </c>
      <c r="I63" s="9" t="str">
        <f>'ملخص الفرز'!B63</f>
        <v>D42-4R</v>
      </c>
      <c r="J63" s="10">
        <f>'ملخص الفرز'!C63</f>
        <v>933</v>
      </c>
      <c r="K63" s="11">
        <f>'ملخص الفرز'!F63</f>
        <v>925</v>
      </c>
      <c r="L63" s="10">
        <f t="shared" si="2"/>
        <v>-8</v>
      </c>
    </row>
    <row r="64">
      <c r="H64" s="8">
        <v>63.0</v>
      </c>
      <c r="I64" s="9" t="str">
        <f>'ملخص الفرز'!B64</f>
        <v>D42-5L</v>
      </c>
      <c r="J64" s="10">
        <f>'ملخص الفرز'!C64</f>
        <v>903</v>
      </c>
      <c r="K64" s="11">
        <f>'ملخص الفرز'!F64</f>
        <v>925</v>
      </c>
      <c r="L64" s="10">
        <f t="shared" si="2"/>
        <v>22</v>
      </c>
    </row>
    <row r="65">
      <c r="H65" s="8">
        <v>64.0</v>
      </c>
      <c r="I65" s="9" t="str">
        <f>'ملخص الفرز'!B65</f>
        <v>D42-5R</v>
      </c>
      <c r="J65" s="10">
        <f>'ملخص الفرز'!C65</f>
        <v>927</v>
      </c>
      <c r="K65" s="11">
        <f>'ملخص الفرز'!F65</f>
        <v>925</v>
      </c>
      <c r="L65" s="10">
        <f t="shared" si="2"/>
        <v>-2</v>
      </c>
    </row>
  </sheetData>
  <mergeCells count="4">
    <mergeCell ref="A15:A16"/>
    <mergeCell ref="A21:A22"/>
    <mergeCell ref="A34:A35"/>
    <mergeCell ref="A36:A37"/>
  </mergeCells>
  <printOptions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43"/>
    <col customWidth="1" min="2" max="2" width="8.57"/>
    <col customWidth="1" min="3" max="3" width="15.71"/>
    <col customWidth="1" min="7" max="7" width="10.0"/>
    <col customWidth="1" min="10" max="10" width="4.29"/>
    <col customWidth="1" min="11" max="11" width="6.43"/>
    <col customWidth="1" min="12" max="12" width="16.43"/>
    <col customWidth="1" min="13" max="13" width="22.0"/>
    <col customWidth="1" min="14" max="14" width="4.29"/>
    <col customWidth="1" min="15" max="15" width="6.43"/>
    <col customWidth="1" min="16" max="16" width="8.57"/>
    <col customWidth="1" min="17" max="17" width="8.14"/>
    <col customWidth="1" min="18" max="18" width="9.86"/>
  </cols>
  <sheetData>
    <row r="1">
      <c r="A1" s="26"/>
      <c r="B1" s="27"/>
      <c r="C1" s="28"/>
      <c r="D1" s="28"/>
      <c r="E1" s="28"/>
      <c r="F1" s="28"/>
      <c r="G1" s="28"/>
      <c r="H1" s="29"/>
      <c r="I1" s="30"/>
      <c r="J1" s="31"/>
      <c r="K1" s="31"/>
      <c r="L1" s="32"/>
      <c r="M1" s="33"/>
      <c r="N1" s="31"/>
      <c r="O1" s="31"/>
      <c r="P1" s="34"/>
      <c r="Q1" s="35"/>
      <c r="R1" s="35"/>
      <c r="S1" s="31"/>
    </row>
    <row r="2">
      <c r="A2" s="26"/>
      <c r="B2" s="27"/>
      <c r="C2" s="28"/>
      <c r="D2" s="36"/>
      <c r="E2" s="28"/>
      <c r="F2" s="28"/>
      <c r="G2" s="28"/>
      <c r="H2" s="29"/>
      <c r="I2" s="30"/>
      <c r="J2" s="31"/>
      <c r="K2" s="31"/>
      <c r="L2" s="32"/>
      <c r="M2" s="33"/>
      <c r="N2" s="37"/>
      <c r="O2" s="31"/>
      <c r="P2" s="34"/>
      <c r="Q2" s="35"/>
      <c r="R2" s="35"/>
      <c r="S2" s="31"/>
    </row>
    <row r="3">
      <c r="A3" s="26"/>
      <c r="B3" s="27"/>
      <c r="C3" s="28"/>
      <c r="D3" s="36"/>
      <c r="E3" s="28"/>
      <c r="F3" s="28"/>
      <c r="G3" s="28"/>
      <c r="H3" s="29"/>
      <c r="I3" s="30"/>
      <c r="J3" s="31"/>
      <c r="K3" s="31"/>
      <c r="L3" s="38">
        <v>45861.0</v>
      </c>
      <c r="M3" s="39" t="s">
        <v>31</v>
      </c>
      <c r="N3" s="31"/>
      <c r="O3" s="31"/>
      <c r="P3" s="34"/>
      <c r="Q3" s="35"/>
      <c r="R3" s="35"/>
      <c r="S3" s="31"/>
    </row>
    <row r="4">
      <c r="A4" s="40"/>
      <c r="B4" s="41"/>
      <c r="C4" s="42"/>
      <c r="D4" s="43"/>
      <c r="E4" s="42"/>
      <c r="F4" s="42"/>
      <c r="G4" s="42"/>
      <c r="H4" s="42"/>
      <c r="I4" s="42"/>
      <c r="J4" s="31"/>
      <c r="K4" s="31">
        <f>sum(K7:K1054)</f>
        <v>12951</v>
      </c>
      <c r="L4" s="44">
        <f>(K4+O4)*3</f>
        <v>76905</v>
      </c>
      <c r="M4" s="45" t="s">
        <v>32</v>
      </c>
      <c r="N4" s="31"/>
      <c r="O4" s="31">
        <f>sum(O7:O1054)</f>
        <v>12684</v>
      </c>
      <c r="P4" s="34"/>
      <c r="Q4" s="35"/>
      <c r="R4" s="35"/>
      <c r="S4" s="31"/>
    </row>
    <row r="5">
      <c r="A5" s="46" t="s">
        <v>33</v>
      </c>
      <c r="B5" s="47" t="s">
        <v>34</v>
      </c>
      <c r="C5" s="48" t="s">
        <v>35</v>
      </c>
      <c r="D5" s="49" t="s">
        <v>36</v>
      </c>
      <c r="E5" s="50" t="s">
        <v>37</v>
      </c>
      <c r="F5" s="50" t="s">
        <v>38</v>
      </c>
      <c r="G5" s="50" t="s">
        <v>39</v>
      </c>
      <c r="H5" s="51" t="s">
        <v>40</v>
      </c>
      <c r="I5" s="52"/>
      <c r="J5" s="53" t="s">
        <v>41</v>
      </c>
      <c r="K5" s="53" t="s">
        <v>41</v>
      </c>
      <c r="L5" s="54" t="s">
        <v>42</v>
      </c>
      <c r="M5" s="52"/>
      <c r="N5" s="53" t="s">
        <v>41</v>
      </c>
      <c r="O5" s="53" t="s">
        <v>41</v>
      </c>
      <c r="P5" s="55" t="s">
        <v>43</v>
      </c>
      <c r="Q5" s="56" t="s">
        <v>44</v>
      </c>
      <c r="R5" s="56" t="s">
        <v>45</v>
      </c>
      <c r="S5" s="57"/>
    </row>
    <row r="6">
      <c r="B6" s="20"/>
      <c r="C6" s="20"/>
      <c r="D6" s="20"/>
      <c r="E6" s="20"/>
      <c r="F6" s="20"/>
      <c r="G6" s="20"/>
      <c r="H6" s="58" t="s">
        <v>46</v>
      </c>
      <c r="I6" s="59" t="s">
        <v>47</v>
      </c>
      <c r="J6" s="20"/>
      <c r="K6" s="20"/>
      <c r="L6" s="45" t="s">
        <v>46</v>
      </c>
      <c r="M6" s="60" t="s">
        <v>47</v>
      </c>
      <c r="N6" s="20"/>
      <c r="O6" s="20"/>
      <c r="P6" s="20"/>
      <c r="Q6" s="20"/>
      <c r="R6" s="20"/>
      <c r="S6" s="57"/>
    </row>
    <row r="7">
      <c r="A7" s="61" t="s">
        <v>48</v>
      </c>
      <c r="B7" s="62" t="s">
        <v>49</v>
      </c>
      <c r="C7" s="63" t="s">
        <v>50</v>
      </c>
      <c r="D7" s="64">
        <v>45557.0</v>
      </c>
      <c r="E7" s="65">
        <f t="shared" ref="E7:E72" si="1">D7+7</f>
        <v>45564</v>
      </c>
      <c r="F7" s="66">
        <f t="shared" ref="F7:F72" si="2">D7+28</f>
        <v>45585</v>
      </c>
      <c r="G7" s="67" t="s">
        <v>51</v>
      </c>
      <c r="H7" s="68">
        <v>1.0</v>
      </c>
      <c r="I7" s="69">
        <v>29.0</v>
      </c>
      <c r="J7" s="44">
        <f t="shared" ref="J7:J363" si="3">if(ISBLANK(H7),"",(((I7-H7)/2)+1))</f>
        <v>15</v>
      </c>
      <c r="K7" s="44">
        <f t="shared" ref="K7:K363" si="4">if($D7&lt;=$L$3,J7,0)</f>
        <v>15</v>
      </c>
      <c r="L7" s="68"/>
      <c r="M7" s="69"/>
      <c r="N7" s="44" t="str">
        <f t="shared" ref="N7:N363" si="5">if(ISBLANK(L7),"",(((M7-L7)/2)+1))</f>
        <v/>
      </c>
      <c r="O7" s="44" t="str">
        <f t="shared" ref="O7:O363" si="6">if($D7&lt;=$L$3,N7,0)</f>
        <v/>
      </c>
      <c r="P7" s="70"/>
      <c r="Q7" s="71"/>
      <c r="R7" s="71"/>
      <c r="S7" s="31"/>
    </row>
    <row r="8">
      <c r="A8" s="37" t="s">
        <v>48</v>
      </c>
      <c r="B8" s="62" t="s">
        <v>49</v>
      </c>
      <c r="C8" s="72" t="s">
        <v>52</v>
      </c>
      <c r="D8" s="64">
        <v>45574.0</v>
      </c>
      <c r="E8" s="65">
        <f t="shared" si="1"/>
        <v>45581</v>
      </c>
      <c r="F8" s="66">
        <f t="shared" si="2"/>
        <v>45602</v>
      </c>
      <c r="G8" s="67" t="s">
        <v>53</v>
      </c>
      <c r="H8" s="68">
        <v>1.0</v>
      </c>
      <c r="I8" s="69">
        <v>157.0</v>
      </c>
      <c r="J8" s="44">
        <f t="shared" si="3"/>
        <v>79</v>
      </c>
      <c r="K8" s="44">
        <f t="shared" si="4"/>
        <v>79</v>
      </c>
      <c r="L8" s="68"/>
      <c r="M8" s="69"/>
      <c r="N8" s="44" t="str">
        <f t="shared" si="5"/>
        <v/>
      </c>
      <c r="O8" s="44" t="str">
        <f t="shared" si="6"/>
        <v/>
      </c>
      <c r="P8" s="70"/>
      <c r="Q8" s="71"/>
      <c r="R8" s="71"/>
      <c r="S8" s="31"/>
    </row>
    <row r="9">
      <c r="A9" s="37" t="s">
        <v>48</v>
      </c>
      <c r="B9" s="62" t="s">
        <v>49</v>
      </c>
      <c r="C9" s="72" t="s">
        <v>54</v>
      </c>
      <c r="D9" s="64">
        <v>45575.0</v>
      </c>
      <c r="E9" s="65">
        <f t="shared" si="1"/>
        <v>45582</v>
      </c>
      <c r="F9" s="66">
        <f t="shared" si="2"/>
        <v>45603</v>
      </c>
      <c r="G9" s="67" t="s">
        <v>53</v>
      </c>
      <c r="H9" s="68">
        <v>159.0</v>
      </c>
      <c r="I9" s="69">
        <v>177.0</v>
      </c>
      <c r="J9" s="44">
        <f t="shared" si="3"/>
        <v>10</v>
      </c>
      <c r="K9" s="44">
        <f t="shared" si="4"/>
        <v>10</v>
      </c>
      <c r="L9" s="68"/>
      <c r="M9" s="69"/>
      <c r="N9" s="44" t="str">
        <f t="shared" si="5"/>
        <v/>
      </c>
      <c r="O9" s="44" t="str">
        <f t="shared" si="6"/>
        <v/>
      </c>
      <c r="P9" s="70"/>
      <c r="Q9" s="71"/>
      <c r="R9" s="71"/>
      <c r="S9" s="31"/>
    </row>
    <row r="10">
      <c r="A10" s="37" t="s">
        <v>48</v>
      </c>
      <c r="B10" s="62" t="s">
        <v>49</v>
      </c>
      <c r="C10" s="72" t="s">
        <v>54</v>
      </c>
      <c r="D10" s="64">
        <v>45575.0</v>
      </c>
      <c r="E10" s="64">
        <f t="shared" si="1"/>
        <v>45582</v>
      </c>
      <c r="F10" s="66">
        <f t="shared" si="2"/>
        <v>45603</v>
      </c>
      <c r="G10" s="67" t="s">
        <v>55</v>
      </c>
      <c r="H10" s="68">
        <v>1.0</v>
      </c>
      <c r="I10" s="69">
        <v>161.0</v>
      </c>
      <c r="J10" s="44">
        <f t="shared" si="3"/>
        <v>81</v>
      </c>
      <c r="K10" s="44">
        <f t="shared" si="4"/>
        <v>81</v>
      </c>
      <c r="L10" s="68"/>
      <c r="M10" s="69"/>
      <c r="N10" s="44" t="str">
        <f t="shared" si="5"/>
        <v/>
      </c>
      <c r="O10" s="44" t="str">
        <f t="shared" si="6"/>
        <v/>
      </c>
      <c r="P10" s="70"/>
      <c r="Q10" s="71"/>
      <c r="R10" s="71"/>
      <c r="S10" s="31"/>
    </row>
    <row r="11">
      <c r="A11" s="37" t="s">
        <v>48</v>
      </c>
      <c r="B11" s="62" t="s">
        <v>49</v>
      </c>
      <c r="C11" s="63" t="s">
        <v>56</v>
      </c>
      <c r="D11" s="64">
        <v>45577.0</v>
      </c>
      <c r="E11" s="64">
        <f t="shared" si="1"/>
        <v>45584</v>
      </c>
      <c r="F11" s="66">
        <f t="shared" si="2"/>
        <v>45605</v>
      </c>
      <c r="G11" s="67" t="s">
        <v>53</v>
      </c>
      <c r="H11" s="68"/>
      <c r="I11" s="69"/>
      <c r="J11" s="44" t="str">
        <f t="shared" si="3"/>
        <v/>
      </c>
      <c r="K11" s="44" t="str">
        <f t="shared" si="4"/>
        <v/>
      </c>
      <c r="L11" s="68">
        <v>2.0</v>
      </c>
      <c r="M11" s="69">
        <v>178.0</v>
      </c>
      <c r="N11" s="44">
        <f t="shared" si="5"/>
        <v>89</v>
      </c>
      <c r="O11" s="44">
        <f t="shared" si="6"/>
        <v>89</v>
      </c>
      <c r="P11" s="70"/>
      <c r="Q11" s="71"/>
      <c r="R11" s="71"/>
      <c r="S11" s="31"/>
    </row>
    <row r="12">
      <c r="A12" s="37" t="s">
        <v>48</v>
      </c>
      <c r="B12" s="62" t="s">
        <v>49</v>
      </c>
      <c r="C12" s="63" t="s">
        <v>56</v>
      </c>
      <c r="D12" s="64">
        <v>45577.0</v>
      </c>
      <c r="E12" s="64">
        <f t="shared" si="1"/>
        <v>45584</v>
      </c>
      <c r="F12" s="66">
        <f t="shared" si="2"/>
        <v>45605</v>
      </c>
      <c r="G12" s="67" t="s">
        <v>55</v>
      </c>
      <c r="H12" s="68"/>
      <c r="I12" s="69"/>
      <c r="J12" s="44" t="str">
        <f t="shared" si="3"/>
        <v/>
      </c>
      <c r="K12" s="44" t="str">
        <f t="shared" si="4"/>
        <v/>
      </c>
      <c r="L12" s="68">
        <v>2.0</v>
      </c>
      <c r="M12" s="69">
        <v>24.0</v>
      </c>
      <c r="N12" s="44">
        <f t="shared" si="5"/>
        <v>12</v>
      </c>
      <c r="O12" s="44">
        <f t="shared" si="6"/>
        <v>12</v>
      </c>
      <c r="P12" s="70"/>
      <c r="Q12" s="71"/>
      <c r="R12" s="71"/>
      <c r="S12" s="31"/>
    </row>
    <row r="13">
      <c r="A13" s="37" t="s">
        <v>48</v>
      </c>
      <c r="B13" s="62" t="s">
        <v>49</v>
      </c>
      <c r="C13" s="72" t="s">
        <v>57</v>
      </c>
      <c r="D13" s="64">
        <v>45578.0</v>
      </c>
      <c r="E13" s="64">
        <f t="shared" si="1"/>
        <v>45585</v>
      </c>
      <c r="F13" s="66">
        <f t="shared" si="2"/>
        <v>45606</v>
      </c>
      <c r="G13" s="67" t="s">
        <v>55</v>
      </c>
      <c r="H13" s="68">
        <v>163.0</v>
      </c>
      <c r="I13" s="69">
        <v>347.0</v>
      </c>
      <c r="J13" s="44">
        <f t="shared" si="3"/>
        <v>93</v>
      </c>
      <c r="K13" s="44">
        <f t="shared" si="4"/>
        <v>93</v>
      </c>
      <c r="L13" s="68"/>
      <c r="M13" s="69"/>
      <c r="N13" s="44" t="str">
        <f t="shared" si="5"/>
        <v/>
      </c>
      <c r="O13" s="44" t="str">
        <f t="shared" si="6"/>
        <v/>
      </c>
      <c r="P13" s="70"/>
      <c r="Q13" s="71"/>
      <c r="R13" s="71"/>
      <c r="S13" s="31"/>
    </row>
    <row r="14">
      <c r="A14" s="37" t="s">
        <v>48</v>
      </c>
      <c r="B14" s="62" t="s">
        <v>49</v>
      </c>
      <c r="C14" s="72" t="s">
        <v>58</v>
      </c>
      <c r="D14" s="64">
        <v>45579.0</v>
      </c>
      <c r="E14" s="64">
        <f t="shared" si="1"/>
        <v>45586</v>
      </c>
      <c r="F14" s="66">
        <f t="shared" si="2"/>
        <v>45607</v>
      </c>
      <c r="G14" s="67" t="s">
        <v>51</v>
      </c>
      <c r="H14" s="68">
        <v>31.0</v>
      </c>
      <c r="I14" s="69">
        <v>183.0</v>
      </c>
      <c r="J14" s="44">
        <f t="shared" si="3"/>
        <v>77</v>
      </c>
      <c r="K14" s="44">
        <f t="shared" si="4"/>
        <v>77</v>
      </c>
      <c r="L14" s="68"/>
      <c r="M14" s="69"/>
      <c r="N14" s="44" t="str">
        <f t="shared" si="5"/>
        <v/>
      </c>
      <c r="O14" s="44" t="str">
        <f t="shared" si="6"/>
        <v/>
      </c>
      <c r="P14" s="70"/>
      <c r="Q14" s="71"/>
      <c r="R14" s="71"/>
      <c r="S14" s="31"/>
    </row>
    <row r="15">
      <c r="A15" s="37" t="s">
        <v>48</v>
      </c>
      <c r="B15" s="62" t="s">
        <v>49</v>
      </c>
      <c r="C15" s="72" t="s">
        <v>59</v>
      </c>
      <c r="D15" s="64">
        <v>45579.0</v>
      </c>
      <c r="E15" s="64">
        <f t="shared" si="1"/>
        <v>45586</v>
      </c>
      <c r="F15" s="66">
        <f t="shared" si="2"/>
        <v>45607</v>
      </c>
      <c r="G15" s="67" t="s">
        <v>55</v>
      </c>
      <c r="H15" s="68"/>
      <c r="I15" s="69"/>
      <c r="J15" s="44" t="str">
        <f t="shared" si="3"/>
        <v/>
      </c>
      <c r="K15" s="44" t="str">
        <f t="shared" si="4"/>
        <v/>
      </c>
      <c r="L15" s="68">
        <v>26.0</v>
      </c>
      <c r="M15" s="69">
        <v>220.0</v>
      </c>
      <c r="N15" s="44">
        <f t="shared" si="5"/>
        <v>98</v>
      </c>
      <c r="O15" s="44">
        <f t="shared" si="6"/>
        <v>98</v>
      </c>
      <c r="P15" s="70"/>
      <c r="Q15" s="71"/>
      <c r="R15" s="71"/>
      <c r="S15" s="31"/>
    </row>
    <row r="16">
      <c r="A16" s="37" t="s">
        <v>48</v>
      </c>
      <c r="B16" s="62" t="s">
        <v>49</v>
      </c>
      <c r="C16" s="72" t="s">
        <v>60</v>
      </c>
      <c r="D16" s="64">
        <v>45580.0</v>
      </c>
      <c r="E16" s="64">
        <f t="shared" si="1"/>
        <v>45587</v>
      </c>
      <c r="F16" s="66">
        <f t="shared" si="2"/>
        <v>45608</v>
      </c>
      <c r="G16" s="67" t="s">
        <v>51</v>
      </c>
      <c r="H16" s="68">
        <v>185.0</v>
      </c>
      <c r="I16" s="69">
        <v>299.0</v>
      </c>
      <c r="J16" s="44">
        <f t="shared" si="3"/>
        <v>58</v>
      </c>
      <c r="K16" s="44">
        <f t="shared" si="4"/>
        <v>58</v>
      </c>
      <c r="L16" s="68"/>
      <c r="M16" s="69"/>
      <c r="N16" s="44" t="str">
        <f t="shared" si="5"/>
        <v/>
      </c>
      <c r="O16" s="44" t="str">
        <f t="shared" si="6"/>
        <v/>
      </c>
      <c r="P16" s="70"/>
      <c r="Q16" s="71"/>
      <c r="R16" s="71"/>
      <c r="S16" s="31"/>
    </row>
    <row r="17">
      <c r="A17" s="37" t="s">
        <v>48</v>
      </c>
      <c r="B17" s="62" t="s">
        <v>49</v>
      </c>
      <c r="C17" s="72" t="s">
        <v>60</v>
      </c>
      <c r="D17" s="64">
        <v>45580.0</v>
      </c>
      <c r="E17" s="64">
        <f t="shared" si="1"/>
        <v>45587</v>
      </c>
      <c r="F17" s="66">
        <f t="shared" si="2"/>
        <v>45608</v>
      </c>
      <c r="G17" s="67" t="s">
        <v>51</v>
      </c>
      <c r="H17" s="68"/>
      <c r="I17" s="69"/>
      <c r="J17" s="44" t="str">
        <f t="shared" si="3"/>
        <v/>
      </c>
      <c r="K17" s="44" t="str">
        <f t="shared" si="4"/>
        <v/>
      </c>
      <c r="L17" s="68">
        <v>4.0</v>
      </c>
      <c r="M17" s="69">
        <v>8.0</v>
      </c>
      <c r="N17" s="44">
        <f t="shared" si="5"/>
        <v>3</v>
      </c>
      <c r="O17" s="44">
        <f t="shared" si="6"/>
        <v>3</v>
      </c>
      <c r="P17" s="70"/>
      <c r="Q17" s="71"/>
      <c r="R17" s="71"/>
      <c r="S17" s="31"/>
    </row>
    <row r="18">
      <c r="A18" s="37" t="s">
        <v>48</v>
      </c>
      <c r="B18" s="62" t="s">
        <v>49</v>
      </c>
      <c r="C18" s="72" t="s">
        <v>61</v>
      </c>
      <c r="D18" s="64">
        <v>45580.0</v>
      </c>
      <c r="E18" s="64">
        <f t="shared" si="1"/>
        <v>45587</v>
      </c>
      <c r="F18" s="66">
        <f t="shared" si="2"/>
        <v>45608</v>
      </c>
      <c r="G18" s="67" t="s">
        <v>55</v>
      </c>
      <c r="H18" s="68"/>
      <c r="I18" s="69"/>
      <c r="J18" s="44" t="str">
        <f t="shared" si="3"/>
        <v/>
      </c>
      <c r="K18" s="44" t="str">
        <f t="shared" si="4"/>
        <v/>
      </c>
      <c r="L18" s="68">
        <v>220.0</v>
      </c>
      <c r="M18" s="69">
        <v>248.0</v>
      </c>
      <c r="N18" s="44">
        <f t="shared" si="5"/>
        <v>15</v>
      </c>
      <c r="O18" s="44">
        <f t="shared" si="6"/>
        <v>15</v>
      </c>
      <c r="P18" s="70"/>
      <c r="Q18" s="71"/>
      <c r="R18" s="71"/>
      <c r="S18" s="31"/>
    </row>
    <row r="19">
      <c r="A19" s="37" t="s">
        <v>48</v>
      </c>
      <c r="B19" s="62" t="s">
        <v>49</v>
      </c>
      <c r="C19" s="72" t="s">
        <v>62</v>
      </c>
      <c r="D19" s="64">
        <v>45581.0</v>
      </c>
      <c r="E19" s="64">
        <f t="shared" si="1"/>
        <v>45588</v>
      </c>
      <c r="F19" s="66">
        <f t="shared" si="2"/>
        <v>45609</v>
      </c>
      <c r="G19" s="67" t="s">
        <v>51</v>
      </c>
      <c r="H19" s="68"/>
      <c r="I19" s="69"/>
      <c r="J19" s="44" t="str">
        <f t="shared" si="3"/>
        <v/>
      </c>
      <c r="K19" s="44" t="str">
        <f t="shared" si="4"/>
        <v/>
      </c>
      <c r="L19" s="68">
        <v>10.0</v>
      </c>
      <c r="M19" s="69">
        <v>180.0</v>
      </c>
      <c r="N19" s="44">
        <f t="shared" si="5"/>
        <v>86</v>
      </c>
      <c r="O19" s="44">
        <f t="shared" si="6"/>
        <v>86</v>
      </c>
      <c r="P19" s="70"/>
      <c r="Q19" s="71"/>
      <c r="R19" s="71"/>
      <c r="S19" s="31"/>
    </row>
    <row r="20">
      <c r="A20" s="37" t="s">
        <v>48</v>
      </c>
      <c r="B20" s="62" t="s">
        <v>49</v>
      </c>
      <c r="C20" s="72" t="s">
        <v>63</v>
      </c>
      <c r="D20" s="64">
        <v>45582.0</v>
      </c>
      <c r="E20" s="64">
        <f t="shared" si="1"/>
        <v>45589</v>
      </c>
      <c r="F20" s="66">
        <f t="shared" si="2"/>
        <v>45610</v>
      </c>
      <c r="G20" s="67" t="s">
        <v>64</v>
      </c>
      <c r="H20" s="68">
        <v>1.0</v>
      </c>
      <c r="I20" s="69">
        <v>201.0</v>
      </c>
      <c r="J20" s="44">
        <f t="shared" si="3"/>
        <v>101</v>
      </c>
      <c r="K20" s="44">
        <f t="shared" si="4"/>
        <v>101</v>
      </c>
      <c r="L20" s="68"/>
      <c r="M20" s="69"/>
      <c r="N20" s="44" t="str">
        <f t="shared" si="5"/>
        <v/>
      </c>
      <c r="O20" s="44" t="str">
        <f t="shared" si="6"/>
        <v/>
      </c>
      <c r="P20" s="70"/>
      <c r="Q20" s="71"/>
      <c r="R20" s="71"/>
      <c r="S20" s="31"/>
    </row>
    <row r="21">
      <c r="A21" s="37" t="s">
        <v>48</v>
      </c>
      <c r="B21" s="62" t="s">
        <v>49</v>
      </c>
      <c r="C21" s="72" t="s">
        <v>65</v>
      </c>
      <c r="D21" s="64">
        <v>45584.0</v>
      </c>
      <c r="E21" s="64">
        <f t="shared" si="1"/>
        <v>45591</v>
      </c>
      <c r="F21" s="66">
        <f t="shared" si="2"/>
        <v>45612</v>
      </c>
      <c r="G21" s="67" t="s">
        <v>64</v>
      </c>
      <c r="H21" s="68"/>
      <c r="I21" s="69"/>
      <c r="J21" s="44" t="str">
        <f t="shared" si="3"/>
        <v/>
      </c>
      <c r="K21" s="44" t="str">
        <f t="shared" si="4"/>
        <v/>
      </c>
      <c r="L21" s="68">
        <v>2.0</v>
      </c>
      <c r="M21" s="69">
        <v>104.0</v>
      </c>
      <c r="N21" s="44">
        <f t="shared" si="5"/>
        <v>52</v>
      </c>
      <c r="O21" s="44">
        <f t="shared" si="6"/>
        <v>52</v>
      </c>
      <c r="P21" s="70"/>
      <c r="Q21" s="71"/>
      <c r="R21" s="71"/>
      <c r="S21" s="31"/>
    </row>
    <row r="22">
      <c r="A22" s="37" t="s">
        <v>48</v>
      </c>
      <c r="B22" s="62" t="s">
        <v>49</v>
      </c>
      <c r="C22" s="72" t="s">
        <v>65</v>
      </c>
      <c r="D22" s="64">
        <v>45584.0</v>
      </c>
      <c r="E22" s="64">
        <f t="shared" si="1"/>
        <v>45591</v>
      </c>
      <c r="F22" s="66">
        <f t="shared" si="2"/>
        <v>45612</v>
      </c>
      <c r="G22" s="67" t="s">
        <v>64</v>
      </c>
      <c r="H22" s="68">
        <v>203.0</v>
      </c>
      <c r="I22" s="69">
        <v>255.0</v>
      </c>
      <c r="J22" s="44">
        <f t="shared" si="3"/>
        <v>27</v>
      </c>
      <c r="K22" s="44">
        <f t="shared" si="4"/>
        <v>27</v>
      </c>
      <c r="L22" s="68"/>
      <c r="M22" s="69"/>
      <c r="N22" s="44" t="str">
        <f t="shared" si="5"/>
        <v/>
      </c>
      <c r="O22" s="44" t="str">
        <f t="shared" si="6"/>
        <v/>
      </c>
      <c r="P22" s="70"/>
      <c r="Q22" s="71"/>
      <c r="R22" s="71"/>
      <c r="S22" s="31"/>
    </row>
    <row r="23">
      <c r="A23" s="37" t="s">
        <v>48</v>
      </c>
      <c r="B23" s="62" t="s">
        <v>49</v>
      </c>
      <c r="C23" s="72" t="s">
        <v>66</v>
      </c>
      <c r="D23" s="64">
        <v>45585.0</v>
      </c>
      <c r="E23" s="64">
        <f t="shared" si="1"/>
        <v>45592</v>
      </c>
      <c r="F23" s="66">
        <f t="shared" si="2"/>
        <v>45613</v>
      </c>
      <c r="G23" s="67" t="s">
        <v>64</v>
      </c>
      <c r="H23" s="68">
        <v>257.0</v>
      </c>
      <c r="I23" s="69">
        <v>299.0</v>
      </c>
      <c r="J23" s="44">
        <f t="shared" si="3"/>
        <v>22</v>
      </c>
      <c r="K23" s="44">
        <f t="shared" si="4"/>
        <v>22</v>
      </c>
      <c r="L23" s="68"/>
      <c r="M23" s="69"/>
      <c r="N23" s="44" t="str">
        <f t="shared" si="5"/>
        <v/>
      </c>
      <c r="O23" s="44" t="str">
        <f t="shared" si="6"/>
        <v/>
      </c>
      <c r="P23" s="70"/>
      <c r="Q23" s="71"/>
      <c r="R23" s="71"/>
      <c r="S23" s="31"/>
    </row>
    <row r="24">
      <c r="A24" s="37" t="s">
        <v>48</v>
      </c>
      <c r="B24" s="62" t="s">
        <v>49</v>
      </c>
      <c r="C24" s="72" t="s">
        <v>66</v>
      </c>
      <c r="D24" s="64">
        <v>45585.0</v>
      </c>
      <c r="E24" s="64">
        <f t="shared" si="1"/>
        <v>45592</v>
      </c>
      <c r="F24" s="66">
        <f t="shared" si="2"/>
        <v>45613</v>
      </c>
      <c r="G24" s="67" t="s">
        <v>64</v>
      </c>
      <c r="H24" s="68"/>
      <c r="I24" s="69"/>
      <c r="J24" s="44" t="str">
        <f t="shared" si="3"/>
        <v/>
      </c>
      <c r="K24" s="44" t="str">
        <f t="shared" si="4"/>
        <v/>
      </c>
      <c r="L24" s="68">
        <v>106.0</v>
      </c>
      <c r="M24" s="69">
        <v>254.0</v>
      </c>
      <c r="N24" s="44">
        <f t="shared" si="5"/>
        <v>75</v>
      </c>
      <c r="O24" s="44">
        <f t="shared" si="6"/>
        <v>75</v>
      </c>
      <c r="P24" s="70"/>
      <c r="Q24" s="71"/>
      <c r="R24" s="71"/>
      <c r="S24" s="31"/>
    </row>
    <row r="25">
      <c r="A25" s="37" t="s">
        <v>48</v>
      </c>
      <c r="B25" s="73" t="s">
        <v>49</v>
      </c>
      <c r="C25" s="74" t="s">
        <v>67</v>
      </c>
      <c r="D25" s="64">
        <v>45586.0</v>
      </c>
      <c r="E25" s="64">
        <f t="shared" si="1"/>
        <v>45593</v>
      </c>
      <c r="F25" s="66">
        <f t="shared" si="2"/>
        <v>45614</v>
      </c>
      <c r="G25" s="67" t="s">
        <v>68</v>
      </c>
      <c r="H25" s="68">
        <v>1.0</v>
      </c>
      <c r="I25" s="69">
        <v>201.0</v>
      </c>
      <c r="J25" s="44">
        <f t="shared" si="3"/>
        <v>101</v>
      </c>
      <c r="K25" s="44">
        <f t="shared" si="4"/>
        <v>101</v>
      </c>
      <c r="L25" s="68"/>
      <c r="M25" s="69"/>
      <c r="N25" s="44" t="str">
        <f t="shared" si="5"/>
        <v/>
      </c>
      <c r="O25" s="44" t="str">
        <f t="shared" si="6"/>
        <v/>
      </c>
      <c r="P25" s="70"/>
      <c r="Q25" s="71"/>
      <c r="R25" s="71"/>
      <c r="S25" s="31"/>
    </row>
    <row r="26">
      <c r="A26" s="37" t="s">
        <v>48</v>
      </c>
      <c r="B26" s="73" t="s">
        <v>49</v>
      </c>
      <c r="C26" s="74" t="s">
        <v>69</v>
      </c>
      <c r="D26" s="64">
        <v>45587.0</v>
      </c>
      <c r="E26" s="64">
        <f t="shared" si="1"/>
        <v>45594</v>
      </c>
      <c r="F26" s="66">
        <f t="shared" si="2"/>
        <v>45615</v>
      </c>
      <c r="G26" s="67" t="s">
        <v>68</v>
      </c>
      <c r="H26" s="68"/>
      <c r="I26" s="69"/>
      <c r="J26" s="44" t="str">
        <f t="shared" si="3"/>
        <v/>
      </c>
      <c r="K26" s="44" t="str">
        <f t="shared" si="4"/>
        <v/>
      </c>
      <c r="L26" s="68">
        <v>2.0</v>
      </c>
      <c r="M26" s="69">
        <v>160.0</v>
      </c>
      <c r="N26" s="44">
        <f t="shared" si="5"/>
        <v>80</v>
      </c>
      <c r="O26" s="44">
        <f t="shared" si="6"/>
        <v>80</v>
      </c>
      <c r="P26" s="70"/>
      <c r="Q26" s="71"/>
      <c r="R26" s="71"/>
      <c r="S26" s="31"/>
    </row>
    <row r="27">
      <c r="A27" s="37" t="s">
        <v>48</v>
      </c>
      <c r="B27" s="73" t="s">
        <v>49</v>
      </c>
      <c r="C27" s="74" t="s">
        <v>69</v>
      </c>
      <c r="D27" s="64">
        <v>45587.0</v>
      </c>
      <c r="E27" s="64">
        <f t="shared" si="1"/>
        <v>45594</v>
      </c>
      <c r="F27" s="66">
        <f t="shared" si="2"/>
        <v>45615</v>
      </c>
      <c r="G27" s="67" t="s">
        <v>64</v>
      </c>
      <c r="H27" s="68"/>
      <c r="I27" s="69"/>
      <c r="J27" s="44" t="str">
        <f t="shared" si="3"/>
        <v/>
      </c>
      <c r="K27" s="44" t="str">
        <f t="shared" si="4"/>
        <v/>
      </c>
      <c r="L27" s="68">
        <v>256.0</v>
      </c>
      <c r="M27" s="69">
        <v>298.0</v>
      </c>
      <c r="N27" s="44">
        <f t="shared" si="5"/>
        <v>22</v>
      </c>
      <c r="O27" s="44">
        <f t="shared" si="6"/>
        <v>22</v>
      </c>
      <c r="P27" s="70"/>
      <c r="Q27" s="71"/>
      <c r="R27" s="71"/>
      <c r="S27" s="31"/>
    </row>
    <row r="28">
      <c r="A28" s="37" t="s">
        <v>48</v>
      </c>
      <c r="B28" s="73" t="s">
        <v>49</v>
      </c>
      <c r="C28" s="74" t="s">
        <v>70</v>
      </c>
      <c r="D28" s="64">
        <v>45588.0</v>
      </c>
      <c r="E28" s="64">
        <f t="shared" si="1"/>
        <v>45595</v>
      </c>
      <c r="F28" s="66">
        <f t="shared" si="2"/>
        <v>45616</v>
      </c>
      <c r="G28" s="67" t="s">
        <v>51</v>
      </c>
      <c r="H28" s="68"/>
      <c r="I28" s="69"/>
      <c r="J28" s="44" t="str">
        <f t="shared" si="3"/>
        <v/>
      </c>
      <c r="K28" s="44" t="str">
        <f t="shared" si="4"/>
        <v/>
      </c>
      <c r="L28" s="68">
        <v>182.0</v>
      </c>
      <c r="M28" s="69">
        <v>266.0</v>
      </c>
      <c r="N28" s="44">
        <f t="shared" si="5"/>
        <v>43</v>
      </c>
      <c r="O28" s="44">
        <f t="shared" si="6"/>
        <v>43</v>
      </c>
      <c r="P28" s="70"/>
      <c r="Q28" s="71"/>
      <c r="R28" s="71"/>
      <c r="S28" s="31"/>
    </row>
    <row r="29">
      <c r="A29" s="37" t="s">
        <v>48</v>
      </c>
      <c r="B29" s="73" t="s">
        <v>49</v>
      </c>
      <c r="C29" s="74" t="s">
        <v>70</v>
      </c>
      <c r="D29" s="64">
        <v>45588.0</v>
      </c>
      <c r="E29" s="64">
        <f t="shared" si="1"/>
        <v>45595</v>
      </c>
      <c r="F29" s="66">
        <f t="shared" si="2"/>
        <v>45616</v>
      </c>
      <c r="G29" s="67" t="s">
        <v>71</v>
      </c>
      <c r="H29" s="68">
        <v>1.0</v>
      </c>
      <c r="I29" s="69">
        <v>77.0</v>
      </c>
      <c r="J29" s="44">
        <f t="shared" si="3"/>
        <v>39</v>
      </c>
      <c r="K29" s="44">
        <f t="shared" si="4"/>
        <v>39</v>
      </c>
      <c r="L29" s="68"/>
      <c r="M29" s="69"/>
      <c r="N29" s="44" t="str">
        <f t="shared" si="5"/>
        <v/>
      </c>
      <c r="O29" s="44" t="str">
        <f t="shared" si="6"/>
        <v/>
      </c>
      <c r="P29" s="70"/>
      <c r="Q29" s="71"/>
      <c r="R29" s="71"/>
      <c r="S29" s="31"/>
    </row>
    <row r="30">
      <c r="A30" s="37" t="s">
        <v>48</v>
      </c>
      <c r="B30" s="73" t="s">
        <v>49</v>
      </c>
      <c r="C30" s="74" t="s">
        <v>72</v>
      </c>
      <c r="D30" s="64">
        <v>45589.0</v>
      </c>
      <c r="E30" s="64">
        <f t="shared" si="1"/>
        <v>45596</v>
      </c>
      <c r="F30" s="66">
        <f t="shared" si="2"/>
        <v>45617</v>
      </c>
      <c r="G30" s="67" t="s">
        <v>71</v>
      </c>
      <c r="H30" s="68">
        <v>79.0</v>
      </c>
      <c r="I30" s="69">
        <v>159.0</v>
      </c>
      <c r="J30" s="44">
        <f t="shared" si="3"/>
        <v>41</v>
      </c>
      <c r="K30" s="44">
        <f t="shared" si="4"/>
        <v>41</v>
      </c>
      <c r="L30" s="68"/>
      <c r="M30" s="69"/>
      <c r="N30" s="44" t="str">
        <f t="shared" si="5"/>
        <v/>
      </c>
      <c r="O30" s="44" t="str">
        <f t="shared" si="6"/>
        <v/>
      </c>
      <c r="P30" s="70"/>
      <c r="Q30" s="71"/>
      <c r="R30" s="71"/>
      <c r="S30" s="31"/>
    </row>
    <row r="31">
      <c r="A31" s="37" t="s">
        <v>48</v>
      </c>
      <c r="B31" s="73" t="s">
        <v>49</v>
      </c>
      <c r="C31" s="74" t="s">
        <v>72</v>
      </c>
      <c r="D31" s="64">
        <v>45589.0</v>
      </c>
      <c r="E31" s="64">
        <f t="shared" si="1"/>
        <v>45596</v>
      </c>
      <c r="F31" s="66">
        <f t="shared" si="2"/>
        <v>45617</v>
      </c>
      <c r="G31" s="67" t="s">
        <v>68</v>
      </c>
      <c r="H31" s="68">
        <v>211.0</v>
      </c>
      <c r="I31" s="69">
        <v>293.0</v>
      </c>
      <c r="J31" s="44">
        <f t="shared" si="3"/>
        <v>42</v>
      </c>
      <c r="K31" s="44">
        <f t="shared" si="4"/>
        <v>42</v>
      </c>
      <c r="L31" s="68"/>
      <c r="M31" s="69"/>
      <c r="N31" s="44" t="str">
        <f t="shared" si="5"/>
        <v/>
      </c>
      <c r="O31" s="44" t="str">
        <f t="shared" si="6"/>
        <v/>
      </c>
      <c r="P31" s="70"/>
      <c r="Q31" s="71"/>
      <c r="R31" s="71"/>
      <c r="S31" s="31"/>
    </row>
    <row r="32">
      <c r="A32" s="37" t="s">
        <v>48</v>
      </c>
      <c r="B32" s="73" t="s">
        <v>49</v>
      </c>
      <c r="C32" s="74" t="s">
        <v>73</v>
      </c>
      <c r="D32" s="64">
        <v>45592.0</v>
      </c>
      <c r="E32" s="64">
        <f t="shared" si="1"/>
        <v>45599</v>
      </c>
      <c r="F32" s="66">
        <f t="shared" si="2"/>
        <v>45620</v>
      </c>
      <c r="G32" s="67" t="s">
        <v>71</v>
      </c>
      <c r="H32" s="68"/>
      <c r="I32" s="69"/>
      <c r="J32" s="44" t="str">
        <f t="shared" si="3"/>
        <v/>
      </c>
      <c r="K32" s="44" t="str">
        <f t="shared" si="4"/>
        <v/>
      </c>
      <c r="L32" s="68">
        <v>2.0</v>
      </c>
      <c r="M32" s="69">
        <v>58.0</v>
      </c>
      <c r="N32" s="44">
        <f t="shared" si="5"/>
        <v>29</v>
      </c>
      <c r="O32" s="44">
        <f t="shared" si="6"/>
        <v>29</v>
      </c>
      <c r="P32" s="70"/>
      <c r="Q32" s="71"/>
      <c r="R32" s="71"/>
      <c r="S32" s="31"/>
    </row>
    <row r="33">
      <c r="A33" s="37" t="s">
        <v>48</v>
      </c>
      <c r="B33" s="73" t="s">
        <v>49</v>
      </c>
      <c r="C33" s="74" t="s">
        <v>73</v>
      </c>
      <c r="D33" s="64">
        <v>45592.0</v>
      </c>
      <c r="E33" s="64">
        <f t="shared" si="1"/>
        <v>45599</v>
      </c>
      <c r="F33" s="66">
        <f t="shared" si="2"/>
        <v>45620</v>
      </c>
      <c r="G33" s="67" t="s">
        <v>71</v>
      </c>
      <c r="H33" s="68">
        <v>161.0</v>
      </c>
      <c r="I33" s="69">
        <v>229.0</v>
      </c>
      <c r="J33" s="44">
        <f t="shared" si="3"/>
        <v>35</v>
      </c>
      <c r="K33" s="44">
        <f t="shared" si="4"/>
        <v>35</v>
      </c>
      <c r="L33" s="68"/>
      <c r="M33" s="69"/>
      <c r="N33" s="44" t="str">
        <f t="shared" si="5"/>
        <v/>
      </c>
      <c r="O33" s="44" t="str">
        <f t="shared" si="6"/>
        <v/>
      </c>
      <c r="P33" s="70"/>
      <c r="Q33" s="71"/>
      <c r="R33" s="71"/>
      <c r="S33" s="31"/>
    </row>
    <row r="34">
      <c r="A34" s="37" t="s">
        <v>48</v>
      </c>
      <c r="B34" s="73" t="s">
        <v>49</v>
      </c>
      <c r="C34" s="74" t="s">
        <v>73</v>
      </c>
      <c r="D34" s="64">
        <v>45592.0</v>
      </c>
      <c r="E34" s="64">
        <f t="shared" si="1"/>
        <v>45599</v>
      </c>
      <c r="F34" s="66">
        <f t="shared" si="2"/>
        <v>45620</v>
      </c>
      <c r="G34" s="67" t="s">
        <v>71</v>
      </c>
      <c r="H34" s="68">
        <v>243.0</v>
      </c>
      <c r="I34" s="69">
        <v>275.0</v>
      </c>
      <c r="J34" s="44">
        <f t="shared" si="3"/>
        <v>17</v>
      </c>
      <c r="K34" s="44">
        <f t="shared" si="4"/>
        <v>17</v>
      </c>
      <c r="L34" s="68"/>
      <c r="M34" s="69"/>
      <c r="N34" s="44" t="str">
        <f t="shared" si="5"/>
        <v/>
      </c>
      <c r="O34" s="44" t="str">
        <f t="shared" si="6"/>
        <v/>
      </c>
      <c r="P34" s="70"/>
      <c r="Q34" s="71"/>
      <c r="R34" s="71"/>
      <c r="S34" s="31"/>
    </row>
    <row r="35">
      <c r="A35" s="37" t="s">
        <v>48</v>
      </c>
      <c r="B35" s="73" t="s">
        <v>49</v>
      </c>
      <c r="C35" s="74" t="s">
        <v>74</v>
      </c>
      <c r="D35" s="64">
        <v>45593.0</v>
      </c>
      <c r="E35" s="64">
        <f t="shared" si="1"/>
        <v>45600</v>
      </c>
      <c r="F35" s="66">
        <f t="shared" si="2"/>
        <v>45621</v>
      </c>
      <c r="G35" s="67" t="s">
        <v>71</v>
      </c>
      <c r="H35" s="68">
        <v>277.0</v>
      </c>
      <c r="I35" s="69">
        <v>291.0</v>
      </c>
      <c r="J35" s="44">
        <f t="shared" si="3"/>
        <v>8</v>
      </c>
      <c r="K35" s="44">
        <f t="shared" si="4"/>
        <v>8</v>
      </c>
      <c r="L35" s="68">
        <v>60.0</v>
      </c>
      <c r="M35" s="69">
        <v>268.0</v>
      </c>
      <c r="N35" s="44">
        <f t="shared" si="5"/>
        <v>105</v>
      </c>
      <c r="O35" s="44">
        <f t="shared" si="6"/>
        <v>105</v>
      </c>
      <c r="P35" s="70"/>
      <c r="Q35" s="71"/>
      <c r="R35" s="71"/>
      <c r="S35" s="31"/>
    </row>
    <row r="36">
      <c r="A36" s="37" t="s">
        <v>48</v>
      </c>
      <c r="B36" s="73" t="s">
        <v>49</v>
      </c>
      <c r="C36" s="74" t="s">
        <v>75</v>
      </c>
      <c r="D36" s="64">
        <v>45594.0</v>
      </c>
      <c r="E36" s="64">
        <f t="shared" si="1"/>
        <v>45601</v>
      </c>
      <c r="F36" s="66">
        <f t="shared" si="2"/>
        <v>45622</v>
      </c>
      <c r="G36" s="67" t="s">
        <v>76</v>
      </c>
      <c r="H36" s="68">
        <v>9.0</v>
      </c>
      <c r="I36" s="69">
        <v>95.0</v>
      </c>
      <c r="J36" s="44">
        <f t="shared" si="3"/>
        <v>44</v>
      </c>
      <c r="K36" s="44">
        <f t="shared" si="4"/>
        <v>44</v>
      </c>
      <c r="L36" s="68"/>
      <c r="M36" s="69"/>
      <c r="N36" s="44" t="str">
        <f t="shared" si="5"/>
        <v/>
      </c>
      <c r="O36" s="44" t="str">
        <f t="shared" si="6"/>
        <v/>
      </c>
      <c r="P36" s="70"/>
      <c r="Q36" s="71"/>
      <c r="R36" s="71"/>
      <c r="S36" s="31"/>
    </row>
    <row r="37">
      <c r="A37" s="37" t="s">
        <v>48</v>
      </c>
      <c r="B37" s="73" t="s">
        <v>49</v>
      </c>
      <c r="C37" s="74" t="s">
        <v>75</v>
      </c>
      <c r="D37" s="64">
        <v>45594.0</v>
      </c>
      <c r="E37" s="64">
        <f t="shared" si="1"/>
        <v>45601</v>
      </c>
      <c r="F37" s="66">
        <f t="shared" si="2"/>
        <v>45622</v>
      </c>
      <c r="G37" s="67" t="s">
        <v>68</v>
      </c>
      <c r="H37" s="68">
        <v>295.0</v>
      </c>
      <c r="I37" s="69">
        <v>297.0</v>
      </c>
      <c r="J37" s="44">
        <f t="shared" si="3"/>
        <v>2</v>
      </c>
      <c r="K37" s="44">
        <f t="shared" si="4"/>
        <v>2</v>
      </c>
      <c r="L37" s="68">
        <v>162.0</v>
      </c>
      <c r="M37" s="69">
        <v>200.0</v>
      </c>
      <c r="N37" s="44">
        <f t="shared" si="5"/>
        <v>20</v>
      </c>
      <c r="O37" s="44">
        <f t="shared" si="6"/>
        <v>20</v>
      </c>
      <c r="P37" s="70"/>
      <c r="Q37" s="71"/>
      <c r="R37" s="71"/>
      <c r="S37" s="31"/>
    </row>
    <row r="38">
      <c r="A38" s="37" t="s">
        <v>48</v>
      </c>
      <c r="B38" s="73" t="s">
        <v>49</v>
      </c>
      <c r="C38" s="74" t="s">
        <v>75</v>
      </c>
      <c r="D38" s="64">
        <v>45594.0</v>
      </c>
      <c r="E38" s="64">
        <f t="shared" si="1"/>
        <v>45601</v>
      </c>
      <c r="F38" s="66">
        <f t="shared" si="2"/>
        <v>45622</v>
      </c>
      <c r="G38" s="67" t="s">
        <v>68</v>
      </c>
      <c r="H38" s="68"/>
      <c r="I38" s="69"/>
      <c r="J38" s="44" t="str">
        <f t="shared" si="3"/>
        <v/>
      </c>
      <c r="K38" s="44" t="str">
        <f t="shared" si="4"/>
        <v/>
      </c>
      <c r="L38" s="68">
        <v>212.0</v>
      </c>
      <c r="M38" s="69">
        <v>292.0</v>
      </c>
      <c r="N38" s="44">
        <f t="shared" si="5"/>
        <v>41</v>
      </c>
      <c r="O38" s="44">
        <f t="shared" si="6"/>
        <v>41</v>
      </c>
      <c r="P38" s="70"/>
      <c r="Q38" s="71"/>
      <c r="R38" s="71"/>
      <c r="S38" s="31"/>
    </row>
    <row r="39">
      <c r="A39" s="37" t="s">
        <v>48</v>
      </c>
      <c r="B39" s="73" t="s">
        <v>49</v>
      </c>
      <c r="C39" s="74" t="s">
        <v>77</v>
      </c>
      <c r="D39" s="64">
        <v>45595.0</v>
      </c>
      <c r="E39" s="64">
        <f t="shared" si="1"/>
        <v>45602</v>
      </c>
      <c r="F39" s="66">
        <f t="shared" si="2"/>
        <v>45623</v>
      </c>
      <c r="G39" s="67" t="s">
        <v>76</v>
      </c>
      <c r="H39" s="68">
        <v>97.0</v>
      </c>
      <c r="I39" s="69">
        <v>147.0</v>
      </c>
      <c r="J39" s="44">
        <f t="shared" si="3"/>
        <v>26</v>
      </c>
      <c r="K39" s="44">
        <f t="shared" si="4"/>
        <v>26</v>
      </c>
      <c r="L39" s="68">
        <v>10.0</v>
      </c>
      <c r="M39" s="69">
        <v>46.0</v>
      </c>
      <c r="N39" s="44">
        <f t="shared" si="5"/>
        <v>19</v>
      </c>
      <c r="O39" s="44">
        <f t="shared" si="6"/>
        <v>19</v>
      </c>
      <c r="P39" s="70"/>
      <c r="Q39" s="71"/>
      <c r="R39" s="71"/>
      <c r="S39" s="31"/>
    </row>
    <row r="40">
      <c r="A40" s="37" t="s">
        <v>48</v>
      </c>
      <c r="B40" s="73" t="s">
        <v>49</v>
      </c>
      <c r="C40" s="74" t="s">
        <v>77</v>
      </c>
      <c r="D40" s="64">
        <v>45595.0</v>
      </c>
      <c r="E40" s="64">
        <f t="shared" si="1"/>
        <v>45602</v>
      </c>
      <c r="F40" s="66">
        <f t="shared" si="2"/>
        <v>45623</v>
      </c>
      <c r="G40" s="67" t="s">
        <v>76</v>
      </c>
      <c r="H40" s="68">
        <v>159.0</v>
      </c>
      <c r="I40" s="69">
        <v>303.0</v>
      </c>
      <c r="J40" s="44">
        <f t="shared" si="3"/>
        <v>73</v>
      </c>
      <c r="K40" s="44">
        <f t="shared" si="4"/>
        <v>73</v>
      </c>
      <c r="L40" s="68"/>
      <c r="M40" s="69"/>
      <c r="N40" s="44" t="str">
        <f t="shared" si="5"/>
        <v/>
      </c>
      <c r="O40" s="44" t="str">
        <f t="shared" si="6"/>
        <v/>
      </c>
      <c r="P40" s="70"/>
      <c r="Q40" s="71"/>
      <c r="R40" s="71"/>
      <c r="S40" s="31"/>
    </row>
    <row r="41">
      <c r="A41" s="37" t="s">
        <v>48</v>
      </c>
      <c r="B41" s="73" t="s">
        <v>49</v>
      </c>
      <c r="C41" s="74" t="s">
        <v>78</v>
      </c>
      <c r="D41" s="64">
        <v>45596.0</v>
      </c>
      <c r="E41" s="64">
        <f t="shared" si="1"/>
        <v>45603</v>
      </c>
      <c r="F41" s="66">
        <f t="shared" si="2"/>
        <v>45624</v>
      </c>
      <c r="G41" s="67" t="s">
        <v>76</v>
      </c>
      <c r="H41" s="68"/>
      <c r="I41" s="69"/>
      <c r="J41" s="44" t="str">
        <f t="shared" si="3"/>
        <v/>
      </c>
      <c r="K41" s="44" t="str">
        <f t="shared" si="4"/>
        <v/>
      </c>
      <c r="L41" s="68">
        <v>48.0</v>
      </c>
      <c r="M41" s="69">
        <v>146.0</v>
      </c>
      <c r="N41" s="44">
        <f t="shared" si="5"/>
        <v>50</v>
      </c>
      <c r="O41" s="44">
        <f t="shared" si="6"/>
        <v>50</v>
      </c>
      <c r="P41" s="70"/>
      <c r="Q41" s="71"/>
      <c r="R41" s="71"/>
      <c r="S41" s="31"/>
    </row>
    <row r="42">
      <c r="A42" s="37" t="s">
        <v>48</v>
      </c>
      <c r="B42" s="73" t="s">
        <v>49</v>
      </c>
      <c r="C42" s="74" t="s">
        <v>78</v>
      </c>
      <c r="D42" s="64">
        <v>45596.0</v>
      </c>
      <c r="E42" s="64">
        <f t="shared" si="1"/>
        <v>45603</v>
      </c>
      <c r="F42" s="66">
        <f t="shared" si="2"/>
        <v>45624</v>
      </c>
      <c r="G42" s="67" t="s">
        <v>76</v>
      </c>
      <c r="H42" s="68"/>
      <c r="I42" s="69"/>
      <c r="J42" s="44" t="str">
        <f t="shared" si="3"/>
        <v/>
      </c>
      <c r="K42" s="44" t="str">
        <f t="shared" si="4"/>
        <v/>
      </c>
      <c r="L42" s="68">
        <v>160.0</v>
      </c>
      <c r="M42" s="69">
        <v>304.0</v>
      </c>
      <c r="N42" s="44">
        <f t="shared" si="5"/>
        <v>73</v>
      </c>
      <c r="O42" s="44">
        <f t="shared" si="6"/>
        <v>73</v>
      </c>
      <c r="P42" s="70"/>
      <c r="Q42" s="71"/>
      <c r="R42" s="71"/>
      <c r="S42" s="31"/>
    </row>
    <row r="43">
      <c r="A43" s="37" t="s">
        <v>48</v>
      </c>
      <c r="B43" s="73" t="s">
        <v>49</v>
      </c>
      <c r="C43" s="74" t="s">
        <v>78</v>
      </c>
      <c r="D43" s="64">
        <v>45596.0</v>
      </c>
      <c r="E43" s="64">
        <f t="shared" si="1"/>
        <v>45603</v>
      </c>
      <c r="F43" s="66">
        <f t="shared" si="2"/>
        <v>45624</v>
      </c>
      <c r="G43" s="67" t="s">
        <v>68</v>
      </c>
      <c r="H43" s="68"/>
      <c r="I43" s="69"/>
      <c r="J43" s="44" t="str">
        <f t="shared" si="3"/>
        <v/>
      </c>
      <c r="K43" s="44" t="str">
        <f t="shared" si="4"/>
        <v/>
      </c>
      <c r="L43" s="68">
        <v>294.0</v>
      </c>
      <c r="M43" s="69">
        <v>296.0</v>
      </c>
      <c r="N43" s="44">
        <f t="shared" si="5"/>
        <v>2</v>
      </c>
      <c r="O43" s="44">
        <f t="shared" si="6"/>
        <v>2</v>
      </c>
      <c r="P43" s="70"/>
      <c r="Q43" s="71"/>
      <c r="R43" s="71"/>
      <c r="S43" s="31"/>
    </row>
    <row r="44">
      <c r="A44" s="37" t="s">
        <v>48</v>
      </c>
      <c r="B44" s="73" t="s">
        <v>49</v>
      </c>
      <c r="C44" s="74" t="s">
        <v>79</v>
      </c>
      <c r="D44" s="64">
        <v>45598.0</v>
      </c>
      <c r="E44" s="64">
        <f t="shared" si="1"/>
        <v>45605</v>
      </c>
      <c r="F44" s="66">
        <f t="shared" si="2"/>
        <v>45626</v>
      </c>
      <c r="G44" s="67" t="s">
        <v>80</v>
      </c>
      <c r="H44" s="68">
        <v>5.0</v>
      </c>
      <c r="I44" s="69">
        <v>245.0</v>
      </c>
      <c r="J44" s="44">
        <f t="shared" si="3"/>
        <v>121</v>
      </c>
      <c r="K44" s="44">
        <f t="shared" si="4"/>
        <v>121</v>
      </c>
      <c r="L44" s="68"/>
      <c r="M44" s="69"/>
      <c r="N44" s="44" t="str">
        <f t="shared" si="5"/>
        <v/>
      </c>
      <c r="O44" s="44" t="str">
        <f t="shared" si="6"/>
        <v/>
      </c>
      <c r="P44" s="70"/>
      <c r="Q44" s="71"/>
      <c r="R44" s="71"/>
      <c r="S44" s="31"/>
    </row>
    <row r="45">
      <c r="A45" s="37" t="s">
        <v>48</v>
      </c>
      <c r="B45" s="73" t="s">
        <v>49</v>
      </c>
      <c r="C45" s="74" t="s">
        <v>81</v>
      </c>
      <c r="D45" s="64">
        <v>45600.0</v>
      </c>
      <c r="E45" s="64">
        <f t="shared" si="1"/>
        <v>45607</v>
      </c>
      <c r="F45" s="66">
        <f t="shared" si="2"/>
        <v>45628</v>
      </c>
      <c r="G45" s="67" t="s">
        <v>80</v>
      </c>
      <c r="H45" s="68">
        <v>247.0</v>
      </c>
      <c r="I45" s="69">
        <v>305.0</v>
      </c>
      <c r="J45" s="44">
        <f t="shared" si="3"/>
        <v>30</v>
      </c>
      <c r="K45" s="44">
        <f t="shared" si="4"/>
        <v>30</v>
      </c>
      <c r="L45" s="68">
        <v>6.0</v>
      </c>
      <c r="M45" s="69">
        <v>216.0</v>
      </c>
      <c r="N45" s="44">
        <f t="shared" si="5"/>
        <v>106</v>
      </c>
      <c r="O45" s="44">
        <f t="shared" si="6"/>
        <v>106</v>
      </c>
      <c r="P45" s="70"/>
      <c r="Q45" s="71"/>
      <c r="R45" s="71"/>
      <c r="S45" s="31"/>
    </row>
    <row r="46">
      <c r="A46" s="37" t="s">
        <v>48</v>
      </c>
      <c r="B46" s="73" t="s">
        <v>49</v>
      </c>
      <c r="C46" s="74" t="s">
        <v>82</v>
      </c>
      <c r="D46" s="64">
        <v>45601.0</v>
      </c>
      <c r="E46" s="64">
        <f t="shared" si="1"/>
        <v>45608</v>
      </c>
      <c r="F46" s="66">
        <f t="shared" si="2"/>
        <v>45629</v>
      </c>
      <c r="G46" s="67" t="s">
        <v>80</v>
      </c>
      <c r="H46" s="68"/>
      <c r="I46" s="69"/>
      <c r="J46" s="44" t="str">
        <f t="shared" si="3"/>
        <v/>
      </c>
      <c r="K46" s="44" t="str">
        <f t="shared" si="4"/>
        <v/>
      </c>
      <c r="L46" s="68">
        <v>216.0</v>
      </c>
      <c r="M46" s="69">
        <v>306.0</v>
      </c>
      <c r="N46" s="44">
        <f t="shared" si="5"/>
        <v>46</v>
      </c>
      <c r="O46" s="44">
        <f t="shared" si="6"/>
        <v>46</v>
      </c>
      <c r="P46" s="70"/>
      <c r="Q46" s="71"/>
      <c r="R46" s="71"/>
      <c r="S46" s="31"/>
    </row>
    <row r="47">
      <c r="A47" s="37" t="s">
        <v>48</v>
      </c>
      <c r="B47" s="73" t="s">
        <v>49</v>
      </c>
      <c r="C47" s="74" t="s">
        <v>82</v>
      </c>
      <c r="D47" s="64">
        <v>45601.0</v>
      </c>
      <c r="E47" s="64">
        <f t="shared" si="1"/>
        <v>45608</v>
      </c>
      <c r="F47" s="66">
        <f t="shared" si="2"/>
        <v>45629</v>
      </c>
      <c r="G47" s="67" t="s">
        <v>83</v>
      </c>
      <c r="H47" s="68">
        <v>5.0</v>
      </c>
      <c r="I47" s="69">
        <v>95.0</v>
      </c>
      <c r="J47" s="44">
        <f t="shared" si="3"/>
        <v>46</v>
      </c>
      <c r="K47" s="44">
        <f t="shared" si="4"/>
        <v>46</v>
      </c>
      <c r="L47" s="68"/>
      <c r="M47" s="69"/>
      <c r="N47" s="44" t="str">
        <f t="shared" si="5"/>
        <v/>
      </c>
      <c r="O47" s="44" t="str">
        <f t="shared" si="6"/>
        <v/>
      </c>
      <c r="P47" s="70"/>
      <c r="Q47" s="71"/>
      <c r="R47" s="71"/>
      <c r="S47" s="31"/>
    </row>
    <row r="48">
      <c r="A48" s="37" t="s">
        <v>48</v>
      </c>
      <c r="B48" s="73" t="s">
        <v>49</v>
      </c>
      <c r="C48" s="74" t="s">
        <v>82</v>
      </c>
      <c r="D48" s="64">
        <v>45601.0</v>
      </c>
      <c r="E48" s="64">
        <f t="shared" si="1"/>
        <v>45608</v>
      </c>
      <c r="F48" s="66">
        <f t="shared" si="2"/>
        <v>45629</v>
      </c>
      <c r="G48" s="67" t="s">
        <v>83</v>
      </c>
      <c r="H48" s="68">
        <v>111.0</v>
      </c>
      <c r="I48" s="69">
        <v>153.0</v>
      </c>
      <c r="J48" s="44">
        <f t="shared" si="3"/>
        <v>22</v>
      </c>
      <c r="K48" s="44">
        <f t="shared" si="4"/>
        <v>22</v>
      </c>
      <c r="L48" s="68"/>
      <c r="M48" s="69"/>
      <c r="N48" s="44" t="str">
        <f t="shared" si="5"/>
        <v/>
      </c>
      <c r="O48" s="44" t="str">
        <f t="shared" si="6"/>
        <v/>
      </c>
      <c r="P48" s="70"/>
      <c r="Q48" s="71"/>
      <c r="R48" s="71"/>
      <c r="S48" s="31"/>
    </row>
    <row r="49">
      <c r="A49" s="37" t="s">
        <v>48</v>
      </c>
      <c r="B49" s="75" t="s">
        <v>84</v>
      </c>
      <c r="C49" s="76" t="s">
        <v>85</v>
      </c>
      <c r="D49" s="64">
        <v>45601.0</v>
      </c>
      <c r="E49" s="64">
        <f t="shared" si="1"/>
        <v>45608</v>
      </c>
      <c r="F49" s="66">
        <f t="shared" si="2"/>
        <v>45629</v>
      </c>
      <c r="G49" s="67" t="s">
        <v>86</v>
      </c>
      <c r="H49" s="68">
        <v>47.0</v>
      </c>
      <c r="I49" s="69">
        <v>289.0</v>
      </c>
      <c r="J49" s="44">
        <f t="shared" si="3"/>
        <v>122</v>
      </c>
      <c r="K49" s="44">
        <f t="shared" si="4"/>
        <v>122</v>
      </c>
      <c r="L49" s="68"/>
      <c r="M49" s="69"/>
      <c r="N49" s="44" t="str">
        <f t="shared" si="5"/>
        <v/>
      </c>
      <c r="O49" s="44" t="str">
        <f t="shared" si="6"/>
        <v/>
      </c>
      <c r="P49" s="70"/>
      <c r="Q49" s="71"/>
      <c r="R49" s="71"/>
      <c r="S49" s="31"/>
    </row>
    <row r="50">
      <c r="A50" s="37" t="s">
        <v>48</v>
      </c>
      <c r="B50" s="73" t="s">
        <v>49</v>
      </c>
      <c r="C50" s="74" t="s">
        <v>87</v>
      </c>
      <c r="D50" s="64">
        <v>45602.0</v>
      </c>
      <c r="E50" s="64">
        <f t="shared" si="1"/>
        <v>45609</v>
      </c>
      <c r="F50" s="66">
        <f t="shared" si="2"/>
        <v>45630</v>
      </c>
      <c r="G50" s="67" t="s">
        <v>83</v>
      </c>
      <c r="H50" s="68">
        <v>155.0</v>
      </c>
      <c r="I50" s="69">
        <v>307.0</v>
      </c>
      <c r="J50" s="44">
        <f t="shared" si="3"/>
        <v>77</v>
      </c>
      <c r="K50" s="44">
        <f t="shared" si="4"/>
        <v>77</v>
      </c>
      <c r="L50" s="68">
        <v>6.0</v>
      </c>
      <c r="M50" s="69">
        <v>76.0</v>
      </c>
      <c r="N50" s="44">
        <f t="shared" si="5"/>
        <v>36</v>
      </c>
      <c r="O50" s="44">
        <f t="shared" si="6"/>
        <v>36</v>
      </c>
      <c r="P50" s="70"/>
      <c r="Q50" s="71"/>
      <c r="R50" s="71"/>
      <c r="S50" s="31"/>
    </row>
    <row r="51">
      <c r="A51" s="37" t="s">
        <v>48</v>
      </c>
      <c r="B51" s="77" t="s">
        <v>84</v>
      </c>
      <c r="C51" s="44"/>
      <c r="D51" s="64">
        <v>45602.0</v>
      </c>
      <c r="E51" s="64">
        <f t="shared" si="1"/>
        <v>45609</v>
      </c>
      <c r="F51" s="66">
        <f t="shared" si="2"/>
        <v>45630</v>
      </c>
      <c r="G51" s="67" t="s">
        <v>86</v>
      </c>
      <c r="H51" s="68">
        <v>3.0</v>
      </c>
      <c r="I51" s="69">
        <v>45.0</v>
      </c>
      <c r="J51" s="44">
        <f t="shared" si="3"/>
        <v>22</v>
      </c>
      <c r="K51" s="44">
        <f t="shared" si="4"/>
        <v>22</v>
      </c>
      <c r="L51" s="68">
        <v>48.0</v>
      </c>
      <c r="M51" s="69">
        <v>242.0</v>
      </c>
      <c r="N51" s="44">
        <f t="shared" si="5"/>
        <v>98</v>
      </c>
      <c r="O51" s="44">
        <f t="shared" si="6"/>
        <v>98</v>
      </c>
      <c r="P51" s="70"/>
      <c r="Q51" s="71"/>
      <c r="R51" s="71"/>
      <c r="S51" s="31"/>
    </row>
    <row r="52">
      <c r="A52" s="37" t="s">
        <v>48</v>
      </c>
      <c r="B52" s="77" t="s">
        <v>84</v>
      </c>
      <c r="C52" s="44"/>
      <c r="D52" s="64">
        <v>45602.0</v>
      </c>
      <c r="E52" s="64">
        <f t="shared" si="1"/>
        <v>45609</v>
      </c>
      <c r="F52" s="66">
        <f t="shared" si="2"/>
        <v>45630</v>
      </c>
      <c r="G52" s="67" t="s">
        <v>86</v>
      </c>
      <c r="H52" s="68">
        <v>291.0</v>
      </c>
      <c r="I52" s="69">
        <v>309.0</v>
      </c>
      <c r="J52" s="44">
        <f t="shared" si="3"/>
        <v>10</v>
      </c>
      <c r="K52" s="44">
        <f t="shared" si="4"/>
        <v>10</v>
      </c>
      <c r="L52" s="68">
        <v>280.0</v>
      </c>
      <c r="M52" s="69">
        <v>288.0</v>
      </c>
      <c r="N52" s="44">
        <f t="shared" si="5"/>
        <v>5</v>
      </c>
      <c r="O52" s="44">
        <f t="shared" si="6"/>
        <v>5</v>
      </c>
      <c r="P52" s="70"/>
      <c r="Q52" s="71"/>
      <c r="R52" s="71"/>
      <c r="S52" s="31"/>
    </row>
    <row r="53">
      <c r="A53" s="37" t="s">
        <v>48</v>
      </c>
      <c r="B53" s="77" t="s">
        <v>84</v>
      </c>
      <c r="C53" s="44"/>
      <c r="D53" s="64">
        <v>45603.0</v>
      </c>
      <c r="E53" s="64">
        <f t="shared" si="1"/>
        <v>45610</v>
      </c>
      <c r="F53" s="66">
        <f t="shared" si="2"/>
        <v>45631</v>
      </c>
      <c r="G53" s="67" t="s">
        <v>88</v>
      </c>
      <c r="H53" s="68">
        <v>3.0</v>
      </c>
      <c r="I53" s="69">
        <v>43.0</v>
      </c>
      <c r="J53" s="44">
        <f t="shared" si="3"/>
        <v>21</v>
      </c>
      <c r="K53" s="44">
        <f t="shared" si="4"/>
        <v>21</v>
      </c>
      <c r="L53" s="68"/>
      <c r="M53" s="69"/>
      <c r="N53" s="44" t="str">
        <f t="shared" si="5"/>
        <v/>
      </c>
      <c r="O53" s="44" t="str">
        <f t="shared" si="6"/>
        <v/>
      </c>
      <c r="P53" s="70"/>
      <c r="Q53" s="71"/>
      <c r="R53" s="71"/>
      <c r="S53" s="31"/>
    </row>
    <row r="54">
      <c r="A54" s="37" t="s">
        <v>48</v>
      </c>
      <c r="B54" s="77" t="s">
        <v>84</v>
      </c>
      <c r="C54" s="44"/>
      <c r="D54" s="64">
        <v>45603.0</v>
      </c>
      <c r="E54" s="64">
        <f t="shared" si="1"/>
        <v>45610</v>
      </c>
      <c r="F54" s="66">
        <f t="shared" si="2"/>
        <v>45631</v>
      </c>
      <c r="G54" s="78" t="s">
        <v>89</v>
      </c>
      <c r="H54" s="68">
        <v>3.0</v>
      </c>
      <c r="I54" s="69">
        <v>125.0</v>
      </c>
      <c r="J54" s="44">
        <f t="shared" si="3"/>
        <v>62</v>
      </c>
      <c r="K54" s="44">
        <f t="shared" si="4"/>
        <v>62</v>
      </c>
      <c r="L54" s="68"/>
      <c r="M54" s="69"/>
      <c r="N54" s="44" t="str">
        <f t="shared" si="5"/>
        <v/>
      </c>
      <c r="O54" s="44" t="str">
        <f t="shared" si="6"/>
        <v/>
      </c>
      <c r="P54" s="70"/>
      <c r="Q54" s="71"/>
      <c r="R54" s="71"/>
      <c r="S54" s="31"/>
    </row>
    <row r="55">
      <c r="A55" s="37" t="s">
        <v>48</v>
      </c>
      <c r="B55" s="77" t="s">
        <v>84</v>
      </c>
      <c r="C55" s="44"/>
      <c r="D55" s="64">
        <v>45603.0</v>
      </c>
      <c r="E55" s="64">
        <f t="shared" si="1"/>
        <v>45610</v>
      </c>
      <c r="F55" s="66">
        <f t="shared" si="2"/>
        <v>45631</v>
      </c>
      <c r="G55" s="67" t="s">
        <v>86</v>
      </c>
      <c r="H55" s="68"/>
      <c r="I55" s="69"/>
      <c r="J55" s="44" t="str">
        <f t="shared" si="3"/>
        <v/>
      </c>
      <c r="K55" s="44" t="str">
        <f t="shared" si="4"/>
        <v/>
      </c>
      <c r="L55" s="68">
        <v>4.0</v>
      </c>
      <c r="M55" s="69">
        <v>46.0</v>
      </c>
      <c r="N55" s="44">
        <f t="shared" si="5"/>
        <v>22</v>
      </c>
      <c r="O55" s="44">
        <f t="shared" si="6"/>
        <v>22</v>
      </c>
      <c r="P55" s="70"/>
      <c r="Q55" s="71"/>
      <c r="R55" s="71"/>
      <c r="S55" s="31"/>
    </row>
    <row r="56">
      <c r="A56" s="37" t="s">
        <v>48</v>
      </c>
      <c r="B56" s="77" t="s">
        <v>84</v>
      </c>
      <c r="C56" s="44"/>
      <c r="D56" s="64">
        <v>45603.0</v>
      </c>
      <c r="E56" s="64">
        <f t="shared" si="1"/>
        <v>45610</v>
      </c>
      <c r="F56" s="66">
        <f t="shared" si="2"/>
        <v>45631</v>
      </c>
      <c r="G56" s="67" t="s">
        <v>86</v>
      </c>
      <c r="H56" s="68"/>
      <c r="I56" s="69"/>
      <c r="J56" s="44" t="str">
        <f t="shared" si="3"/>
        <v/>
      </c>
      <c r="K56" s="44" t="str">
        <f t="shared" si="4"/>
        <v/>
      </c>
      <c r="L56" s="68">
        <v>244.0</v>
      </c>
      <c r="M56" s="69">
        <v>278.0</v>
      </c>
      <c r="N56" s="44">
        <f t="shared" si="5"/>
        <v>18</v>
      </c>
      <c r="O56" s="44">
        <f t="shared" si="6"/>
        <v>18</v>
      </c>
      <c r="P56" s="70"/>
      <c r="Q56" s="71"/>
      <c r="R56" s="71"/>
      <c r="S56" s="31"/>
    </row>
    <row r="57">
      <c r="A57" s="37" t="s">
        <v>48</v>
      </c>
      <c r="B57" s="77" t="s">
        <v>84</v>
      </c>
      <c r="C57" s="44"/>
      <c r="D57" s="64">
        <v>45603.0</v>
      </c>
      <c r="E57" s="64">
        <f t="shared" si="1"/>
        <v>45610</v>
      </c>
      <c r="F57" s="66">
        <f t="shared" si="2"/>
        <v>45631</v>
      </c>
      <c r="G57" s="67" t="s">
        <v>86</v>
      </c>
      <c r="H57" s="68"/>
      <c r="I57" s="69"/>
      <c r="J57" s="44" t="str">
        <f t="shared" si="3"/>
        <v/>
      </c>
      <c r="K57" s="44" t="str">
        <f t="shared" si="4"/>
        <v/>
      </c>
      <c r="L57" s="68">
        <v>290.0</v>
      </c>
      <c r="M57" s="69">
        <v>310.0</v>
      </c>
      <c r="N57" s="44">
        <f t="shared" si="5"/>
        <v>11</v>
      </c>
      <c r="O57" s="44">
        <f t="shared" si="6"/>
        <v>11</v>
      </c>
      <c r="P57" s="70"/>
      <c r="Q57" s="71"/>
      <c r="R57" s="71"/>
      <c r="S57" s="31"/>
    </row>
    <row r="58">
      <c r="A58" s="37" t="s">
        <v>48</v>
      </c>
      <c r="B58" s="77" t="s">
        <v>84</v>
      </c>
      <c r="C58" s="44"/>
      <c r="D58" s="64">
        <v>45605.0</v>
      </c>
      <c r="E58" s="64">
        <f t="shared" si="1"/>
        <v>45612</v>
      </c>
      <c r="F58" s="66">
        <f t="shared" si="2"/>
        <v>45633</v>
      </c>
      <c r="G58" s="67" t="s">
        <v>88</v>
      </c>
      <c r="H58" s="68">
        <v>45.0</v>
      </c>
      <c r="I58" s="69">
        <v>311.0</v>
      </c>
      <c r="J58" s="44">
        <f t="shared" si="3"/>
        <v>134</v>
      </c>
      <c r="K58" s="44">
        <f t="shared" si="4"/>
        <v>134</v>
      </c>
      <c r="L58" s="68">
        <v>4.0</v>
      </c>
      <c r="M58" s="69">
        <v>16.0</v>
      </c>
      <c r="N58" s="44">
        <f t="shared" si="5"/>
        <v>7</v>
      </c>
      <c r="O58" s="44">
        <f t="shared" si="6"/>
        <v>7</v>
      </c>
      <c r="P58" s="70"/>
      <c r="Q58" s="71"/>
      <c r="R58" s="71"/>
      <c r="S58" s="31"/>
    </row>
    <row r="59">
      <c r="A59" s="37" t="s">
        <v>48</v>
      </c>
      <c r="B59" s="77" t="s">
        <v>84</v>
      </c>
      <c r="C59" s="44"/>
      <c r="D59" s="64">
        <v>45606.0</v>
      </c>
      <c r="E59" s="64">
        <f t="shared" si="1"/>
        <v>45613</v>
      </c>
      <c r="F59" s="66">
        <f t="shared" si="2"/>
        <v>45634</v>
      </c>
      <c r="G59" s="67" t="s">
        <v>88</v>
      </c>
      <c r="H59" s="68"/>
      <c r="I59" s="69"/>
      <c r="J59" s="44" t="str">
        <f t="shared" si="3"/>
        <v/>
      </c>
      <c r="K59" s="44" t="str">
        <f t="shared" si="4"/>
        <v/>
      </c>
      <c r="L59" s="68">
        <v>18.0</v>
      </c>
      <c r="M59" s="69">
        <v>254.0</v>
      </c>
      <c r="N59" s="44">
        <f t="shared" si="5"/>
        <v>119</v>
      </c>
      <c r="O59" s="44">
        <f t="shared" si="6"/>
        <v>119</v>
      </c>
      <c r="P59" s="70"/>
      <c r="Q59" s="71"/>
      <c r="R59" s="71"/>
      <c r="S59" s="31"/>
    </row>
    <row r="60">
      <c r="A60" s="37" t="s">
        <v>48</v>
      </c>
      <c r="B60" s="79" t="s">
        <v>84</v>
      </c>
      <c r="C60" s="80" t="s">
        <v>90</v>
      </c>
      <c r="D60" s="64">
        <v>45608.0</v>
      </c>
      <c r="E60" s="64">
        <f t="shared" si="1"/>
        <v>45615</v>
      </c>
      <c r="F60" s="66">
        <f t="shared" si="2"/>
        <v>45636</v>
      </c>
      <c r="G60" s="67" t="s">
        <v>89</v>
      </c>
      <c r="H60" s="68">
        <v>129.0</v>
      </c>
      <c r="I60" s="69">
        <v>187.0</v>
      </c>
      <c r="J60" s="44">
        <f t="shared" si="3"/>
        <v>30</v>
      </c>
      <c r="K60" s="44">
        <f t="shared" si="4"/>
        <v>30</v>
      </c>
      <c r="L60" s="68">
        <v>4.0</v>
      </c>
      <c r="M60" s="69">
        <v>130.0</v>
      </c>
      <c r="N60" s="44">
        <f t="shared" si="5"/>
        <v>64</v>
      </c>
      <c r="O60" s="44">
        <f t="shared" si="6"/>
        <v>64</v>
      </c>
      <c r="P60" s="70"/>
      <c r="Q60" s="71"/>
      <c r="R60" s="71"/>
      <c r="S60" s="31"/>
    </row>
    <row r="61">
      <c r="A61" s="37" t="s">
        <v>48</v>
      </c>
      <c r="B61" s="79" t="s">
        <v>84</v>
      </c>
      <c r="C61" s="80" t="s">
        <v>90</v>
      </c>
      <c r="D61" s="64">
        <v>45608.0</v>
      </c>
      <c r="E61" s="64">
        <f t="shared" si="1"/>
        <v>45615</v>
      </c>
      <c r="F61" s="66">
        <f t="shared" si="2"/>
        <v>45636</v>
      </c>
      <c r="G61" s="67" t="s">
        <v>83</v>
      </c>
      <c r="H61" s="68"/>
      <c r="I61" s="69"/>
      <c r="J61" s="44" t="str">
        <f t="shared" si="3"/>
        <v/>
      </c>
      <c r="K61" s="44" t="str">
        <f t="shared" si="4"/>
        <v/>
      </c>
      <c r="L61" s="68">
        <v>78.0</v>
      </c>
      <c r="M61" s="69">
        <v>94.0</v>
      </c>
      <c r="N61" s="44">
        <f t="shared" si="5"/>
        <v>9</v>
      </c>
      <c r="O61" s="44">
        <f t="shared" si="6"/>
        <v>9</v>
      </c>
      <c r="P61" s="70"/>
      <c r="Q61" s="71"/>
      <c r="R61" s="71"/>
      <c r="S61" s="31"/>
    </row>
    <row r="62">
      <c r="A62" s="37" t="s">
        <v>48</v>
      </c>
      <c r="B62" s="79" t="s">
        <v>84</v>
      </c>
      <c r="C62" s="80" t="s">
        <v>90</v>
      </c>
      <c r="D62" s="64">
        <v>45608.0</v>
      </c>
      <c r="E62" s="64">
        <f t="shared" si="1"/>
        <v>45615</v>
      </c>
      <c r="F62" s="66">
        <f t="shared" si="2"/>
        <v>45636</v>
      </c>
      <c r="G62" s="67" t="s">
        <v>51</v>
      </c>
      <c r="H62" s="68"/>
      <c r="I62" s="69"/>
      <c r="J62" s="44" t="str">
        <f t="shared" si="3"/>
        <v/>
      </c>
      <c r="K62" s="44" t="str">
        <f t="shared" si="4"/>
        <v/>
      </c>
      <c r="L62" s="68">
        <v>268.0</v>
      </c>
      <c r="M62" s="69">
        <v>286.0</v>
      </c>
      <c r="N62" s="44">
        <f t="shared" si="5"/>
        <v>10</v>
      </c>
      <c r="O62" s="44">
        <f t="shared" si="6"/>
        <v>10</v>
      </c>
      <c r="P62" s="70"/>
      <c r="Q62" s="71"/>
      <c r="R62" s="71"/>
      <c r="S62" s="31"/>
    </row>
    <row r="63">
      <c r="A63" s="37" t="s">
        <v>48</v>
      </c>
      <c r="B63" s="77" t="s">
        <v>84</v>
      </c>
      <c r="C63" s="44"/>
      <c r="D63" s="64">
        <v>45608.0</v>
      </c>
      <c r="E63" s="64">
        <f t="shared" si="1"/>
        <v>45615</v>
      </c>
      <c r="F63" s="66">
        <f t="shared" si="2"/>
        <v>45636</v>
      </c>
      <c r="G63" s="67" t="s">
        <v>88</v>
      </c>
      <c r="H63" s="68"/>
      <c r="I63" s="69"/>
      <c r="J63" s="44" t="str">
        <f t="shared" si="3"/>
        <v/>
      </c>
      <c r="K63" s="44" t="str">
        <f t="shared" si="4"/>
        <v/>
      </c>
      <c r="L63" s="68">
        <v>256.0</v>
      </c>
      <c r="M63" s="69">
        <v>312.0</v>
      </c>
      <c r="N63" s="44">
        <f t="shared" si="5"/>
        <v>29</v>
      </c>
      <c r="O63" s="44">
        <f t="shared" si="6"/>
        <v>29</v>
      </c>
      <c r="P63" s="70"/>
      <c r="Q63" s="71"/>
      <c r="R63" s="71"/>
      <c r="S63" s="31"/>
    </row>
    <row r="64">
      <c r="A64" s="37" t="s">
        <v>48</v>
      </c>
      <c r="B64" s="77" t="s">
        <v>84</v>
      </c>
      <c r="C64" s="44"/>
      <c r="D64" s="64">
        <v>45608.0</v>
      </c>
      <c r="E64" s="64">
        <f t="shared" si="1"/>
        <v>45615</v>
      </c>
      <c r="F64" s="66">
        <f t="shared" si="2"/>
        <v>45636</v>
      </c>
      <c r="G64" s="67" t="s">
        <v>91</v>
      </c>
      <c r="H64" s="68">
        <v>3.0</v>
      </c>
      <c r="I64" s="69">
        <v>161.0</v>
      </c>
      <c r="J64" s="44">
        <f t="shared" si="3"/>
        <v>80</v>
      </c>
      <c r="K64" s="44">
        <f t="shared" si="4"/>
        <v>80</v>
      </c>
      <c r="L64" s="68"/>
      <c r="M64" s="69"/>
      <c r="N64" s="44" t="str">
        <f t="shared" si="5"/>
        <v/>
      </c>
      <c r="O64" s="44" t="str">
        <f t="shared" si="6"/>
        <v/>
      </c>
      <c r="P64" s="70"/>
      <c r="Q64" s="71"/>
      <c r="R64" s="71"/>
      <c r="S64" s="31"/>
    </row>
    <row r="65">
      <c r="A65" s="37" t="s">
        <v>48</v>
      </c>
      <c r="B65" s="81" t="s">
        <v>84</v>
      </c>
      <c r="C65" s="82" t="s">
        <v>92</v>
      </c>
      <c r="D65" s="64">
        <v>45609.0</v>
      </c>
      <c r="E65" s="64">
        <f t="shared" si="1"/>
        <v>45616</v>
      </c>
      <c r="F65" s="66">
        <f t="shared" si="2"/>
        <v>45637</v>
      </c>
      <c r="G65" s="67" t="s">
        <v>83</v>
      </c>
      <c r="H65" s="68"/>
      <c r="I65" s="69"/>
      <c r="J65" s="44" t="str">
        <f t="shared" si="3"/>
        <v/>
      </c>
      <c r="K65" s="44" t="str">
        <f t="shared" si="4"/>
        <v/>
      </c>
      <c r="L65" s="68">
        <v>112.0</v>
      </c>
      <c r="M65" s="69">
        <v>308.0</v>
      </c>
      <c r="N65" s="44">
        <f t="shared" si="5"/>
        <v>99</v>
      </c>
      <c r="O65" s="44">
        <f t="shared" si="6"/>
        <v>99</v>
      </c>
      <c r="P65" s="70"/>
      <c r="Q65" s="71"/>
      <c r="R65" s="71"/>
      <c r="S65" s="31"/>
    </row>
    <row r="66">
      <c r="A66" s="37" t="s">
        <v>48</v>
      </c>
      <c r="B66" s="81" t="s">
        <v>84</v>
      </c>
      <c r="C66" s="82" t="s">
        <v>92</v>
      </c>
      <c r="D66" s="64">
        <v>45609.0</v>
      </c>
      <c r="E66" s="64">
        <f t="shared" si="1"/>
        <v>45616</v>
      </c>
      <c r="F66" s="66">
        <f t="shared" si="2"/>
        <v>45637</v>
      </c>
      <c r="G66" s="67" t="s">
        <v>51</v>
      </c>
      <c r="H66" s="68"/>
      <c r="I66" s="69"/>
      <c r="J66" s="44" t="str">
        <f t="shared" si="3"/>
        <v/>
      </c>
      <c r="K66" s="44" t="str">
        <f t="shared" si="4"/>
        <v/>
      </c>
      <c r="L66" s="68">
        <v>2.0</v>
      </c>
      <c r="M66" s="69">
        <v>2.0</v>
      </c>
      <c r="N66" s="44">
        <f t="shared" si="5"/>
        <v>1</v>
      </c>
      <c r="O66" s="44">
        <f t="shared" si="6"/>
        <v>1</v>
      </c>
      <c r="P66" s="70"/>
      <c r="Q66" s="71"/>
      <c r="R66" s="71"/>
      <c r="S66" s="31"/>
    </row>
    <row r="67">
      <c r="A67" s="37" t="s">
        <v>48</v>
      </c>
      <c r="B67" s="81" t="s">
        <v>84</v>
      </c>
      <c r="C67" s="82" t="s">
        <v>92</v>
      </c>
      <c r="D67" s="64">
        <v>45609.0</v>
      </c>
      <c r="E67" s="64">
        <f t="shared" si="1"/>
        <v>45616</v>
      </c>
      <c r="F67" s="66">
        <f t="shared" si="2"/>
        <v>45637</v>
      </c>
      <c r="G67" s="67" t="s">
        <v>51</v>
      </c>
      <c r="H67" s="68"/>
      <c r="I67" s="69"/>
      <c r="J67" s="44" t="str">
        <f t="shared" si="3"/>
        <v/>
      </c>
      <c r="K67" s="44" t="str">
        <f t="shared" si="4"/>
        <v/>
      </c>
      <c r="L67" s="68">
        <v>288.0</v>
      </c>
      <c r="M67" s="69">
        <v>298.0</v>
      </c>
      <c r="N67" s="44">
        <f t="shared" si="5"/>
        <v>6</v>
      </c>
      <c r="O67" s="44">
        <f t="shared" si="6"/>
        <v>6</v>
      </c>
      <c r="P67" s="70"/>
      <c r="Q67" s="71"/>
      <c r="R67" s="71"/>
      <c r="S67" s="31"/>
    </row>
    <row r="68">
      <c r="A68" s="37" t="s">
        <v>48</v>
      </c>
      <c r="B68" s="77" t="s">
        <v>84</v>
      </c>
      <c r="C68" s="44"/>
      <c r="D68" s="64">
        <v>45609.0</v>
      </c>
      <c r="E68" s="64">
        <f t="shared" si="1"/>
        <v>45616</v>
      </c>
      <c r="F68" s="66">
        <f t="shared" si="2"/>
        <v>45637</v>
      </c>
      <c r="G68" s="67" t="s">
        <v>91</v>
      </c>
      <c r="H68" s="68">
        <v>163.0</v>
      </c>
      <c r="I68" s="69">
        <v>189.0</v>
      </c>
      <c r="J68" s="44">
        <f t="shared" si="3"/>
        <v>14</v>
      </c>
      <c r="K68" s="44">
        <f t="shared" si="4"/>
        <v>14</v>
      </c>
      <c r="L68" s="68">
        <v>4.0</v>
      </c>
      <c r="M68" s="69">
        <v>162.0</v>
      </c>
      <c r="N68" s="44">
        <f t="shared" si="5"/>
        <v>80</v>
      </c>
      <c r="O68" s="44">
        <f t="shared" si="6"/>
        <v>80</v>
      </c>
      <c r="P68" s="70"/>
      <c r="Q68" s="71"/>
      <c r="R68" s="71"/>
      <c r="S68" s="31"/>
    </row>
    <row r="69">
      <c r="A69" s="37" t="s">
        <v>48</v>
      </c>
      <c r="B69" s="77" t="s">
        <v>84</v>
      </c>
      <c r="C69" s="44"/>
      <c r="D69" s="64">
        <v>45609.0</v>
      </c>
      <c r="E69" s="64">
        <f t="shared" si="1"/>
        <v>45616</v>
      </c>
      <c r="F69" s="66">
        <f t="shared" si="2"/>
        <v>45637</v>
      </c>
      <c r="G69" s="67" t="s">
        <v>68</v>
      </c>
      <c r="H69" s="68">
        <v>263.0</v>
      </c>
      <c r="I69" s="69">
        <v>263.0</v>
      </c>
      <c r="J69" s="44">
        <f t="shared" si="3"/>
        <v>1</v>
      </c>
      <c r="K69" s="44">
        <f t="shared" si="4"/>
        <v>1</v>
      </c>
      <c r="L69" s="68"/>
      <c r="M69" s="69"/>
      <c r="N69" s="44" t="str">
        <f t="shared" si="5"/>
        <v/>
      </c>
      <c r="O69" s="44" t="str">
        <f t="shared" si="6"/>
        <v/>
      </c>
      <c r="P69" s="70"/>
      <c r="Q69" s="71"/>
      <c r="R69" s="71"/>
      <c r="S69" s="31"/>
    </row>
    <row r="70">
      <c r="A70" s="37" t="s">
        <v>48</v>
      </c>
      <c r="B70" s="77" t="s">
        <v>84</v>
      </c>
      <c r="C70" s="44"/>
      <c r="D70" s="64">
        <v>45609.0</v>
      </c>
      <c r="E70" s="64">
        <f t="shared" si="1"/>
        <v>45616</v>
      </c>
      <c r="F70" s="66">
        <f t="shared" si="2"/>
        <v>45637</v>
      </c>
      <c r="G70" s="67" t="s">
        <v>68</v>
      </c>
      <c r="H70" s="68">
        <v>271.0</v>
      </c>
      <c r="I70" s="69">
        <v>277.0</v>
      </c>
      <c r="J70" s="44">
        <f t="shared" si="3"/>
        <v>4</v>
      </c>
      <c r="K70" s="44">
        <f t="shared" si="4"/>
        <v>4</v>
      </c>
      <c r="L70" s="68">
        <v>278.0</v>
      </c>
      <c r="M70" s="69">
        <v>284.0</v>
      </c>
      <c r="N70" s="44">
        <f t="shared" si="5"/>
        <v>4</v>
      </c>
      <c r="O70" s="44">
        <f t="shared" si="6"/>
        <v>4</v>
      </c>
      <c r="P70" s="70"/>
      <c r="Q70" s="71"/>
      <c r="R70" s="71"/>
      <c r="S70" s="31"/>
    </row>
    <row r="71">
      <c r="A71" s="37" t="s">
        <v>48</v>
      </c>
      <c r="B71" s="77" t="s">
        <v>84</v>
      </c>
      <c r="C71" s="44"/>
      <c r="D71" s="64">
        <v>45610.0</v>
      </c>
      <c r="E71" s="64">
        <f t="shared" si="1"/>
        <v>45617</v>
      </c>
      <c r="F71" s="66">
        <f t="shared" si="2"/>
        <v>45638</v>
      </c>
      <c r="G71" s="67" t="s">
        <v>93</v>
      </c>
      <c r="H71" s="68"/>
      <c r="I71" s="69"/>
      <c r="J71" s="44" t="str">
        <f t="shared" si="3"/>
        <v/>
      </c>
      <c r="K71" s="44" t="str">
        <f t="shared" si="4"/>
        <v/>
      </c>
      <c r="L71" s="68">
        <v>4.0</v>
      </c>
      <c r="M71" s="69">
        <v>156.0</v>
      </c>
      <c r="N71" s="44">
        <f t="shared" si="5"/>
        <v>77</v>
      </c>
      <c r="O71" s="44">
        <f t="shared" si="6"/>
        <v>77</v>
      </c>
      <c r="P71" s="70"/>
      <c r="Q71" s="71"/>
      <c r="R71" s="71"/>
      <c r="S71" s="31"/>
    </row>
    <row r="72">
      <c r="A72" s="37" t="s">
        <v>48</v>
      </c>
      <c r="B72" s="81" t="s">
        <v>84</v>
      </c>
      <c r="C72" s="82" t="s">
        <v>94</v>
      </c>
      <c r="D72" s="64">
        <v>45610.0</v>
      </c>
      <c r="E72" s="64">
        <f t="shared" si="1"/>
        <v>45617</v>
      </c>
      <c r="F72" s="66">
        <f t="shared" si="2"/>
        <v>45638</v>
      </c>
      <c r="G72" s="67" t="s">
        <v>89</v>
      </c>
      <c r="H72" s="68"/>
      <c r="I72" s="69"/>
      <c r="J72" s="44" t="str">
        <f t="shared" si="3"/>
        <v/>
      </c>
      <c r="K72" s="44" t="str">
        <f t="shared" si="4"/>
        <v/>
      </c>
      <c r="L72" s="68">
        <v>132.0</v>
      </c>
      <c r="M72" s="69">
        <v>188.0</v>
      </c>
      <c r="N72" s="44">
        <f t="shared" si="5"/>
        <v>29</v>
      </c>
      <c r="O72" s="44">
        <f t="shared" si="6"/>
        <v>29</v>
      </c>
      <c r="P72" s="70"/>
      <c r="Q72" s="71"/>
      <c r="R72" s="71"/>
      <c r="S72" s="31"/>
    </row>
    <row r="73">
      <c r="A73" s="37" t="s">
        <v>48</v>
      </c>
      <c r="B73" s="77" t="s">
        <v>84</v>
      </c>
      <c r="C73" s="44"/>
      <c r="D73" s="64">
        <v>45610.0</v>
      </c>
      <c r="E73" s="64">
        <f t="shared" ref="E73:E88" si="7">D73+7</f>
        <v>45617</v>
      </c>
      <c r="F73" s="64">
        <f t="shared" ref="F73:F88" si="8">D73+28</f>
        <v>45638</v>
      </c>
      <c r="G73" s="67" t="s">
        <v>91</v>
      </c>
      <c r="H73" s="68">
        <v>191.0</v>
      </c>
      <c r="I73" s="69">
        <v>311.0</v>
      </c>
      <c r="J73" s="44">
        <f t="shared" si="3"/>
        <v>61</v>
      </c>
      <c r="K73" s="44">
        <f t="shared" si="4"/>
        <v>61</v>
      </c>
      <c r="L73" s="68"/>
      <c r="M73" s="69"/>
      <c r="N73" s="44" t="str">
        <f t="shared" si="5"/>
        <v/>
      </c>
      <c r="O73" s="44" t="str">
        <f t="shared" si="6"/>
        <v/>
      </c>
      <c r="P73" s="70"/>
      <c r="Q73" s="71"/>
      <c r="R73" s="71"/>
      <c r="S73" s="31"/>
    </row>
    <row r="74">
      <c r="A74" s="37" t="s">
        <v>48</v>
      </c>
      <c r="B74" s="77" t="s">
        <v>84</v>
      </c>
      <c r="C74" s="44"/>
      <c r="D74" s="64">
        <v>45610.0</v>
      </c>
      <c r="E74" s="64">
        <f t="shared" si="7"/>
        <v>45617</v>
      </c>
      <c r="F74" s="64">
        <f t="shared" si="8"/>
        <v>45638</v>
      </c>
      <c r="G74" s="67" t="s">
        <v>95</v>
      </c>
      <c r="H74" s="68">
        <v>3.0</v>
      </c>
      <c r="I74" s="69">
        <v>91.0</v>
      </c>
      <c r="J74" s="44">
        <f t="shared" si="3"/>
        <v>45</v>
      </c>
      <c r="K74" s="44">
        <f t="shared" si="4"/>
        <v>45</v>
      </c>
      <c r="L74" s="68"/>
      <c r="M74" s="69"/>
      <c r="N74" s="44" t="str">
        <f t="shared" si="5"/>
        <v/>
      </c>
      <c r="O74" s="44" t="str">
        <f t="shared" si="6"/>
        <v/>
      </c>
      <c r="P74" s="70"/>
      <c r="Q74" s="71"/>
      <c r="R74" s="71"/>
      <c r="S74" s="31"/>
    </row>
    <row r="75">
      <c r="A75" s="37" t="s">
        <v>48</v>
      </c>
      <c r="B75" s="77" t="s">
        <v>84</v>
      </c>
      <c r="C75" s="44"/>
      <c r="D75" s="64">
        <v>45612.0</v>
      </c>
      <c r="E75" s="64">
        <f t="shared" si="7"/>
        <v>45619</v>
      </c>
      <c r="F75" s="64">
        <f t="shared" si="8"/>
        <v>45640</v>
      </c>
      <c r="G75" s="67" t="s">
        <v>93</v>
      </c>
      <c r="H75" s="68">
        <v>5.0</v>
      </c>
      <c r="I75" s="69">
        <v>153.0</v>
      </c>
      <c r="J75" s="44">
        <f t="shared" si="3"/>
        <v>75</v>
      </c>
      <c r="K75" s="44">
        <f t="shared" si="4"/>
        <v>75</v>
      </c>
      <c r="L75" s="68"/>
      <c r="M75" s="69"/>
      <c r="N75" s="44" t="str">
        <f t="shared" si="5"/>
        <v/>
      </c>
      <c r="O75" s="44" t="str">
        <f t="shared" si="6"/>
        <v/>
      </c>
      <c r="P75" s="70"/>
      <c r="Q75" s="71"/>
      <c r="R75" s="71"/>
      <c r="S75" s="31"/>
    </row>
    <row r="76">
      <c r="A76" s="37" t="s">
        <v>48</v>
      </c>
      <c r="B76" s="77" t="s">
        <v>84</v>
      </c>
      <c r="C76" s="44"/>
      <c r="D76" s="64">
        <v>45612.0</v>
      </c>
      <c r="E76" s="64">
        <f t="shared" si="7"/>
        <v>45619</v>
      </c>
      <c r="F76" s="64">
        <f t="shared" si="8"/>
        <v>45640</v>
      </c>
      <c r="G76" s="67" t="s">
        <v>93</v>
      </c>
      <c r="H76" s="68">
        <v>158.0</v>
      </c>
      <c r="I76" s="69">
        <v>258.0</v>
      </c>
      <c r="J76" s="44">
        <f t="shared" si="3"/>
        <v>51</v>
      </c>
      <c r="K76" s="44">
        <f t="shared" si="4"/>
        <v>51</v>
      </c>
      <c r="L76" s="68"/>
      <c r="M76" s="69"/>
      <c r="N76" s="44" t="str">
        <f t="shared" si="5"/>
        <v/>
      </c>
      <c r="O76" s="44" t="str">
        <f t="shared" si="6"/>
        <v/>
      </c>
      <c r="P76" s="70"/>
      <c r="Q76" s="83"/>
      <c r="R76" s="83"/>
      <c r="S76" s="84"/>
    </row>
    <row r="77">
      <c r="A77" s="37" t="s">
        <v>48</v>
      </c>
      <c r="B77" s="77" t="s">
        <v>84</v>
      </c>
      <c r="C77" s="44"/>
      <c r="D77" s="64">
        <v>45612.0</v>
      </c>
      <c r="E77" s="64">
        <f t="shared" si="7"/>
        <v>45619</v>
      </c>
      <c r="F77" s="64">
        <f t="shared" si="8"/>
        <v>45640</v>
      </c>
      <c r="G77" s="67" t="s">
        <v>95</v>
      </c>
      <c r="H77" s="68">
        <v>95.0</v>
      </c>
      <c r="I77" s="69">
        <v>305.0</v>
      </c>
      <c r="J77" s="44">
        <f t="shared" si="3"/>
        <v>106</v>
      </c>
      <c r="K77" s="44">
        <f t="shared" si="4"/>
        <v>106</v>
      </c>
      <c r="L77" s="68"/>
      <c r="M77" s="69"/>
      <c r="N77" s="44" t="str">
        <f t="shared" si="5"/>
        <v/>
      </c>
      <c r="O77" s="44" t="str">
        <f t="shared" si="6"/>
        <v/>
      </c>
      <c r="P77" s="70"/>
      <c r="Q77" s="83"/>
      <c r="R77" s="83"/>
      <c r="S77" s="84"/>
    </row>
    <row r="78">
      <c r="A78" s="37" t="s">
        <v>48</v>
      </c>
      <c r="B78" s="77" t="s">
        <v>84</v>
      </c>
      <c r="C78" s="44"/>
      <c r="D78" s="64">
        <v>45613.0</v>
      </c>
      <c r="E78" s="64">
        <f t="shared" si="7"/>
        <v>45620</v>
      </c>
      <c r="F78" s="64">
        <f t="shared" si="8"/>
        <v>45641</v>
      </c>
      <c r="G78" s="67" t="s">
        <v>93</v>
      </c>
      <c r="H78" s="68">
        <v>155.0</v>
      </c>
      <c r="I78" s="69">
        <v>235.0</v>
      </c>
      <c r="J78" s="44">
        <f t="shared" si="3"/>
        <v>41</v>
      </c>
      <c r="K78" s="44">
        <f t="shared" si="4"/>
        <v>41</v>
      </c>
      <c r="L78" s="68">
        <v>258.0</v>
      </c>
      <c r="M78" s="69">
        <v>306.0</v>
      </c>
      <c r="N78" s="44">
        <f t="shared" si="5"/>
        <v>25</v>
      </c>
      <c r="O78" s="44">
        <f t="shared" si="6"/>
        <v>25</v>
      </c>
      <c r="P78" s="70"/>
      <c r="Q78" s="83"/>
      <c r="R78" s="85"/>
      <c r="S78" s="86"/>
    </row>
    <row r="79">
      <c r="A79" s="37" t="s">
        <v>48</v>
      </c>
      <c r="B79" s="77" t="s">
        <v>84</v>
      </c>
      <c r="C79" s="44"/>
      <c r="D79" s="64">
        <v>45613.0</v>
      </c>
      <c r="E79" s="64">
        <f t="shared" si="7"/>
        <v>45620</v>
      </c>
      <c r="F79" s="64">
        <f t="shared" si="8"/>
        <v>45641</v>
      </c>
      <c r="G79" s="67" t="s">
        <v>91</v>
      </c>
      <c r="H79" s="68"/>
      <c r="I79" s="69"/>
      <c r="J79" s="44" t="str">
        <f t="shared" si="3"/>
        <v/>
      </c>
      <c r="K79" s="44" t="str">
        <f t="shared" si="4"/>
        <v/>
      </c>
      <c r="L79" s="68">
        <v>164.0</v>
      </c>
      <c r="M79" s="69">
        <v>268.0</v>
      </c>
      <c r="N79" s="44">
        <f t="shared" si="5"/>
        <v>53</v>
      </c>
      <c r="O79" s="44">
        <f t="shared" si="6"/>
        <v>53</v>
      </c>
      <c r="P79" s="70"/>
      <c r="Q79" s="83"/>
      <c r="R79" s="83"/>
      <c r="S79" s="84"/>
    </row>
    <row r="80">
      <c r="A80" s="37" t="s">
        <v>48</v>
      </c>
      <c r="B80" s="77" t="s">
        <v>84</v>
      </c>
      <c r="C80" s="44"/>
      <c r="D80" s="64">
        <v>45614.0</v>
      </c>
      <c r="E80" s="64">
        <f t="shared" si="7"/>
        <v>45621</v>
      </c>
      <c r="F80" s="64">
        <f t="shared" si="8"/>
        <v>45642</v>
      </c>
      <c r="G80" s="67" t="s">
        <v>93</v>
      </c>
      <c r="H80" s="68">
        <v>237.0</v>
      </c>
      <c r="I80" s="69">
        <v>305.0</v>
      </c>
      <c r="J80" s="44">
        <f t="shared" si="3"/>
        <v>35</v>
      </c>
      <c r="K80" s="44">
        <f t="shared" si="4"/>
        <v>35</v>
      </c>
      <c r="L80" s="68"/>
      <c r="M80" s="69"/>
      <c r="N80" s="44" t="str">
        <f t="shared" si="5"/>
        <v/>
      </c>
      <c r="O80" s="44" t="str">
        <f t="shared" si="6"/>
        <v/>
      </c>
      <c r="P80" s="70"/>
      <c r="Q80" s="83"/>
      <c r="R80" s="83"/>
      <c r="S80" s="84"/>
    </row>
    <row r="81">
      <c r="A81" s="37" t="s">
        <v>48</v>
      </c>
      <c r="B81" s="77" t="s">
        <v>84</v>
      </c>
      <c r="C81" s="44"/>
      <c r="D81" s="64">
        <v>45614.0</v>
      </c>
      <c r="E81" s="64">
        <f t="shared" si="7"/>
        <v>45621</v>
      </c>
      <c r="F81" s="64">
        <f t="shared" si="8"/>
        <v>45642</v>
      </c>
      <c r="G81" s="67" t="s">
        <v>96</v>
      </c>
      <c r="H81" s="68">
        <v>7.0</v>
      </c>
      <c r="I81" s="69">
        <v>197.0</v>
      </c>
      <c r="J81" s="44">
        <f t="shared" si="3"/>
        <v>96</v>
      </c>
      <c r="K81" s="44">
        <f t="shared" si="4"/>
        <v>96</v>
      </c>
      <c r="L81" s="68"/>
      <c r="M81" s="69"/>
      <c r="N81" s="44" t="str">
        <f t="shared" si="5"/>
        <v/>
      </c>
      <c r="O81" s="44" t="str">
        <f t="shared" si="6"/>
        <v/>
      </c>
      <c r="P81" s="70"/>
      <c r="Q81" s="83"/>
      <c r="R81" s="83"/>
      <c r="S81" s="84"/>
    </row>
    <row r="82">
      <c r="A82" s="37" t="s">
        <v>48</v>
      </c>
      <c r="B82" s="77" t="s">
        <v>84</v>
      </c>
      <c r="C82" s="44"/>
      <c r="D82" s="64">
        <v>45614.0</v>
      </c>
      <c r="E82" s="64">
        <f t="shared" si="7"/>
        <v>45621</v>
      </c>
      <c r="F82" s="64">
        <f t="shared" si="8"/>
        <v>45642</v>
      </c>
      <c r="G82" s="67" t="s">
        <v>91</v>
      </c>
      <c r="H82" s="68"/>
      <c r="I82" s="69"/>
      <c r="J82" s="44" t="str">
        <f t="shared" si="3"/>
        <v/>
      </c>
      <c r="K82" s="44" t="str">
        <f t="shared" si="4"/>
        <v/>
      </c>
      <c r="L82" s="68">
        <v>270.0</v>
      </c>
      <c r="M82" s="69">
        <v>284.0</v>
      </c>
      <c r="N82" s="44">
        <f t="shared" si="5"/>
        <v>8</v>
      </c>
      <c r="O82" s="44">
        <f t="shared" si="6"/>
        <v>8</v>
      </c>
      <c r="P82" s="70"/>
      <c r="Q82" s="83"/>
      <c r="R82" s="83"/>
      <c r="S82" s="84"/>
    </row>
    <row r="83">
      <c r="A83" s="37" t="s">
        <v>48</v>
      </c>
      <c r="B83" s="77" t="s">
        <v>84</v>
      </c>
      <c r="C83" s="44"/>
      <c r="D83" s="64">
        <v>45615.0</v>
      </c>
      <c r="E83" s="64">
        <f t="shared" si="7"/>
        <v>45622</v>
      </c>
      <c r="F83" s="64">
        <f t="shared" si="8"/>
        <v>45643</v>
      </c>
      <c r="G83" s="67" t="s">
        <v>91</v>
      </c>
      <c r="H83" s="68"/>
      <c r="I83" s="69"/>
      <c r="J83" s="44" t="str">
        <f t="shared" si="3"/>
        <v/>
      </c>
      <c r="K83" s="44" t="str">
        <f t="shared" si="4"/>
        <v/>
      </c>
      <c r="L83" s="68">
        <v>286.0</v>
      </c>
      <c r="M83" s="69">
        <v>310.0</v>
      </c>
      <c r="N83" s="44">
        <f t="shared" si="5"/>
        <v>13</v>
      </c>
      <c r="O83" s="44">
        <f t="shared" si="6"/>
        <v>13</v>
      </c>
      <c r="P83" s="70"/>
      <c r="Q83" s="71"/>
      <c r="R83" s="71"/>
      <c r="S83" s="31"/>
    </row>
    <row r="84">
      <c r="A84" s="37" t="s">
        <v>48</v>
      </c>
      <c r="B84" s="77" t="s">
        <v>84</v>
      </c>
      <c r="C84" s="44"/>
      <c r="D84" s="64">
        <v>45615.0</v>
      </c>
      <c r="E84" s="64">
        <f t="shared" si="7"/>
        <v>45622</v>
      </c>
      <c r="F84" s="64">
        <f t="shared" si="8"/>
        <v>45643</v>
      </c>
      <c r="G84" s="67" t="s">
        <v>95</v>
      </c>
      <c r="H84" s="68"/>
      <c r="I84" s="69"/>
      <c r="J84" s="44" t="str">
        <f t="shared" si="3"/>
        <v/>
      </c>
      <c r="K84" s="44" t="str">
        <f t="shared" si="4"/>
        <v/>
      </c>
      <c r="L84" s="68">
        <v>4.0</v>
      </c>
      <c r="M84" s="69">
        <v>90.0</v>
      </c>
      <c r="N84" s="44">
        <f t="shared" si="5"/>
        <v>44</v>
      </c>
      <c r="O84" s="44">
        <f t="shared" si="6"/>
        <v>44</v>
      </c>
      <c r="P84" s="70"/>
      <c r="Q84" s="71"/>
      <c r="R84" s="71"/>
      <c r="S84" s="31"/>
    </row>
    <row r="85">
      <c r="A85" s="37" t="s">
        <v>48</v>
      </c>
      <c r="B85" s="77" t="s">
        <v>84</v>
      </c>
      <c r="C85" s="44"/>
      <c r="D85" s="64">
        <v>45615.0</v>
      </c>
      <c r="E85" s="64">
        <f t="shared" si="7"/>
        <v>45622</v>
      </c>
      <c r="F85" s="64">
        <f t="shared" si="8"/>
        <v>45643</v>
      </c>
      <c r="G85" s="67" t="s">
        <v>95</v>
      </c>
      <c r="H85" s="68"/>
      <c r="I85" s="69"/>
      <c r="J85" s="44" t="str">
        <f t="shared" si="3"/>
        <v/>
      </c>
      <c r="K85" s="44" t="str">
        <f t="shared" si="4"/>
        <v/>
      </c>
      <c r="L85" s="68">
        <v>96.0</v>
      </c>
      <c r="M85" s="69">
        <v>212.0</v>
      </c>
      <c r="N85" s="44">
        <f t="shared" si="5"/>
        <v>59</v>
      </c>
      <c r="O85" s="44">
        <f t="shared" si="6"/>
        <v>59</v>
      </c>
      <c r="P85" s="70"/>
      <c r="Q85" s="71"/>
      <c r="R85" s="71"/>
      <c r="S85" s="31"/>
    </row>
    <row r="86">
      <c r="A86" s="37" t="s">
        <v>48</v>
      </c>
      <c r="B86" s="77" t="s">
        <v>84</v>
      </c>
      <c r="C86" s="44"/>
      <c r="D86" s="64">
        <v>45620.0</v>
      </c>
      <c r="E86" s="64">
        <f t="shared" si="7"/>
        <v>45627</v>
      </c>
      <c r="F86" s="64">
        <f t="shared" si="8"/>
        <v>45648</v>
      </c>
      <c r="G86" s="67" t="s">
        <v>96</v>
      </c>
      <c r="H86" s="68">
        <v>199.0</v>
      </c>
      <c r="I86" s="69">
        <v>273.0</v>
      </c>
      <c r="J86" s="44">
        <f t="shared" si="3"/>
        <v>38</v>
      </c>
      <c r="K86" s="44">
        <f t="shared" si="4"/>
        <v>38</v>
      </c>
      <c r="L86" s="68">
        <v>8.0</v>
      </c>
      <c r="M86" s="69">
        <v>196.0</v>
      </c>
      <c r="N86" s="44">
        <f t="shared" si="5"/>
        <v>95</v>
      </c>
      <c r="O86" s="44">
        <f t="shared" si="6"/>
        <v>95</v>
      </c>
      <c r="P86" s="70"/>
      <c r="Q86" s="71"/>
      <c r="R86" s="71"/>
      <c r="S86" s="31"/>
    </row>
    <row r="87">
      <c r="A87" s="37" t="s">
        <v>48</v>
      </c>
      <c r="B87" s="77" t="s">
        <v>84</v>
      </c>
      <c r="C87" s="44"/>
      <c r="D87" s="64">
        <v>45621.0</v>
      </c>
      <c r="E87" s="64">
        <f t="shared" si="7"/>
        <v>45628</v>
      </c>
      <c r="F87" s="64">
        <f t="shared" si="8"/>
        <v>45649</v>
      </c>
      <c r="G87" s="67" t="s">
        <v>96</v>
      </c>
      <c r="H87" s="68">
        <v>275.0</v>
      </c>
      <c r="I87" s="69">
        <v>395.0</v>
      </c>
      <c r="J87" s="44">
        <f t="shared" si="3"/>
        <v>61</v>
      </c>
      <c r="K87" s="44">
        <f t="shared" si="4"/>
        <v>61</v>
      </c>
      <c r="L87" s="68"/>
      <c r="M87" s="69"/>
      <c r="N87" s="44" t="str">
        <f t="shared" si="5"/>
        <v/>
      </c>
      <c r="O87" s="44" t="str">
        <f t="shared" si="6"/>
        <v/>
      </c>
      <c r="P87" s="70"/>
      <c r="Q87" s="71"/>
      <c r="R87" s="71"/>
      <c r="S87" s="31"/>
    </row>
    <row r="88">
      <c r="A88" s="37" t="s">
        <v>48</v>
      </c>
      <c r="B88" s="77" t="s">
        <v>84</v>
      </c>
      <c r="C88" s="44"/>
      <c r="D88" s="64">
        <v>45622.0</v>
      </c>
      <c r="E88" s="64">
        <f t="shared" si="7"/>
        <v>45629</v>
      </c>
      <c r="F88" s="64">
        <f t="shared" si="8"/>
        <v>45650</v>
      </c>
      <c r="G88" s="67" t="s">
        <v>96</v>
      </c>
      <c r="H88" s="68"/>
      <c r="I88" s="69"/>
      <c r="J88" s="44" t="str">
        <f t="shared" si="3"/>
        <v/>
      </c>
      <c r="K88" s="44" t="str">
        <f t="shared" si="4"/>
        <v/>
      </c>
      <c r="L88" s="68">
        <v>198.0</v>
      </c>
      <c r="M88" s="69">
        <v>358.0</v>
      </c>
      <c r="N88" s="44">
        <f t="shared" si="5"/>
        <v>81</v>
      </c>
      <c r="O88" s="44">
        <f t="shared" si="6"/>
        <v>81</v>
      </c>
      <c r="P88" s="70">
        <v>62.0</v>
      </c>
      <c r="Q88" s="71"/>
      <c r="R88" s="71"/>
      <c r="S88" s="31"/>
    </row>
    <row r="89">
      <c r="A89" s="37" t="s">
        <v>48</v>
      </c>
      <c r="B89" s="87" t="s">
        <v>84</v>
      </c>
      <c r="C89" s="88"/>
      <c r="D89" s="64">
        <v>45622.0</v>
      </c>
      <c r="E89" s="64">
        <f>D89+7</f>
        <v>45629</v>
      </c>
      <c r="F89" s="66">
        <f>D89+28</f>
        <v>45650</v>
      </c>
      <c r="G89" s="89" t="s">
        <v>97</v>
      </c>
      <c r="H89" s="68">
        <v>7.0</v>
      </c>
      <c r="I89" s="69">
        <v>87.0</v>
      </c>
      <c r="J89" s="44">
        <f t="shared" si="3"/>
        <v>41</v>
      </c>
      <c r="K89" s="44">
        <f t="shared" si="4"/>
        <v>41</v>
      </c>
      <c r="L89" s="68">
        <v>90.0</v>
      </c>
      <c r="M89" s="69">
        <v>118.0</v>
      </c>
      <c r="N89" s="44">
        <f t="shared" si="5"/>
        <v>15</v>
      </c>
      <c r="O89" s="44">
        <f t="shared" si="6"/>
        <v>15</v>
      </c>
      <c r="P89" s="70">
        <v>61.0</v>
      </c>
      <c r="Q89" s="71"/>
      <c r="R89" s="71"/>
      <c r="S89" s="31"/>
    </row>
    <row r="90">
      <c r="A90" s="37" t="s">
        <v>48</v>
      </c>
      <c r="B90" s="77" t="s">
        <v>84</v>
      </c>
      <c r="C90" s="44"/>
      <c r="D90" s="64">
        <v>45623.0</v>
      </c>
      <c r="E90" s="64">
        <f>D90+7</f>
        <v>45630</v>
      </c>
      <c r="F90" s="64">
        <f>D90+28</f>
        <v>45651</v>
      </c>
      <c r="G90" s="90" t="s">
        <v>98</v>
      </c>
      <c r="H90" s="68"/>
      <c r="I90" s="69"/>
      <c r="J90" s="44" t="str">
        <f t="shared" si="3"/>
        <v/>
      </c>
      <c r="K90" s="44" t="str">
        <f t="shared" si="4"/>
        <v/>
      </c>
      <c r="L90" s="68"/>
      <c r="M90" s="69"/>
      <c r="N90" s="44" t="str">
        <f t="shared" si="5"/>
        <v/>
      </c>
      <c r="O90" s="44" t="str">
        <f t="shared" si="6"/>
        <v/>
      </c>
      <c r="P90" s="70"/>
      <c r="Q90" s="71"/>
      <c r="R90" s="71"/>
      <c r="S90" s="31"/>
    </row>
    <row r="91">
      <c r="A91" s="37" t="s">
        <v>48</v>
      </c>
      <c r="B91" s="77" t="s">
        <v>84</v>
      </c>
      <c r="C91" s="44"/>
      <c r="D91" s="64">
        <v>45623.0</v>
      </c>
      <c r="E91" s="64">
        <f t="shared" ref="E91:E107" si="9">D91+7</f>
        <v>45630</v>
      </c>
      <c r="F91" s="66">
        <f t="shared" ref="F91:F107" si="10">D91+28</f>
        <v>45651</v>
      </c>
      <c r="G91" s="80" t="s">
        <v>99</v>
      </c>
      <c r="H91" s="68">
        <v>1307.0</v>
      </c>
      <c r="I91" s="69">
        <v>1375.0</v>
      </c>
      <c r="J91" s="44">
        <f t="shared" si="3"/>
        <v>35</v>
      </c>
      <c r="K91" s="44">
        <f t="shared" si="4"/>
        <v>35</v>
      </c>
      <c r="L91" s="68"/>
      <c r="M91" s="69"/>
      <c r="N91" s="44" t="str">
        <f t="shared" si="5"/>
        <v/>
      </c>
      <c r="O91" s="44" t="str">
        <f t="shared" si="6"/>
        <v/>
      </c>
      <c r="P91" s="70">
        <v>65.0</v>
      </c>
      <c r="Q91" s="88"/>
      <c r="R91" s="88"/>
      <c r="S91" s="31"/>
    </row>
    <row r="92">
      <c r="A92" s="37" t="s">
        <v>48</v>
      </c>
      <c r="B92" s="87" t="s">
        <v>84</v>
      </c>
      <c r="C92" s="88"/>
      <c r="D92" s="64">
        <v>45623.0</v>
      </c>
      <c r="E92" s="64">
        <f t="shared" si="9"/>
        <v>45630</v>
      </c>
      <c r="F92" s="66">
        <f t="shared" si="10"/>
        <v>45651</v>
      </c>
      <c r="G92" s="89" t="s">
        <v>97</v>
      </c>
      <c r="H92" s="68">
        <v>91.0</v>
      </c>
      <c r="I92" s="69">
        <v>95.0</v>
      </c>
      <c r="J92" s="44">
        <f t="shared" si="3"/>
        <v>3</v>
      </c>
      <c r="K92" s="44">
        <f t="shared" si="4"/>
        <v>3</v>
      </c>
      <c r="L92" s="68">
        <v>8.0</v>
      </c>
      <c r="M92" s="69">
        <v>88.0</v>
      </c>
      <c r="N92" s="44">
        <f t="shared" si="5"/>
        <v>41</v>
      </c>
      <c r="O92" s="44">
        <f t="shared" si="6"/>
        <v>41</v>
      </c>
      <c r="P92" s="70">
        <v>64.0</v>
      </c>
      <c r="Q92" s="71"/>
      <c r="R92" s="71"/>
      <c r="S92" s="31"/>
    </row>
    <row r="93">
      <c r="A93" s="37" t="s">
        <v>48</v>
      </c>
      <c r="B93" s="77" t="s">
        <v>84</v>
      </c>
      <c r="C93" s="44"/>
      <c r="D93" s="64">
        <v>45624.0</v>
      </c>
      <c r="E93" s="64">
        <f t="shared" si="9"/>
        <v>45631</v>
      </c>
      <c r="F93" s="66">
        <f t="shared" si="10"/>
        <v>45652</v>
      </c>
      <c r="G93" s="80" t="s">
        <v>99</v>
      </c>
      <c r="H93" s="68">
        <v>1377.0</v>
      </c>
      <c r="I93" s="69">
        <v>1437.0</v>
      </c>
      <c r="J93" s="44">
        <f t="shared" si="3"/>
        <v>31</v>
      </c>
      <c r="K93" s="44">
        <f t="shared" si="4"/>
        <v>31</v>
      </c>
      <c r="L93" s="68"/>
      <c r="M93" s="69"/>
      <c r="N93" s="44" t="str">
        <f t="shared" si="5"/>
        <v/>
      </c>
      <c r="O93" s="44" t="str">
        <f t="shared" si="6"/>
        <v/>
      </c>
      <c r="P93" s="70">
        <v>66.0</v>
      </c>
      <c r="Q93" s="88"/>
      <c r="R93" s="88"/>
      <c r="S93" s="31"/>
    </row>
    <row r="94">
      <c r="A94" s="37" t="s">
        <v>48</v>
      </c>
      <c r="B94" s="87" t="s">
        <v>84</v>
      </c>
      <c r="C94" s="88"/>
      <c r="D94" s="64">
        <v>45624.0</v>
      </c>
      <c r="E94" s="64">
        <f t="shared" si="9"/>
        <v>45631</v>
      </c>
      <c r="F94" s="66">
        <f t="shared" si="10"/>
        <v>45652</v>
      </c>
      <c r="G94" s="89" t="s">
        <v>97</v>
      </c>
      <c r="H94" s="68">
        <v>215.0</v>
      </c>
      <c r="I94" s="69">
        <v>217.0</v>
      </c>
      <c r="J94" s="44">
        <f t="shared" si="3"/>
        <v>2</v>
      </c>
      <c r="K94" s="44">
        <f t="shared" si="4"/>
        <v>2</v>
      </c>
      <c r="L94" s="68">
        <v>120.0</v>
      </c>
      <c r="M94" s="69">
        <v>212.0</v>
      </c>
      <c r="N94" s="44">
        <f t="shared" si="5"/>
        <v>47</v>
      </c>
      <c r="O94" s="44">
        <f t="shared" si="6"/>
        <v>47</v>
      </c>
      <c r="P94" s="70">
        <v>67.0</v>
      </c>
      <c r="Q94" s="71"/>
      <c r="R94" s="71"/>
      <c r="S94" s="31"/>
    </row>
    <row r="95">
      <c r="A95" s="37" t="s">
        <v>48</v>
      </c>
      <c r="B95" s="77" t="s">
        <v>84</v>
      </c>
      <c r="C95" s="44"/>
      <c r="D95" s="64">
        <v>45626.0</v>
      </c>
      <c r="E95" s="64">
        <f t="shared" si="9"/>
        <v>45633</v>
      </c>
      <c r="F95" s="66">
        <f t="shared" si="10"/>
        <v>45654</v>
      </c>
      <c r="G95" s="80" t="s">
        <v>99</v>
      </c>
      <c r="H95" s="68"/>
      <c r="I95" s="69"/>
      <c r="J95" s="44" t="str">
        <f t="shared" si="3"/>
        <v/>
      </c>
      <c r="K95" s="44" t="str">
        <f t="shared" si="4"/>
        <v/>
      </c>
      <c r="L95" s="68">
        <v>1308.0</v>
      </c>
      <c r="M95" s="69">
        <v>1376.0</v>
      </c>
      <c r="N95" s="44">
        <f t="shared" si="5"/>
        <v>35</v>
      </c>
      <c r="O95" s="44">
        <f t="shared" si="6"/>
        <v>35</v>
      </c>
      <c r="P95" s="70">
        <v>68.0</v>
      </c>
      <c r="Q95" s="88"/>
      <c r="R95" s="88"/>
      <c r="S95" s="31"/>
    </row>
    <row r="96">
      <c r="A96" s="37" t="s">
        <v>48</v>
      </c>
      <c r="B96" s="87" t="s">
        <v>84</v>
      </c>
      <c r="C96" s="88"/>
      <c r="D96" s="64">
        <v>45626.0</v>
      </c>
      <c r="E96" s="64">
        <f t="shared" si="9"/>
        <v>45633</v>
      </c>
      <c r="F96" s="66">
        <f t="shared" si="10"/>
        <v>45654</v>
      </c>
      <c r="G96" s="89" t="s">
        <v>97</v>
      </c>
      <c r="H96" s="68">
        <v>89.0</v>
      </c>
      <c r="I96" s="69">
        <v>89.0</v>
      </c>
      <c r="J96" s="44">
        <f t="shared" si="3"/>
        <v>1</v>
      </c>
      <c r="K96" s="44">
        <f t="shared" si="4"/>
        <v>1</v>
      </c>
      <c r="L96" s="68"/>
      <c r="M96" s="69"/>
      <c r="N96" s="44" t="str">
        <f t="shared" si="5"/>
        <v/>
      </c>
      <c r="O96" s="44" t="str">
        <f t="shared" si="6"/>
        <v/>
      </c>
      <c r="P96" s="70">
        <v>69.0</v>
      </c>
      <c r="Q96" s="71"/>
      <c r="R96" s="71"/>
      <c r="S96" s="31"/>
    </row>
    <row r="97">
      <c r="A97" s="37" t="s">
        <v>48</v>
      </c>
      <c r="B97" s="87" t="s">
        <v>84</v>
      </c>
      <c r="C97" s="88"/>
      <c r="D97" s="64">
        <v>45626.0</v>
      </c>
      <c r="E97" s="64">
        <f t="shared" si="9"/>
        <v>45633</v>
      </c>
      <c r="F97" s="66">
        <f t="shared" si="10"/>
        <v>45654</v>
      </c>
      <c r="G97" s="89" t="s">
        <v>97</v>
      </c>
      <c r="H97" s="68">
        <v>97.0</v>
      </c>
      <c r="I97" s="69">
        <v>97.0</v>
      </c>
      <c r="J97" s="44">
        <f t="shared" si="3"/>
        <v>1</v>
      </c>
      <c r="K97" s="44">
        <f t="shared" si="4"/>
        <v>1</v>
      </c>
      <c r="L97" s="68"/>
      <c r="M97" s="69"/>
      <c r="N97" s="44" t="str">
        <f t="shared" si="5"/>
        <v/>
      </c>
      <c r="O97" s="44" t="str">
        <f t="shared" si="6"/>
        <v/>
      </c>
      <c r="P97" s="70"/>
      <c r="Q97" s="71"/>
      <c r="R97" s="71"/>
      <c r="S97" s="31"/>
    </row>
    <row r="98">
      <c r="A98" s="37" t="s">
        <v>48</v>
      </c>
      <c r="B98" s="79" t="s">
        <v>84</v>
      </c>
      <c r="C98" s="80"/>
      <c r="D98" s="64">
        <v>45626.0</v>
      </c>
      <c r="E98" s="64">
        <f t="shared" si="9"/>
        <v>45633</v>
      </c>
      <c r="F98" s="66">
        <f t="shared" si="10"/>
        <v>45654</v>
      </c>
      <c r="G98" s="89" t="s">
        <v>97</v>
      </c>
      <c r="H98" s="68">
        <v>101.0</v>
      </c>
      <c r="I98" s="69">
        <v>207.0</v>
      </c>
      <c r="J98" s="44">
        <f t="shared" si="3"/>
        <v>54</v>
      </c>
      <c r="K98" s="44">
        <f t="shared" si="4"/>
        <v>54</v>
      </c>
      <c r="L98" s="68"/>
      <c r="M98" s="69"/>
      <c r="N98" s="44" t="str">
        <f t="shared" si="5"/>
        <v/>
      </c>
      <c r="O98" s="44" t="str">
        <f t="shared" si="6"/>
        <v/>
      </c>
      <c r="P98" s="70">
        <v>69.0</v>
      </c>
      <c r="Q98" s="71"/>
      <c r="R98" s="71"/>
      <c r="S98" s="31"/>
    </row>
    <row r="99">
      <c r="A99" s="37" t="s">
        <v>48</v>
      </c>
      <c r="B99" s="77" t="s">
        <v>84</v>
      </c>
      <c r="C99" s="44"/>
      <c r="D99" s="64">
        <v>45627.0</v>
      </c>
      <c r="E99" s="64">
        <f t="shared" si="9"/>
        <v>45634</v>
      </c>
      <c r="F99" s="66">
        <f t="shared" si="10"/>
        <v>45655</v>
      </c>
      <c r="G99" s="80" t="s">
        <v>99</v>
      </c>
      <c r="H99" s="68">
        <v>1439.0</v>
      </c>
      <c r="I99" s="69">
        <v>1455.0</v>
      </c>
      <c r="J99" s="44">
        <f t="shared" si="3"/>
        <v>9</v>
      </c>
      <c r="K99" s="44">
        <f t="shared" si="4"/>
        <v>9</v>
      </c>
      <c r="L99" s="68">
        <v>1378.0</v>
      </c>
      <c r="M99" s="69">
        <v>1436.0</v>
      </c>
      <c r="N99" s="44">
        <f t="shared" si="5"/>
        <v>30</v>
      </c>
      <c r="O99" s="44">
        <f t="shared" si="6"/>
        <v>30</v>
      </c>
      <c r="P99" s="70">
        <v>70.0</v>
      </c>
      <c r="Q99" s="88"/>
      <c r="R99" s="88"/>
      <c r="S99" s="31"/>
    </row>
    <row r="100">
      <c r="A100" s="37" t="s">
        <v>48</v>
      </c>
      <c r="B100" s="87" t="s">
        <v>84</v>
      </c>
      <c r="C100" s="88"/>
      <c r="D100" s="64">
        <v>45627.0</v>
      </c>
      <c r="E100" s="64">
        <f t="shared" si="9"/>
        <v>45634</v>
      </c>
      <c r="F100" s="66">
        <f t="shared" si="10"/>
        <v>45655</v>
      </c>
      <c r="G100" s="89" t="s">
        <v>97</v>
      </c>
      <c r="H100" s="68">
        <v>209.0</v>
      </c>
      <c r="I100" s="69">
        <v>213.0</v>
      </c>
      <c r="J100" s="44">
        <f t="shared" si="3"/>
        <v>3</v>
      </c>
      <c r="K100" s="44">
        <f t="shared" si="4"/>
        <v>3</v>
      </c>
      <c r="L100" s="68">
        <v>216.0</v>
      </c>
      <c r="M100" s="69">
        <v>216.0</v>
      </c>
      <c r="N100" s="44">
        <f t="shared" si="5"/>
        <v>1</v>
      </c>
      <c r="O100" s="44">
        <f t="shared" si="6"/>
        <v>1</v>
      </c>
      <c r="P100" s="70">
        <v>71.0</v>
      </c>
      <c r="Q100" s="71"/>
      <c r="R100" s="71"/>
      <c r="S100" s="31"/>
    </row>
    <row r="101">
      <c r="A101" s="37" t="s">
        <v>48</v>
      </c>
      <c r="B101" s="87" t="s">
        <v>84</v>
      </c>
      <c r="C101" s="88"/>
      <c r="D101" s="64">
        <v>45627.0</v>
      </c>
      <c r="E101" s="64">
        <f t="shared" si="9"/>
        <v>45634</v>
      </c>
      <c r="F101" s="66">
        <f t="shared" si="10"/>
        <v>45655</v>
      </c>
      <c r="G101" s="89" t="s">
        <v>97</v>
      </c>
      <c r="H101" s="68">
        <v>219.0</v>
      </c>
      <c r="I101" s="69">
        <v>271.0</v>
      </c>
      <c r="J101" s="44">
        <f t="shared" si="3"/>
        <v>27</v>
      </c>
      <c r="K101" s="44">
        <f t="shared" si="4"/>
        <v>27</v>
      </c>
      <c r="L101" s="68"/>
      <c r="M101" s="69"/>
      <c r="N101" s="44" t="str">
        <f t="shared" si="5"/>
        <v/>
      </c>
      <c r="O101" s="44" t="str">
        <f t="shared" si="6"/>
        <v/>
      </c>
      <c r="P101" s="70">
        <v>71.0</v>
      </c>
      <c r="Q101" s="71"/>
      <c r="R101" s="71"/>
      <c r="S101" s="31"/>
    </row>
    <row r="102">
      <c r="A102" s="37" t="s">
        <v>48</v>
      </c>
      <c r="B102" s="77" t="s">
        <v>84</v>
      </c>
      <c r="C102" s="44"/>
      <c r="D102" s="64">
        <v>45628.0</v>
      </c>
      <c r="E102" s="64">
        <f t="shared" si="9"/>
        <v>45635</v>
      </c>
      <c r="F102" s="66">
        <f t="shared" si="10"/>
        <v>45656</v>
      </c>
      <c r="G102" s="80" t="s">
        <v>99</v>
      </c>
      <c r="H102" s="68">
        <v>1457.0</v>
      </c>
      <c r="I102" s="69">
        <v>1525.0</v>
      </c>
      <c r="J102" s="44">
        <f t="shared" si="3"/>
        <v>35</v>
      </c>
      <c r="K102" s="44">
        <f t="shared" si="4"/>
        <v>35</v>
      </c>
      <c r="L102" s="68"/>
      <c r="M102" s="69"/>
      <c r="N102" s="44" t="str">
        <f t="shared" si="5"/>
        <v/>
      </c>
      <c r="O102" s="44" t="str">
        <f t="shared" si="6"/>
        <v/>
      </c>
      <c r="P102" s="70">
        <v>72.0</v>
      </c>
      <c r="Q102" s="88"/>
      <c r="R102" s="88"/>
      <c r="S102" s="31"/>
    </row>
    <row r="103">
      <c r="A103" s="37" t="s">
        <v>48</v>
      </c>
      <c r="B103" s="87" t="s">
        <v>84</v>
      </c>
      <c r="C103" s="88"/>
      <c r="D103" s="64">
        <v>45628.0</v>
      </c>
      <c r="E103" s="64">
        <f t="shared" si="9"/>
        <v>45635</v>
      </c>
      <c r="F103" s="66">
        <f t="shared" si="10"/>
        <v>45656</v>
      </c>
      <c r="G103" s="91" t="s">
        <v>97</v>
      </c>
      <c r="H103" s="68"/>
      <c r="I103" s="69"/>
      <c r="J103" s="44" t="str">
        <f t="shared" si="3"/>
        <v/>
      </c>
      <c r="K103" s="44" t="str">
        <f t="shared" si="4"/>
        <v/>
      </c>
      <c r="L103" s="68">
        <v>214.0</v>
      </c>
      <c r="M103" s="69">
        <v>214.0</v>
      </c>
      <c r="N103" s="44">
        <f t="shared" si="5"/>
        <v>1</v>
      </c>
      <c r="O103" s="44">
        <f t="shared" si="6"/>
        <v>1</v>
      </c>
      <c r="P103" s="70">
        <v>73.0</v>
      </c>
      <c r="Q103" s="71"/>
      <c r="R103" s="71"/>
      <c r="S103" s="31"/>
    </row>
    <row r="104">
      <c r="A104" s="37" t="s">
        <v>48</v>
      </c>
      <c r="B104" s="87" t="s">
        <v>84</v>
      </c>
      <c r="C104" s="88"/>
      <c r="D104" s="64">
        <v>45628.0</v>
      </c>
      <c r="E104" s="64">
        <f t="shared" si="9"/>
        <v>45635</v>
      </c>
      <c r="F104" s="66">
        <f t="shared" si="10"/>
        <v>45656</v>
      </c>
      <c r="G104" s="91" t="s">
        <v>97</v>
      </c>
      <c r="H104" s="68"/>
      <c r="I104" s="69"/>
      <c r="J104" s="44" t="str">
        <f t="shared" si="3"/>
        <v/>
      </c>
      <c r="K104" s="44" t="str">
        <f t="shared" si="4"/>
        <v/>
      </c>
      <c r="L104" s="68">
        <v>218.0</v>
      </c>
      <c r="M104" s="69">
        <v>270.0</v>
      </c>
      <c r="N104" s="44">
        <f t="shared" si="5"/>
        <v>27</v>
      </c>
      <c r="O104" s="44">
        <f t="shared" si="6"/>
        <v>27</v>
      </c>
      <c r="P104" s="70">
        <v>73.0</v>
      </c>
      <c r="Q104" s="71"/>
      <c r="R104" s="71"/>
      <c r="S104" s="31"/>
    </row>
    <row r="105">
      <c r="A105" s="37" t="s">
        <v>48</v>
      </c>
      <c r="B105" s="77" t="s">
        <v>84</v>
      </c>
      <c r="C105" s="44"/>
      <c r="D105" s="64">
        <v>45629.0</v>
      </c>
      <c r="E105" s="64">
        <f t="shared" si="9"/>
        <v>45636</v>
      </c>
      <c r="F105" s="66">
        <f t="shared" si="10"/>
        <v>45657</v>
      </c>
      <c r="G105" s="80" t="s">
        <v>99</v>
      </c>
      <c r="H105" s="68"/>
      <c r="I105" s="69"/>
      <c r="J105" s="44" t="str">
        <f t="shared" si="3"/>
        <v/>
      </c>
      <c r="K105" s="44" t="str">
        <f t="shared" si="4"/>
        <v/>
      </c>
      <c r="L105" s="68">
        <v>1438.0</v>
      </c>
      <c r="M105" s="69">
        <v>1516.0</v>
      </c>
      <c r="N105" s="44">
        <f t="shared" si="5"/>
        <v>40</v>
      </c>
      <c r="O105" s="44">
        <f t="shared" si="6"/>
        <v>40</v>
      </c>
      <c r="P105" s="70">
        <v>74.0</v>
      </c>
      <c r="Q105" s="88"/>
      <c r="R105" s="88"/>
      <c r="S105" s="31"/>
    </row>
    <row r="106">
      <c r="A106" s="37" t="s">
        <v>48</v>
      </c>
      <c r="B106" s="87" t="s">
        <v>84</v>
      </c>
      <c r="C106" s="88"/>
      <c r="D106" s="64">
        <v>45629.0</v>
      </c>
      <c r="E106" s="64">
        <f t="shared" si="9"/>
        <v>45636</v>
      </c>
      <c r="F106" s="66">
        <f t="shared" si="10"/>
        <v>45657</v>
      </c>
      <c r="G106" s="92" t="s">
        <v>97</v>
      </c>
      <c r="H106" s="68"/>
      <c r="I106" s="69"/>
      <c r="J106" s="44" t="str">
        <f t="shared" si="3"/>
        <v/>
      </c>
      <c r="K106" s="44" t="str">
        <f t="shared" si="4"/>
        <v/>
      </c>
      <c r="L106" s="68"/>
      <c r="M106" s="69"/>
      <c r="N106" s="44" t="str">
        <f t="shared" si="5"/>
        <v/>
      </c>
      <c r="O106" s="44" t="str">
        <f t="shared" si="6"/>
        <v/>
      </c>
      <c r="P106" s="70"/>
      <c r="Q106" s="71"/>
      <c r="R106" s="71"/>
      <c r="S106" s="31"/>
    </row>
    <row r="107">
      <c r="A107" s="37" t="s">
        <v>48</v>
      </c>
      <c r="B107" s="77" t="s">
        <v>84</v>
      </c>
      <c r="C107" s="44"/>
      <c r="D107" s="64">
        <v>45630.0</v>
      </c>
      <c r="E107" s="64">
        <f t="shared" si="9"/>
        <v>45637</v>
      </c>
      <c r="F107" s="66">
        <f t="shared" si="10"/>
        <v>45658</v>
      </c>
      <c r="G107" s="80" t="s">
        <v>99</v>
      </c>
      <c r="H107" s="68">
        <v>1527.0</v>
      </c>
      <c r="I107" s="69">
        <v>1587.0</v>
      </c>
      <c r="J107" s="44">
        <f t="shared" si="3"/>
        <v>31</v>
      </c>
      <c r="K107" s="44">
        <f t="shared" si="4"/>
        <v>31</v>
      </c>
      <c r="L107" s="68">
        <v>1518.0</v>
      </c>
      <c r="M107" s="69">
        <v>1524.0</v>
      </c>
      <c r="N107" s="44">
        <f t="shared" si="5"/>
        <v>4</v>
      </c>
      <c r="O107" s="44">
        <f t="shared" si="6"/>
        <v>4</v>
      </c>
      <c r="P107" s="70">
        <v>76.0</v>
      </c>
      <c r="Q107" s="88"/>
      <c r="R107" s="88"/>
      <c r="S107" s="31"/>
    </row>
    <row r="108">
      <c r="A108" s="37" t="s">
        <v>48</v>
      </c>
      <c r="B108" s="93" t="s">
        <v>100</v>
      </c>
      <c r="C108" s="94"/>
      <c r="D108" s="64">
        <v>45633.0</v>
      </c>
      <c r="E108" s="64">
        <f>D108+7</f>
        <v>45640</v>
      </c>
      <c r="F108" s="64">
        <f>D108+28</f>
        <v>45661</v>
      </c>
      <c r="G108" s="67" t="s">
        <v>98</v>
      </c>
      <c r="H108" s="68"/>
      <c r="I108" s="69"/>
      <c r="J108" s="44" t="str">
        <f t="shared" si="3"/>
        <v/>
      </c>
      <c r="K108" s="44" t="str">
        <f t="shared" si="4"/>
        <v/>
      </c>
      <c r="L108" s="68">
        <v>4.0</v>
      </c>
      <c r="M108" s="69">
        <v>140.0</v>
      </c>
      <c r="N108" s="44">
        <f t="shared" si="5"/>
        <v>69</v>
      </c>
      <c r="O108" s="44">
        <f t="shared" si="6"/>
        <v>69</v>
      </c>
      <c r="P108" s="70"/>
      <c r="Q108" s="71"/>
      <c r="R108" s="71"/>
      <c r="S108" s="31"/>
    </row>
    <row r="109">
      <c r="A109" s="37" t="s">
        <v>48</v>
      </c>
      <c r="B109" s="77" t="s">
        <v>84</v>
      </c>
      <c r="C109" s="44"/>
      <c r="D109" s="64">
        <v>45633.0</v>
      </c>
      <c r="E109" s="64">
        <f>D109+7</f>
        <v>45640</v>
      </c>
      <c r="F109" s="66">
        <f>D109+28</f>
        <v>45661</v>
      </c>
      <c r="G109" s="80" t="s">
        <v>99</v>
      </c>
      <c r="H109" s="68">
        <v>1589.0</v>
      </c>
      <c r="I109" s="69">
        <v>1593.0</v>
      </c>
      <c r="J109" s="44">
        <f t="shared" si="3"/>
        <v>3</v>
      </c>
      <c r="K109" s="44">
        <f t="shared" si="4"/>
        <v>3</v>
      </c>
      <c r="L109" s="68">
        <v>1526.0</v>
      </c>
      <c r="M109" s="69">
        <v>1586.0</v>
      </c>
      <c r="N109" s="44">
        <f t="shared" si="5"/>
        <v>31</v>
      </c>
      <c r="O109" s="44">
        <f t="shared" si="6"/>
        <v>31</v>
      </c>
      <c r="P109" s="70">
        <v>79.0</v>
      </c>
      <c r="Q109" s="88"/>
      <c r="R109" s="88"/>
      <c r="S109" s="31"/>
    </row>
    <row r="110">
      <c r="A110" s="37" t="s">
        <v>48</v>
      </c>
      <c r="B110" s="77" t="s">
        <v>100</v>
      </c>
      <c r="C110" s="44"/>
      <c r="D110" s="64">
        <v>45634.0</v>
      </c>
      <c r="E110" s="64">
        <f t="shared" ref="E110:E113" si="11">D110+7</f>
        <v>45641</v>
      </c>
      <c r="F110" s="64">
        <f t="shared" ref="F110:F113" si="12">D110+28</f>
        <v>45662</v>
      </c>
      <c r="G110" s="67" t="s">
        <v>96</v>
      </c>
      <c r="H110" s="68">
        <v>437.0</v>
      </c>
      <c r="I110" s="69">
        <v>491.0</v>
      </c>
      <c r="J110" s="44">
        <f t="shared" si="3"/>
        <v>28</v>
      </c>
      <c r="K110" s="44">
        <f t="shared" si="4"/>
        <v>28</v>
      </c>
      <c r="L110" s="68">
        <v>360.0</v>
      </c>
      <c r="M110" s="69">
        <v>434.0</v>
      </c>
      <c r="N110" s="44">
        <f t="shared" si="5"/>
        <v>38</v>
      </c>
      <c r="O110" s="44">
        <f t="shared" si="6"/>
        <v>38</v>
      </c>
      <c r="P110" s="70">
        <v>80.0</v>
      </c>
      <c r="Q110" s="71"/>
      <c r="R110" s="71"/>
      <c r="S110" s="31"/>
    </row>
    <row r="111">
      <c r="A111" s="37" t="s">
        <v>48</v>
      </c>
      <c r="B111" s="77" t="s">
        <v>100</v>
      </c>
      <c r="C111" s="44"/>
      <c r="D111" s="64">
        <v>45634.0</v>
      </c>
      <c r="E111" s="64">
        <f t="shared" si="11"/>
        <v>45641</v>
      </c>
      <c r="F111" s="64">
        <f t="shared" si="12"/>
        <v>45662</v>
      </c>
      <c r="G111" s="67" t="s">
        <v>101</v>
      </c>
      <c r="H111" s="68">
        <v>5.0</v>
      </c>
      <c r="I111" s="69">
        <v>99.0</v>
      </c>
      <c r="J111" s="44">
        <f t="shared" si="3"/>
        <v>48</v>
      </c>
      <c r="K111" s="44">
        <f t="shared" si="4"/>
        <v>48</v>
      </c>
      <c r="L111" s="68"/>
      <c r="M111" s="69"/>
      <c r="N111" s="44" t="str">
        <f t="shared" si="5"/>
        <v/>
      </c>
      <c r="O111" s="44" t="str">
        <f t="shared" si="6"/>
        <v/>
      </c>
      <c r="P111" s="70">
        <v>81.0</v>
      </c>
      <c r="Q111" s="71"/>
      <c r="R111" s="71"/>
      <c r="S111" s="31"/>
    </row>
    <row r="112">
      <c r="A112" s="37" t="s">
        <v>48</v>
      </c>
      <c r="B112" s="77" t="s">
        <v>100</v>
      </c>
      <c r="C112" s="44"/>
      <c r="D112" s="64">
        <v>45635.0</v>
      </c>
      <c r="E112" s="64">
        <f t="shared" si="11"/>
        <v>45642</v>
      </c>
      <c r="F112" s="64">
        <f t="shared" si="12"/>
        <v>45663</v>
      </c>
      <c r="G112" s="67" t="s">
        <v>96</v>
      </c>
      <c r="H112" s="68"/>
      <c r="I112" s="69"/>
      <c r="J112" s="44" t="str">
        <f t="shared" si="3"/>
        <v/>
      </c>
      <c r="K112" s="44" t="str">
        <f t="shared" si="4"/>
        <v/>
      </c>
      <c r="L112" s="68">
        <v>438.0</v>
      </c>
      <c r="M112" s="69">
        <v>492.0</v>
      </c>
      <c r="N112" s="44">
        <f t="shared" si="5"/>
        <v>28</v>
      </c>
      <c r="O112" s="44">
        <f t="shared" si="6"/>
        <v>28</v>
      </c>
      <c r="P112" s="70">
        <v>83.0</v>
      </c>
      <c r="Q112" s="71"/>
      <c r="R112" s="71"/>
      <c r="S112" s="31"/>
    </row>
    <row r="113">
      <c r="A113" s="37" t="s">
        <v>48</v>
      </c>
      <c r="B113" s="77" t="s">
        <v>100</v>
      </c>
      <c r="C113" s="44"/>
      <c r="D113" s="64">
        <v>45635.0</v>
      </c>
      <c r="E113" s="64">
        <f t="shared" si="11"/>
        <v>45642</v>
      </c>
      <c r="F113" s="64">
        <f t="shared" si="12"/>
        <v>45663</v>
      </c>
      <c r="G113" s="67" t="s">
        <v>101</v>
      </c>
      <c r="H113" s="68">
        <v>101.0</v>
      </c>
      <c r="I113" s="69">
        <v>137.0</v>
      </c>
      <c r="J113" s="44">
        <f t="shared" si="3"/>
        <v>19</v>
      </c>
      <c r="K113" s="44">
        <f t="shared" si="4"/>
        <v>19</v>
      </c>
      <c r="L113" s="68">
        <v>8.0</v>
      </c>
      <c r="M113" s="69">
        <v>98.0</v>
      </c>
      <c r="N113" s="44">
        <f t="shared" si="5"/>
        <v>46</v>
      </c>
      <c r="O113" s="44">
        <f t="shared" si="6"/>
        <v>46</v>
      </c>
      <c r="P113" s="70">
        <v>83.0</v>
      </c>
      <c r="Q113" s="71"/>
      <c r="R113" s="71"/>
      <c r="S113" s="31"/>
    </row>
    <row r="114">
      <c r="A114" s="37" t="s">
        <v>48</v>
      </c>
      <c r="B114" s="77" t="s">
        <v>100</v>
      </c>
      <c r="C114" s="44"/>
      <c r="D114" s="64">
        <v>45641.0</v>
      </c>
      <c r="E114" s="64">
        <f>D114+7</f>
        <v>45648</v>
      </c>
      <c r="F114" s="66">
        <f>D114+28</f>
        <v>45669</v>
      </c>
      <c r="G114" s="95" t="s">
        <v>99</v>
      </c>
      <c r="H114" s="68">
        <v>1595.0</v>
      </c>
      <c r="I114" s="69">
        <v>1657.0</v>
      </c>
      <c r="J114" s="44">
        <f t="shared" si="3"/>
        <v>32</v>
      </c>
      <c r="K114" s="44">
        <f t="shared" si="4"/>
        <v>32</v>
      </c>
      <c r="L114" s="68"/>
      <c r="M114" s="69"/>
      <c r="N114" s="44" t="str">
        <f t="shared" si="5"/>
        <v/>
      </c>
      <c r="O114" s="44" t="str">
        <f t="shared" si="6"/>
        <v/>
      </c>
      <c r="P114" s="70">
        <v>84.0</v>
      </c>
      <c r="Q114" s="95"/>
      <c r="R114" s="88"/>
      <c r="S114" s="31"/>
    </row>
    <row r="115">
      <c r="A115" s="37" t="s">
        <v>48</v>
      </c>
      <c r="B115" s="77" t="s">
        <v>100</v>
      </c>
      <c r="C115" s="44"/>
      <c r="D115" s="64">
        <v>45642.0</v>
      </c>
      <c r="E115" s="64">
        <f t="shared" ref="E115:E119" si="13">D115+7</f>
        <v>45649</v>
      </c>
      <c r="F115" s="64">
        <f t="shared" ref="F115:F119" si="14">D115+28</f>
        <v>45670</v>
      </c>
      <c r="G115" s="67" t="s">
        <v>101</v>
      </c>
      <c r="H115" s="68">
        <v>139.0</v>
      </c>
      <c r="I115" s="69">
        <v>307.0</v>
      </c>
      <c r="J115" s="44">
        <f t="shared" si="3"/>
        <v>85</v>
      </c>
      <c r="K115" s="44">
        <f t="shared" si="4"/>
        <v>85</v>
      </c>
      <c r="L115" s="68">
        <v>100.0</v>
      </c>
      <c r="M115" s="69">
        <v>136.0</v>
      </c>
      <c r="N115" s="44">
        <f t="shared" si="5"/>
        <v>19</v>
      </c>
      <c r="O115" s="44">
        <f t="shared" si="6"/>
        <v>19</v>
      </c>
      <c r="P115" s="70">
        <v>86.0</v>
      </c>
      <c r="Q115" s="71"/>
      <c r="R115" s="71"/>
      <c r="S115" s="31"/>
    </row>
    <row r="116">
      <c r="A116" s="37" t="s">
        <v>48</v>
      </c>
      <c r="B116" s="77" t="s">
        <v>100</v>
      </c>
      <c r="C116" s="44"/>
      <c r="D116" s="64">
        <v>45642.0</v>
      </c>
      <c r="E116" s="64">
        <f t="shared" si="13"/>
        <v>45649</v>
      </c>
      <c r="F116" s="64">
        <f t="shared" si="14"/>
        <v>45670</v>
      </c>
      <c r="G116" s="67" t="s">
        <v>98</v>
      </c>
      <c r="H116" s="68">
        <v>205.0</v>
      </c>
      <c r="I116" s="69">
        <v>211.0</v>
      </c>
      <c r="J116" s="44">
        <f t="shared" si="3"/>
        <v>4</v>
      </c>
      <c r="K116" s="44">
        <f t="shared" si="4"/>
        <v>4</v>
      </c>
      <c r="L116" s="68">
        <v>142.0</v>
      </c>
      <c r="M116" s="69">
        <v>198.0</v>
      </c>
      <c r="N116" s="44">
        <f t="shared" si="5"/>
        <v>29</v>
      </c>
      <c r="O116" s="44">
        <f t="shared" si="6"/>
        <v>29</v>
      </c>
      <c r="P116" s="70">
        <v>85.0</v>
      </c>
      <c r="Q116" s="71"/>
      <c r="R116" s="71"/>
      <c r="S116" s="31"/>
    </row>
    <row r="117">
      <c r="A117" s="37" t="s">
        <v>48</v>
      </c>
      <c r="B117" s="77" t="s">
        <v>100</v>
      </c>
      <c r="C117" s="44"/>
      <c r="D117" s="64">
        <v>45642.0</v>
      </c>
      <c r="E117" s="64">
        <f t="shared" si="13"/>
        <v>45649</v>
      </c>
      <c r="F117" s="64">
        <f t="shared" si="14"/>
        <v>45670</v>
      </c>
      <c r="G117" s="67" t="s">
        <v>98</v>
      </c>
      <c r="H117" s="68">
        <v>215.0</v>
      </c>
      <c r="I117" s="69">
        <v>261.0</v>
      </c>
      <c r="J117" s="44">
        <f t="shared" si="3"/>
        <v>24</v>
      </c>
      <c r="K117" s="44">
        <f t="shared" si="4"/>
        <v>24</v>
      </c>
      <c r="L117" s="68"/>
      <c r="M117" s="69"/>
      <c r="N117" s="44" t="str">
        <f t="shared" si="5"/>
        <v/>
      </c>
      <c r="O117" s="44" t="str">
        <f t="shared" si="6"/>
        <v/>
      </c>
      <c r="P117" s="70">
        <v>85.0</v>
      </c>
      <c r="Q117" s="71"/>
      <c r="R117" s="71"/>
      <c r="S117" s="31"/>
    </row>
    <row r="118">
      <c r="A118" s="37" t="s">
        <v>48</v>
      </c>
      <c r="B118" s="77" t="s">
        <v>100</v>
      </c>
      <c r="C118" s="44"/>
      <c r="D118" s="64">
        <v>45642.0</v>
      </c>
      <c r="E118" s="64">
        <f t="shared" si="13"/>
        <v>45649</v>
      </c>
      <c r="F118" s="64">
        <f t="shared" si="14"/>
        <v>45670</v>
      </c>
      <c r="G118" s="67" t="s">
        <v>98</v>
      </c>
      <c r="H118" s="68">
        <v>265.0</v>
      </c>
      <c r="I118" s="69">
        <v>285.0</v>
      </c>
      <c r="J118" s="44">
        <f t="shared" si="3"/>
        <v>11</v>
      </c>
      <c r="K118" s="44">
        <f t="shared" si="4"/>
        <v>11</v>
      </c>
      <c r="L118" s="68"/>
      <c r="M118" s="69"/>
      <c r="N118" s="44" t="str">
        <f t="shared" si="5"/>
        <v/>
      </c>
      <c r="O118" s="44" t="str">
        <f t="shared" si="6"/>
        <v/>
      </c>
      <c r="P118" s="70">
        <v>85.0</v>
      </c>
      <c r="Q118" s="71"/>
      <c r="R118" s="71"/>
      <c r="S118" s="31"/>
    </row>
    <row r="119">
      <c r="A119" s="37" t="s">
        <v>48</v>
      </c>
      <c r="B119" s="77" t="s">
        <v>100</v>
      </c>
      <c r="C119" s="44"/>
      <c r="D119" s="64">
        <v>45643.0</v>
      </c>
      <c r="E119" s="64">
        <f t="shared" si="13"/>
        <v>45650</v>
      </c>
      <c r="F119" s="64">
        <f t="shared" si="14"/>
        <v>45671</v>
      </c>
      <c r="G119" s="67" t="s">
        <v>98</v>
      </c>
      <c r="H119" s="68">
        <v>141.0</v>
      </c>
      <c r="I119" s="69">
        <v>199.0</v>
      </c>
      <c r="J119" s="44">
        <f t="shared" si="3"/>
        <v>30</v>
      </c>
      <c r="K119" s="44">
        <f t="shared" si="4"/>
        <v>30</v>
      </c>
      <c r="L119" s="68">
        <v>204.0</v>
      </c>
      <c r="M119" s="69">
        <v>322.0</v>
      </c>
      <c r="N119" s="44">
        <f t="shared" si="5"/>
        <v>60</v>
      </c>
      <c r="O119" s="44">
        <f t="shared" si="6"/>
        <v>60</v>
      </c>
      <c r="P119" s="70">
        <v>88.0</v>
      </c>
      <c r="Q119" s="71"/>
      <c r="R119" s="71"/>
      <c r="S119" s="31"/>
    </row>
    <row r="120">
      <c r="A120" s="37" t="s">
        <v>48</v>
      </c>
      <c r="B120" s="77" t="s">
        <v>100</v>
      </c>
      <c r="C120" s="44"/>
      <c r="D120" s="64">
        <v>45643.0</v>
      </c>
      <c r="E120" s="64">
        <f t="shared" ref="E120:E121" si="15">D120+7</f>
        <v>45650</v>
      </c>
      <c r="F120" s="66">
        <f t="shared" ref="F120:F121" si="16">D120+28</f>
        <v>45671</v>
      </c>
      <c r="G120" s="80" t="s">
        <v>99</v>
      </c>
      <c r="H120" s="68">
        <v>1659.0</v>
      </c>
      <c r="I120" s="69">
        <v>1717.0</v>
      </c>
      <c r="J120" s="44">
        <f t="shared" si="3"/>
        <v>30</v>
      </c>
      <c r="K120" s="44">
        <f t="shared" si="4"/>
        <v>30</v>
      </c>
      <c r="L120" s="68">
        <v>1588.0</v>
      </c>
      <c r="M120" s="69">
        <v>1604.0</v>
      </c>
      <c r="N120" s="44">
        <f t="shared" si="5"/>
        <v>9</v>
      </c>
      <c r="O120" s="44">
        <f t="shared" si="6"/>
        <v>9</v>
      </c>
      <c r="P120" s="70">
        <v>87.0</v>
      </c>
      <c r="Q120" s="88"/>
      <c r="R120" s="88"/>
      <c r="S120" s="31"/>
    </row>
    <row r="121">
      <c r="A121" s="37" t="s">
        <v>48</v>
      </c>
      <c r="B121" s="77" t="s">
        <v>100</v>
      </c>
      <c r="C121" s="44"/>
      <c r="D121" s="64">
        <v>45644.0</v>
      </c>
      <c r="E121" s="64">
        <f t="shared" si="15"/>
        <v>45651</v>
      </c>
      <c r="F121" s="66">
        <f t="shared" si="16"/>
        <v>45672</v>
      </c>
      <c r="G121" s="80" t="s">
        <v>99</v>
      </c>
      <c r="H121" s="68">
        <v>1719.0</v>
      </c>
      <c r="I121" s="69">
        <v>1731.0</v>
      </c>
      <c r="J121" s="44">
        <f t="shared" si="3"/>
        <v>7</v>
      </c>
      <c r="K121" s="44">
        <f t="shared" si="4"/>
        <v>7</v>
      </c>
      <c r="L121" s="68">
        <v>1606.0</v>
      </c>
      <c r="M121" s="69">
        <v>1666.0</v>
      </c>
      <c r="N121" s="44">
        <f t="shared" si="5"/>
        <v>31</v>
      </c>
      <c r="O121" s="44">
        <f t="shared" si="6"/>
        <v>31</v>
      </c>
      <c r="P121" s="70">
        <v>89.0</v>
      </c>
      <c r="Q121" s="88"/>
      <c r="R121" s="88"/>
      <c r="S121" s="31"/>
    </row>
    <row r="122">
      <c r="A122" s="37" t="s">
        <v>48</v>
      </c>
      <c r="B122" s="77" t="s">
        <v>100</v>
      </c>
      <c r="C122" s="44"/>
      <c r="D122" s="64">
        <v>45645.0</v>
      </c>
      <c r="E122" s="64">
        <f t="shared" ref="E122:E125" si="17">D122+7</f>
        <v>45652</v>
      </c>
      <c r="F122" s="64">
        <f t="shared" ref="F122:F125" si="18">D122+28</f>
        <v>45673</v>
      </c>
      <c r="G122" s="67" t="s">
        <v>102</v>
      </c>
      <c r="H122" s="68"/>
      <c r="I122" s="69"/>
      <c r="J122" s="44" t="str">
        <f t="shared" si="3"/>
        <v/>
      </c>
      <c r="K122" s="44" t="str">
        <f t="shared" si="4"/>
        <v/>
      </c>
      <c r="L122" s="68">
        <v>6.0</v>
      </c>
      <c r="M122" s="69">
        <v>130.0</v>
      </c>
      <c r="N122" s="44">
        <f t="shared" si="5"/>
        <v>63</v>
      </c>
      <c r="O122" s="44">
        <f t="shared" si="6"/>
        <v>63</v>
      </c>
      <c r="P122" s="70">
        <v>90.0</v>
      </c>
      <c r="Q122" s="71"/>
      <c r="R122" s="71"/>
      <c r="S122" s="31"/>
    </row>
    <row r="123">
      <c r="A123" s="37" t="s">
        <v>48</v>
      </c>
      <c r="B123" s="77" t="s">
        <v>100</v>
      </c>
      <c r="C123" s="44"/>
      <c r="D123" s="64">
        <v>45645.0</v>
      </c>
      <c r="E123" s="64">
        <f t="shared" si="17"/>
        <v>45652</v>
      </c>
      <c r="F123" s="64">
        <f t="shared" si="18"/>
        <v>45673</v>
      </c>
      <c r="G123" s="67" t="s">
        <v>98</v>
      </c>
      <c r="H123" s="68">
        <v>287.0</v>
      </c>
      <c r="I123" s="69">
        <v>311.0</v>
      </c>
      <c r="J123" s="44">
        <f t="shared" si="3"/>
        <v>13</v>
      </c>
      <c r="K123" s="44">
        <f t="shared" si="4"/>
        <v>13</v>
      </c>
      <c r="L123" s="68"/>
      <c r="M123" s="69"/>
      <c r="N123" s="44" t="str">
        <f t="shared" si="5"/>
        <v/>
      </c>
      <c r="O123" s="44" t="str">
        <f t="shared" si="6"/>
        <v/>
      </c>
      <c r="P123" s="70">
        <v>90.0</v>
      </c>
      <c r="Q123" s="71"/>
      <c r="R123" s="71"/>
      <c r="S123" s="31"/>
    </row>
    <row r="124">
      <c r="A124" s="37" t="s">
        <v>48</v>
      </c>
      <c r="B124" s="77" t="s">
        <v>100</v>
      </c>
      <c r="C124" s="44"/>
      <c r="D124" s="64">
        <v>45645.0</v>
      </c>
      <c r="E124" s="64">
        <f t="shared" si="17"/>
        <v>45652</v>
      </c>
      <c r="F124" s="64">
        <f t="shared" si="18"/>
        <v>45673</v>
      </c>
      <c r="G124" s="67" t="s">
        <v>98</v>
      </c>
      <c r="H124" s="68">
        <v>315.0</v>
      </c>
      <c r="I124" s="69">
        <v>351.0</v>
      </c>
      <c r="J124" s="44">
        <f t="shared" si="3"/>
        <v>19</v>
      </c>
      <c r="K124" s="44">
        <f t="shared" si="4"/>
        <v>19</v>
      </c>
      <c r="L124" s="68"/>
      <c r="M124" s="69"/>
      <c r="N124" s="44" t="str">
        <f t="shared" si="5"/>
        <v/>
      </c>
      <c r="O124" s="44" t="str">
        <f t="shared" si="6"/>
        <v/>
      </c>
      <c r="P124" s="70">
        <v>90.0</v>
      </c>
      <c r="Q124" s="71"/>
      <c r="R124" s="71"/>
      <c r="S124" s="31"/>
    </row>
    <row r="125">
      <c r="A125" s="37" t="s">
        <v>48</v>
      </c>
      <c r="B125" s="77" t="s">
        <v>100</v>
      </c>
      <c r="C125" s="44"/>
      <c r="D125" s="64">
        <v>45645.0</v>
      </c>
      <c r="E125" s="64">
        <f t="shared" si="17"/>
        <v>45652</v>
      </c>
      <c r="F125" s="64">
        <f t="shared" si="18"/>
        <v>45673</v>
      </c>
      <c r="G125" s="67" t="s">
        <v>101</v>
      </c>
      <c r="H125" s="68"/>
      <c r="I125" s="69"/>
      <c r="J125" s="44" t="str">
        <f t="shared" si="3"/>
        <v/>
      </c>
      <c r="K125" s="44" t="str">
        <f t="shared" si="4"/>
        <v/>
      </c>
      <c r="L125" s="68">
        <v>138.0</v>
      </c>
      <c r="M125" s="69">
        <v>308.0</v>
      </c>
      <c r="N125" s="44">
        <f t="shared" si="5"/>
        <v>86</v>
      </c>
      <c r="O125" s="44">
        <f t="shared" si="6"/>
        <v>86</v>
      </c>
      <c r="P125" s="70">
        <v>91.0</v>
      </c>
      <c r="Q125" s="71"/>
      <c r="R125" s="71"/>
      <c r="S125" s="31"/>
    </row>
    <row r="126">
      <c r="A126" s="37" t="s">
        <v>48</v>
      </c>
      <c r="B126" s="77" t="s">
        <v>100</v>
      </c>
      <c r="C126" s="44"/>
      <c r="D126" s="64">
        <v>45645.0</v>
      </c>
      <c r="E126" s="64">
        <f t="shared" ref="E126:E127" si="19">D126+7</f>
        <v>45652</v>
      </c>
      <c r="F126" s="66">
        <f t="shared" ref="F126:F127" si="20">D126+28</f>
        <v>45673</v>
      </c>
      <c r="G126" s="80" t="s">
        <v>99</v>
      </c>
      <c r="H126" s="68">
        <v>1733.0</v>
      </c>
      <c r="I126" s="69">
        <v>1751.0</v>
      </c>
      <c r="J126" s="44">
        <f t="shared" si="3"/>
        <v>10</v>
      </c>
      <c r="K126" s="44">
        <f t="shared" si="4"/>
        <v>10</v>
      </c>
      <c r="L126" s="68"/>
      <c r="M126" s="69"/>
      <c r="N126" s="44" t="str">
        <f t="shared" si="5"/>
        <v/>
      </c>
      <c r="O126" s="44" t="str">
        <f t="shared" si="6"/>
        <v/>
      </c>
      <c r="P126" s="70">
        <v>92.0</v>
      </c>
      <c r="Q126" s="88"/>
      <c r="R126" s="88"/>
      <c r="S126" s="31"/>
    </row>
    <row r="127">
      <c r="A127" s="37" t="s">
        <v>48</v>
      </c>
      <c r="B127" s="77" t="s">
        <v>100</v>
      </c>
      <c r="C127" s="44"/>
      <c r="D127" s="64">
        <v>45647.0</v>
      </c>
      <c r="E127" s="64">
        <f t="shared" si="19"/>
        <v>45654</v>
      </c>
      <c r="F127" s="66">
        <f t="shared" si="20"/>
        <v>45675</v>
      </c>
      <c r="G127" s="80" t="s">
        <v>99</v>
      </c>
      <c r="H127" s="68">
        <v>1753.0</v>
      </c>
      <c r="I127" s="69">
        <v>1801.0</v>
      </c>
      <c r="J127" s="44">
        <f t="shared" si="3"/>
        <v>25</v>
      </c>
      <c r="K127" s="44">
        <f t="shared" si="4"/>
        <v>25</v>
      </c>
      <c r="L127" s="68">
        <v>1668.0</v>
      </c>
      <c r="M127" s="69">
        <v>1682.0</v>
      </c>
      <c r="N127" s="44">
        <f t="shared" si="5"/>
        <v>8</v>
      </c>
      <c r="O127" s="44">
        <f t="shared" si="6"/>
        <v>8</v>
      </c>
      <c r="P127" s="70">
        <v>93.0</v>
      </c>
      <c r="Q127" s="88"/>
      <c r="R127" s="88"/>
      <c r="S127" s="31"/>
    </row>
    <row r="128">
      <c r="A128" s="37" t="s">
        <v>48</v>
      </c>
      <c r="B128" s="77" t="s">
        <v>100</v>
      </c>
      <c r="C128" s="44"/>
      <c r="D128" s="64">
        <v>45648.0</v>
      </c>
      <c r="E128" s="64">
        <f>D128+7</f>
        <v>45655</v>
      </c>
      <c r="F128" s="64">
        <f>D128+28</f>
        <v>45676</v>
      </c>
      <c r="G128" s="67" t="s">
        <v>102</v>
      </c>
      <c r="H128" s="68">
        <v>7.0</v>
      </c>
      <c r="I128" s="69">
        <v>129.0</v>
      </c>
      <c r="J128" s="44">
        <f t="shared" si="3"/>
        <v>62</v>
      </c>
      <c r="K128" s="44">
        <f t="shared" si="4"/>
        <v>62</v>
      </c>
      <c r="L128" s="68">
        <v>132.0</v>
      </c>
      <c r="M128" s="69">
        <v>154.0</v>
      </c>
      <c r="N128" s="44">
        <f t="shared" si="5"/>
        <v>12</v>
      </c>
      <c r="O128" s="44">
        <f t="shared" si="6"/>
        <v>12</v>
      </c>
      <c r="P128" s="70">
        <v>95.0</v>
      </c>
      <c r="Q128" s="71"/>
      <c r="R128" s="71"/>
      <c r="S128" s="31"/>
    </row>
    <row r="129">
      <c r="A129" s="37" t="s">
        <v>48</v>
      </c>
      <c r="B129" s="77" t="s">
        <v>100</v>
      </c>
      <c r="C129" s="44"/>
      <c r="D129" s="64">
        <v>45648.0</v>
      </c>
      <c r="E129" s="64">
        <f>D129+7</f>
        <v>45655</v>
      </c>
      <c r="F129" s="66">
        <f>D129+28</f>
        <v>45676</v>
      </c>
      <c r="G129" s="80" t="s">
        <v>99</v>
      </c>
      <c r="H129" s="68">
        <v>1803.0</v>
      </c>
      <c r="I129" s="69">
        <v>1841.0</v>
      </c>
      <c r="J129" s="44">
        <f t="shared" si="3"/>
        <v>20</v>
      </c>
      <c r="K129" s="44">
        <f t="shared" si="4"/>
        <v>20</v>
      </c>
      <c r="L129" s="68">
        <v>1684.0</v>
      </c>
      <c r="M129" s="69">
        <v>1694.0</v>
      </c>
      <c r="N129" s="44">
        <f t="shared" si="5"/>
        <v>6</v>
      </c>
      <c r="O129" s="44">
        <f t="shared" si="6"/>
        <v>6</v>
      </c>
      <c r="P129" s="70">
        <v>94.0</v>
      </c>
      <c r="Q129" s="88"/>
      <c r="R129" s="88"/>
      <c r="S129" s="31"/>
    </row>
    <row r="130">
      <c r="A130" s="37" t="s">
        <v>48</v>
      </c>
      <c r="B130" s="77" t="s">
        <v>100</v>
      </c>
      <c r="C130" s="44"/>
      <c r="D130" s="64">
        <v>45649.0</v>
      </c>
      <c r="E130" s="64">
        <f t="shared" ref="E130:E131" si="21">D130+7</f>
        <v>45656</v>
      </c>
      <c r="F130" s="64">
        <f t="shared" ref="F130:F131" si="22">D130+28</f>
        <v>45677</v>
      </c>
      <c r="G130" s="67" t="s">
        <v>102</v>
      </c>
      <c r="H130" s="68">
        <v>131.0</v>
      </c>
      <c r="I130" s="69">
        <v>155.0</v>
      </c>
      <c r="J130" s="44">
        <f t="shared" si="3"/>
        <v>13</v>
      </c>
      <c r="K130" s="44">
        <f t="shared" si="4"/>
        <v>13</v>
      </c>
      <c r="L130" s="68"/>
      <c r="M130" s="69"/>
      <c r="N130" s="44" t="str">
        <f t="shared" si="5"/>
        <v/>
      </c>
      <c r="O130" s="44" t="str">
        <f t="shared" si="6"/>
        <v/>
      </c>
      <c r="P130" s="70">
        <v>97.0</v>
      </c>
      <c r="Q130" s="71"/>
      <c r="R130" s="71"/>
      <c r="S130" s="31"/>
    </row>
    <row r="131">
      <c r="A131" s="37" t="s">
        <v>48</v>
      </c>
      <c r="B131" s="77" t="s">
        <v>100</v>
      </c>
      <c r="C131" s="44"/>
      <c r="D131" s="64">
        <v>45649.0</v>
      </c>
      <c r="E131" s="64">
        <f t="shared" si="21"/>
        <v>45656</v>
      </c>
      <c r="F131" s="64">
        <f t="shared" si="22"/>
        <v>45677</v>
      </c>
      <c r="G131" s="67" t="s">
        <v>102</v>
      </c>
      <c r="H131" s="68">
        <v>185.0</v>
      </c>
      <c r="I131" s="69">
        <v>345.0</v>
      </c>
      <c r="J131" s="44">
        <f t="shared" si="3"/>
        <v>81</v>
      </c>
      <c r="K131" s="44">
        <f t="shared" si="4"/>
        <v>81</v>
      </c>
      <c r="L131" s="68"/>
      <c r="M131" s="69"/>
      <c r="N131" s="44" t="str">
        <f t="shared" si="5"/>
        <v/>
      </c>
      <c r="O131" s="44" t="str">
        <f t="shared" si="6"/>
        <v/>
      </c>
      <c r="P131" s="70">
        <v>97.0</v>
      </c>
      <c r="Q131" s="71"/>
      <c r="R131" s="71"/>
      <c r="S131" s="31"/>
    </row>
    <row r="132">
      <c r="A132" s="37" t="s">
        <v>48</v>
      </c>
      <c r="B132" s="77" t="s">
        <v>100</v>
      </c>
      <c r="C132" s="44"/>
      <c r="D132" s="64">
        <v>45649.0</v>
      </c>
      <c r="E132" s="64">
        <f>D132+7</f>
        <v>45656</v>
      </c>
      <c r="F132" s="66">
        <f>D132+28</f>
        <v>45677</v>
      </c>
      <c r="G132" s="80" t="s">
        <v>99</v>
      </c>
      <c r="H132" s="68"/>
      <c r="I132" s="69"/>
      <c r="J132" s="44" t="str">
        <f t="shared" si="3"/>
        <v/>
      </c>
      <c r="K132" s="44" t="str">
        <f t="shared" si="4"/>
        <v/>
      </c>
      <c r="L132" s="68">
        <v>1696.0</v>
      </c>
      <c r="M132" s="69">
        <v>1764.0</v>
      </c>
      <c r="N132" s="44">
        <f t="shared" si="5"/>
        <v>35</v>
      </c>
      <c r="O132" s="44">
        <f t="shared" si="6"/>
        <v>35</v>
      </c>
      <c r="P132" s="70">
        <v>96.0</v>
      </c>
      <c r="Q132" s="88"/>
      <c r="R132" s="88"/>
      <c r="S132" s="31"/>
    </row>
    <row r="133">
      <c r="A133" s="37" t="s">
        <v>48</v>
      </c>
      <c r="B133" s="77" t="s">
        <v>100</v>
      </c>
      <c r="C133" s="44"/>
      <c r="D133" s="64">
        <v>45650.0</v>
      </c>
      <c r="E133" s="64">
        <f t="shared" ref="E133:E136" si="23">D133+7</f>
        <v>45657</v>
      </c>
      <c r="F133" s="64">
        <f t="shared" ref="F133:F136" si="24">D133+28</f>
        <v>45678</v>
      </c>
      <c r="G133" s="67" t="s">
        <v>102</v>
      </c>
      <c r="H133" s="68">
        <v>347.0</v>
      </c>
      <c r="I133" s="69">
        <v>421.0</v>
      </c>
      <c r="J133" s="44">
        <f t="shared" si="3"/>
        <v>38</v>
      </c>
      <c r="K133" s="44">
        <f t="shared" si="4"/>
        <v>38</v>
      </c>
      <c r="L133" s="68">
        <v>186.0</v>
      </c>
      <c r="M133" s="69">
        <v>192.0</v>
      </c>
      <c r="N133" s="44">
        <f t="shared" si="5"/>
        <v>4</v>
      </c>
      <c r="O133" s="44">
        <f t="shared" si="6"/>
        <v>4</v>
      </c>
      <c r="P133" s="70">
        <v>99.0</v>
      </c>
      <c r="Q133" s="96" t="s">
        <v>103</v>
      </c>
      <c r="R133" s="96" t="s">
        <v>104</v>
      </c>
      <c r="S133" s="31"/>
    </row>
    <row r="134">
      <c r="A134" s="37" t="s">
        <v>48</v>
      </c>
      <c r="B134" s="77" t="s">
        <v>100</v>
      </c>
      <c r="C134" s="44"/>
      <c r="D134" s="64">
        <v>45650.0</v>
      </c>
      <c r="E134" s="64">
        <f t="shared" si="23"/>
        <v>45657</v>
      </c>
      <c r="F134" s="64">
        <f t="shared" si="24"/>
        <v>45678</v>
      </c>
      <c r="G134" s="67" t="s">
        <v>102</v>
      </c>
      <c r="H134" s="68"/>
      <c r="I134" s="69"/>
      <c r="J134" s="44" t="str">
        <f t="shared" si="3"/>
        <v/>
      </c>
      <c r="K134" s="44" t="str">
        <f t="shared" si="4"/>
        <v/>
      </c>
      <c r="L134" s="68">
        <v>196.0</v>
      </c>
      <c r="M134" s="69">
        <v>242.0</v>
      </c>
      <c r="N134" s="44">
        <f t="shared" si="5"/>
        <v>24</v>
      </c>
      <c r="O134" s="44">
        <f t="shared" si="6"/>
        <v>24</v>
      </c>
      <c r="P134" s="70">
        <v>99.0</v>
      </c>
      <c r="Q134" s="96" t="s">
        <v>103</v>
      </c>
      <c r="R134" s="96" t="s">
        <v>104</v>
      </c>
      <c r="S134" s="31"/>
    </row>
    <row r="135">
      <c r="A135" s="37" t="s">
        <v>48</v>
      </c>
      <c r="B135" s="77" t="s">
        <v>100</v>
      </c>
      <c r="C135" s="44"/>
      <c r="D135" s="64">
        <v>45650.0</v>
      </c>
      <c r="E135" s="64">
        <f t="shared" si="23"/>
        <v>45657</v>
      </c>
      <c r="F135" s="64">
        <f t="shared" si="24"/>
        <v>45678</v>
      </c>
      <c r="G135" s="67" t="s">
        <v>102</v>
      </c>
      <c r="H135" s="68"/>
      <c r="I135" s="69"/>
      <c r="J135" s="44" t="str">
        <f t="shared" si="3"/>
        <v/>
      </c>
      <c r="K135" s="44" t="str">
        <f t="shared" si="4"/>
        <v/>
      </c>
      <c r="L135" s="68">
        <v>246.0</v>
      </c>
      <c r="M135" s="69">
        <v>274.0</v>
      </c>
      <c r="N135" s="44">
        <f t="shared" si="5"/>
        <v>15</v>
      </c>
      <c r="O135" s="44">
        <f t="shared" si="6"/>
        <v>15</v>
      </c>
      <c r="P135" s="70">
        <v>99.0</v>
      </c>
      <c r="Q135" s="96" t="s">
        <v>103</v>
      </c>
      <c r="R135" s="96" t="s">
        <v>104</v>
      </c>
      <c r="S135" s="31"/>
    </row>
    <row r="136">
      <c r="A136" s="37" t="s">
        <v>48</v>
      </c>
      <c r="B136" s="77" t="s">
        <v>100</v>
      </c>
      <c r="C136" s="44"/>
      <c r="D136" s="64">
        <v>45650.0</v>
      </c>
      <c r="E136" s="64">
        <f t="shared" si="23"/>
        <v>45657</v>
      </c>
      <c r="F136" s="64">
        <f t="shared" si="24"/>
        <v>45678</v>
      </c>
      <c r="G136" s="67" t="s">
        <v>102</v>
      </c>
      <c r="H136" s="68"/>
      <c r="I136" s="69"/>
      <c r="J136" s="44" t="str">
        <f t="shared" si="3"/>
        <v/>
      </c>
      <c r="K136" s="44" t="str">
        <f t="shared" si="4"/>
        <v/>
      </c>
      <c r="L136" s="68">
        <v>276.0</v>
      </c>
      <c r="M136" s="69">
        <v>326.0</v>
      </c>
      <c r="N136" s="44">
        <f t="shared" si="5"/>
        <v>26</v>
      </c>
      <c r="O136" s="44">
        <f t="shared" si="6"/>
        <v>26</v>
      </c>
      <c r="P136" s="70">
        <v>99.0</v>
      </c>
      <c r="Q136" s="96" t="s">
        <v>103</v>
      </c>
      <c r="R136" s="96" t="s">
        <v>104</v>
      </c>
      <c r="S136" s="31"/>
    </row>
    <row r="137">
      <c r="A137" s="37" t="s">
        <v>48</v>
      </c>
      <c r="B137" s="77" t="s">
        <v>100</v>
      </c>
      <c r="C137" s="44"/>
      <c r="D137" s="64">
        <v>45650.0</v>
      </c>
      <c r="E137" s="64">
        <f>D137+7</f>
        <v>45657</v>
      </c>
      <c r="F137" s="66">
        <f>D137+28</f>
        <v>45678</v>
      </c>
      <c r="G137" s="80" t="s">
        <v>99</v>
      </c>
      <c r="H137" s="68">
        <v>1843.0</v>
      </c>
      <c r="I137" s="69">
        <v>1913.0</v>
      </c>
      <c r="J137" s="44">
        <f t="shared" si="3"/>
        <v>36</v>
      </c>
      <c r="K137" s="44">
        <f t="shared" si="4"/>
        <v>36</v>
      </c>
      <c r="L137" s="68"/>
      <c r="M137" s="69"/>
      <c r="N137" s="44" t="str">
        <f t="shared" si="5"/>
        <v/>
      </c>
      <c r="O137" s="44" t="str">
        <f t="shared" si="6"/>
        <v/>
      </c>
      <c r="P137" s="70">
        <v>98.0</v>
      </c>
      <c r="Q137" s="88"/>
      <c r="R137" s="88"/>
      <c r="S137" s="31"/>
    </row>
    <row r="138">
      <c r="A138" s="37" t="s">
        <v>48</v>
      </c>
      <c r="B138" s="77" t="s">
        <v>100</v>
      </c>
      <c r="C138" s="44"/>
      <c r="D138" s="64">
        <v>45652.0</v>
      </c>
      <c r="E138" s="64">
        <f t="shared" ref="E138:E140" si="25">D138+7</f>
        <v>45659</v>
      </c>
      <c r="F138" s="64">
        <f t="shared" ref="F138:F140" si="26">D138+28</f>
        <v>45680</v>
      </c>
      <c r="G138" s="96" t="s">
        <v>102</v>
      </c>
      <c r="H138" s="68"/>
      <c r="I138" s="69"/>
      <c r="J138" s="44" t="str">
        <f t="shared" si="3"/>
        <v/>
      </c>
      <c r="K138" s="44" t="str">
        <f t="shared" si="4"/>
        <v/>
      </c>
      <c r="L138" s="68">
        <v>328.0</v>
      </c>
      <c r="M138" s="69">
        <v>342.0</v>
      </c>
      <c r="N138" s="44">
        <f t="shared" si="5"/>
        <v>8</v>
      </c>
      <c r="O138" s="44">
        <f t="shared" si="6"/>
        <v>8</v>
      </c>
      <c r="P138" s="70">
        <v>101.0</v>
      </c>
      <c r="Q138" s="96" t="s">
        <v>105</v>
      </c>
      <c r="R138" s="96" t="s">
        <v>106</v>
      </c>
      <c r="S138" s="31"/>
    </row>
    <row r="139">
      <c r="A139" s="37" t="s">
        <v>48</v>
      </c>
      <c r="B139" s="77" t="s">
        <v>100</v>
      </c>
      <c r="C139" s="44"/>
      <c r="D139" s="64">
        <v>45652.0</v>
      </c>
      <c r="E139" s="64">
        <f t="shared" si="25"/>
        <v>45659</v>
      </c>
      <c r="F139" s="64">
        <f t="shared" si="26"/>
        <v>45680</v>
      </c>
      <c r="G139" s="96" t="s">
        <v>102</v>
      </c>
      <c r="H139" s="68"/>
      <c r="I139" s="69"/>
      <c r="J139" s="44" t="str">
        <f t="shared" si="3"/>
        <v/>
      </c>
      <c r="K139" s="44" t="str">
        <f t="shared" si="4"/>
        <v/>
      </c>
      <c r="L139" s="68">
        <v>346.0</v>
      </c>
      <c r="M139" s="69">
        <v>412.0</v>
      </c>
      <c r="N139" s="44">
        <f t="shared" si="5"/>
        <v>34</v>
      </c>
      <c r="O139" s="44">
        <f t="shared" si="6"/>
        <v>34</v>
      </c>
      <c r="P139" s="70">
        <v>101.0</v>
      </c>
      <c r="Q139" s="96" t="s">
        <v>105</v>
      </c>
      <c r="R139" s="96" t="s">
        <v>106</v>
      </c>
      <c r="S139" s="31"/>
    </row>
    <row r="140">
      <c r="A140" s="37" t="s">
        <v>48</v>
      </c>
      <c r="B140" s="77" t="s">
        <v>100</v>
      </c>
      <c r="C140" s="44"/>
      <c r="D140" s="64">
        <v>45652.0</v>
      </c>
      <c r="E140" s="64">
        <f t="shared" si="25"/>
        <v>45659</v>
      </c>
      <c r="F140" s="64">
        <f t="shared" si="26"/>
        <v>45680</v>
      </c>
      <c r="G140" s="96" t="s">
        <v>102</v>
      </c>
      <c r="H140" s="68"/>
      <c r="I140" s="69"/>
      <c r="J140" s="44" t="str">
        <f t="shared" si="3"/>
        <v/>
      </c>
      <c r="K140" s="44" t="str">
        <f t="shared" si="4"/>
        <v/>
      </c>
      <c r="L140" s="68">
        <v>416.0</v>
      </c>
      <c r="M140" s="69">
        <v>420.0</v>
      </c>
      <c r="N140" s="44">
        <f t="shared" si="5"/>
        <v>3</v>
      </c>
      <c r="O140" s="44">
        <f t="shared" si="6"/>
        <v>3</v>
      </c>
      <c r="P140" s="70">
        <v>101.0</v>
      </c>
      <c r="Q140" s="96" t="s">
        <v>105</v>
      </c>
      <c r="R140" s="96" t="s">
        <v>106</v>
      </c>
      <c r="S140" s="31"/>
    </row>
    <row r="141">
      <c r="A141" s="37" t="s">
        <v>48</v>
      </c>
      <c r="B141" s="77" t="s">
        <v>100</v>
      </c>
      <c r="C141" s="44"/>
      <c r="D141" s="64">
        <v>45652.0</v>
      </c>
      <c r="E141" s="64">
        <f t="shared" ref="E141:E142" si="27">D141+7</f>
        <v>45659</v>
      </c>
      <c r="F141" s="66">
        <f t="shared" ref="F141:F142" si="28">D141+28</f>
        <v>45680</v>
      </c>
      <c r="G141" s="80" t="s">
        <v>99</v>
      </c>
      <c r="H141" s="68"/>
      <c r="I141" s="69"/>
      <c r="J141" s="44" t="str">
        <f t="shared" si="3"/>
        <v/>
      </c>
      <c r="K141" s="44" t="str">
        <f t="shared" si="4"/>
        <v/>
      </c>
      <c r="L141" s="68"/>
      <c r="M141" s="69"/>
      <c r="N141" s="44" t="str">
        <f t="shared" si="5"/>
        <v/>
      </c>
      <c r="O141" s="44" t="str">
        <f t="shared" si="6"/>
        <v/>
      </c>
      <c r="P141" s="70"/>
      <c r="Q141" s="88"/>
      <c r="R141" s="88"/>
      <c r="S141" s="31"/>
    </row>
    <row r="142">
      <c r="A142" s="37" t="s">
        <v>48</v>
      </c>
      <c r="B142" s="77" t="s">
        <v>100</v>
      </c>
      <c r="C142" s="44"/>
      <c r="D142" s="64">
        <v>45652.0</v>
      </c>
      <c r="E142" s="64">
        <f t="shared" si="27"/>
        <v>45659</v>
      </c>
      <c r="F142" s="66">
        <f t="shared" si="28"/>
        <v>45680</v>
      </c>
      <c r="G142" s="80" t="s">
        <v>99</v>
      </c>
      <c r="H142" s="68"/>
      <c r="I142" s="69"/>
      <c r="J142" s="44" t="str">
        <f t="shared" si="3"/>
        <v/>
      </c>
      <c r="K142" s="44" t="str">
        <f t="shared" si="4"/>
        <v/>
      </c>
      <c r="L142" s="68">
        <v>1766.0</v>
      </c>
      <c r="M142" s="69">
        <v>1836.0</v>
      </c>
      <c r="N142" s="44">
        <f t="shared" si="5"/>
        <v>36</v>
      </c>
      <c r="O142" s="44">
        <f t="shared" si="6"/>
        <v>36</v>
      </c>
      <c r="P142" s="70">
        <v>100.0</v>
      </c>
      <c r="Q142" s="67" t="s">
        <v>105</v>
      </c>
      <c r="R142" s="67" t="s">
        <v>107</v>
      </c>
      <c r="S142" s="31"/>
    </row>
    <row r="143">
      <c r="A143" s="37" t="s">
        <v>48</v>
      </c>
      <c r="B143" s="77" t="s">
        <v>100</v>
      </c>
      <c r="C143" s="44"/>
      <c r="D143" s="64">
        <v>45654.0</v>
      </c>
      <c r="E143" s="64">
        <f t="shared" ref="E143:E145" si="29">D143+7</f>
        <v>45661</v>
      </c>
      <c r="F143" s="64">
        <f t="shared" ref="F143:F145" si="30">D143+28</f>
        <v>45682</v>
      </c>
      <c r="G143" s="97" t="s">
        <v>95</v>
      </c>
      <c r="H143" s="68"/>
      <c r="I143" s="69"/>
      <c r="J143" s="44" t="str">
        <f t="shared" si="3"/>
        <v/>
      </c>
      <c r="K143" s="44" t="str">
        <f t="shared" si="4"/>
        <v/>
      </c>
      <c r="L143" s="68"/>
      <c r="M143" s="69"/>
      <c r="N143" s="44" t="str">
        <f t="shared" si="5"/>
        <v/>
      </c>
      <c r="O143" s="44" t="str">
        <f t="shared" si="6"/>
        <v/>
      </c>
      <c r="P143" s="70">
        <v>103.0</v>
      </c>
      <c r="Q143" s="97" t="s">
        <v>108</v>
      </c>
      <c r="R143" s="98" t="s">
        <v>109</v>
      </c>
      <c r="S143" s="31"/>
    </row>
    <row r="144">
      <c r="A144" s="37" t="s">
        <v>48</v>
      </c>
      <c r="B144" s="77" t="s">
        <v>100</v>
      </c>
      <c r="C144" s="44"/>
      <c r="D144" s="64">
        <v>45654.0</v>
      </c>
      <c r="E144" s="64">
        <f t="shared" si="29"/>
        <v>45661</v>
      </c>
      <c r="F144" s="64">
        <f t="shared" si="30"/>
        <v>45682</v>
      </c>
      <c r="G144" s="96" t="s">
        <v>110</v>
      </c>
      <c r="H144" s="68"/>
      <c r="I144" s="69"/>
      <c r="J144" s="44" t="str">
        <f t="shared" si="3"/>
        <v/>
      </c>
      <c r="K144" s="44" t="str">
        <f t="shared" si="4"/>
        <v/>
      </c>
      <c r="L144" s="68">
        <v>4.0</v>
      </c>
      <c r="M144" s="69">
        <v>54.0</v>
      </c>
      <c r="N144" s="44">
        <f t="shared" si="5"/>
        <v>26</v>
      </c>
      <c r="O144" s="44">
        <f t="shared" si="6"/>
        <v>26</v>
      </c>
      <c r="P144" s="70">
        <v>104.0</v>
      </c>
      <c r="Q144" s="99" t="s">
        <v>108</v>
      </c>
      <c r="R144" s="67">
        <v>12.38</v>
      </c>
      <c r="S144" s="31"/>
    </row>
    <row r="145">
      <c r="A145" s="37" t="s">
        <v>48</v>
      </c>
      <c r="B145" s="77" t="s">
        <v>100</v>
      </c>
      <c r="C145" s="44"/>
      <c r="D145" s="64">
        <v>45654.0</v>
      </c>
      <c r="E145" s="64">
        <f t="shared" si="29"/>
        <v>45661</v>
      </c>
      <c r="F145" s="64">
        <f t="shared" si="30"/>
        <v>45682</v>
      </c>
      <c r="G145" s="96" t="s">
        <v>111</v>
      </c>
      <c r="H145" s="68"/>
      <c r="I145" s="69"/>
      <c r="J145" s="44" t="str">
        <f t="shared" si="3"/>
        <v/>
      </c>
      <c r="K145" s="44" t="str">
        <f t="shared" si="4"/>
        <v/>
      </c>
      <c r="L145" s="68">
        <v>6.0</v>
      </c>
      <c r="M145" s="69">
        <v>34.0</v>
      </c>
      <c r="N145" s="44">
        <f t="shared" si="5"/>
        <v>15</v>
      </c>
      <c r="O145" s="44">
        <f t="shared" si="6"/>
        <v>15</v>
      </c>
      <c r="P145" s="70">
        <v>104.0</v>
      </c>
      <c r="Q145" s="99" t="s">
        <v>108</v>
      </c>
      <c r="R145" s="67">
        <v>12.38</v>
      </c>
      <c r="S145" s="31"/>
    </row>
    <row r="146">
      <c r="A146" s="37" t="s">
        <v>48</v>
      </c>
      <c r="B146" s="77" t="s">
        <v>100</v>
      </c>
      <c r="C146" s="44"/>
      <c r="D146" s="64">
        <v>45654.0</v>
      </c>
      <c r="E146" s="64">
        <f t="shared" ref="E146:E147" si="31">D146+7</f>
        <v>45661</v>
      </c>
      <c r="F146" s="66">
        <f t="shared" ref="F146:F147" si="32">D146+28</f>
        <v>45682</v>
      </c>
      <c r="G146" s="80" t="s">
        <v>99</v>
      </c>
      <c r="H146" s="68">
        <v>1915.0</v>
      </c>
      <c r="I146" s="69">
        <v>1939.0</v>
      </c>
      <c r="J146" s="44">
        <f t="shared" si="3"/>
        <v>13</v>
      </c>
      <c r="K146" s="44">
        <f t="shared" si="4"/>
        <v>13</v>
      </c>
      <c r="L146" s="68">
        <v>1838.0</v>
      </c>
      <c r="M146" s="69">
        <v>1876.0</v>
      </c>
      <c r="N146" s="44">
        <f t="shared" si="5"/>
        <v>20</v>
      </c>
      <c r="O146" s="44">
        <f t="shared" si="6"/>
        <v>20</v>
      </c>
      <c r="P146" s="70">
        <v>102.0</v>
      </c>
      <c r="Q146" s="80" t="s">
        <v>112</v>
      </c>
      <c r="R146" s="80" t="s">
        <v>113</v>
      </c>
      <c r="S146" s="31"/>
    </row>
    <row r="147">
      <c r="A147" s="37" t="s">
        <v>48</v>
      </c>
      <c r="B147" s="77" t="s">
        <v>100</v>
      </c>
      <c r="C147" s="44"/>
      <c r="D147" s="64">
        <v>45654.0</v>
      </c>
      <c r="E147" s="64">
        <f t="shared" si="31"/>
        <v>45661</v>
      </c>
      <c r="F147" s="66">
        <f t="shared" si="32"/>
        <v>45682</v>
      </c>
      <c r="G147" s="80" t="s">
        <v>8</v>
      </c>
      <c r="H147" s="68">
        <v>9.0</v>
      </c>
      <c r="I147" s="69">
        <v>121.0</v>
      </c>
      <c r="J147" s="44">
        <f t="shared" si="3"/>
        <v>57</v>
      </c>
      <c r="K147" s="44">
        <f t="shared" si="4"/>
        <v>57</v>
      </c>
      <c r="L147" s="68"/>
      <c r="M147" s="69"/>
      <c r="N147" s="44" t="str">
        <f t="shared" si="5"/>
        <v/>
      </c>
      <c r="O147" s="44" t="str">
        <f t="shared" si="6"/>
        <v/>
      </c>
      <c r="P147" s="70">
        <v>105.0</v>
      </c>
      <c r="Q147" s="80" t="s">
        <v>108</v>
      </c>
      <c r="R147" s="76">
        <v>37.05</v>
      </c>
      <c r="S147" s="31"/>
    </row>
    <row r="148">
      <c r="A148" s="37" t="s">
        <v>48</v>
      </c>
      <c r="B148" s="77" t="s">
        <v>100</v>
      </c>
      <c r="C148" s="44"/>
      <c r="D148" s="64">
        <v>45655.0</v>
      </c>
      <c r="E148" s="64">
        <f t="shared" ref="E148:E151" si="33">D148+7</f>
        <v>45662</v>
      </c>
      <c r="F148" s="64">
        <f t="shared" ref="F148:F151" si="34">D148+28</f>
        <v>45683</v>
      </c>
      <c r="G148" s="96" t="s">
        <v>95</v>
      </c>
      <c r="H148" s="68"/>
      <c r="I148" s="69"/>
      <c r="J148" s="44" t="str">
        <f t="shared" si="3"/>
        <v/>
      </c>
      <c r="K148" s="44" t="str">
        <f t="shared" si="4"/>
        <v/>
      </c>
      <c r="L148" s="68">
        <v>214.0</v>
      </c>
      <c r="M148" s="69">
        <v>302.0</v>
      </c>
      <c r="N148" s="44">
        <f t="shared" si="5"/>
        <v>45</v>
      </c>
      <c r="O148" s="44">
        <f t="shared" si="6"/>
        <v>45</v>
      </c>
      <c r="P148" s="70">
        <v>107.0</v>
      </c>
      <c r="Q148" s="96" t="s">
        <v>108</v>
      </c>
      <c r="R148" s="71"/>
      <c r="S148" s="31"/>
    </row>
    <row r="149">
      <c r="A149" s="37" t="s">
        <v>48</v>
      </c>
      <c r="B149" s="77" t="s">
        <v>100</v>
      </c>
      <c r="C149" s="44"/>
      <c r="D149" s="64">
        <v>45655.0</v>
      </c>
      <c r="E149" s="64">
        <f t="shared" si="33"/>
        <v>45662</v>
      </c>
      <c r="F149" s="64">
        <f t="shared" si="34"/>
        <v>45683</v>
      </c>
      <c r="G149" s="96" t="s">
        <v>114</v>
      </c>
      <c r="H149" s="68"/>
      <c r="I149" s="69"/>
      <c r="J149" s="44" t="str">
        <f t="shared" si="3"/>
        <v/>
      </c>
      <c r="K149" s="44" t="str">
        <f t="shared" si="4"/>
        <v/>
      </c>
      <c r="L149" s="68">
        <v>2.0</v>
      </c>
      <c r="M149" s="69">
        <v>138.0</v>
      </c>
      <c r="N149" s="44">
        <f t="shared" si="5"/>
        <v>69</v>
      </c>
      <c r="O149" s="44">
        <f t="shared" si="6"/>
        <v>69</v>
      </c>
      <c r="P149" s="70">
        <v>108.0</v>
      </c>
      <c r="Q149" s="96" t="s">
        <v>108</v>
      </c>
      <c r="R149" s="71"/>
      <c r="S149" s="31"/>
    </row>
    <row r="150">
      <c r="A150" s="37" t="s">
        <v>48</v>
      </c>
      <c r="B150" s="77" t="s">
        <v>100</v>
      </c>
      <c r="C150" s="44"/>
      <c r="D150" s="64">
        <v>45655.0</v>
      </c>
      <c r="E150" s="64">
        <f t="shared" si="33"/>
        <v>45662</v>
      </c>
      <c r="F150" s="64">
        <f t="shared" si="34"/>
        <v>45683</v>
      </c>
      <c r="G150" s="96" t="s">
        <v>110</v>
      </c>
      <c r="H150" s="68">
        <v>5.0</v>
      </c>
      <c r="I150" s="69">
        <v>53.0</v>
      </c>
      <c r="J150" s="44">
        <f t="shared" si="3"/>
        <v>25</v>
      </c>
      <c r="K150" s="44">
        <f t="shared" si="4"/>
        <v>25</v>
      </c>
      <c r="L150" s="68">
        <v>56.0</v>
      </c>
      <c r="M150" s="69">
        <v>78.0</v>
      </c>
      <c r="N150" s="44">
        <f t="shared" si="5"/>
        <v>12</v>
      </c>
      <c r="O150" s="44">
        <f t="shared" si="6"/>
        <v>12</v>
      </c>
      <c r="P150" s="70">
        <v>109.0</v>
      </c>
      <c r="Q150" s="67" t="s">
        <v>108</v>
      </c>
      <c r="R150" s="96" t="s">
        <v>115</v>
      </c>
      <c r="S150" s="31"/>
    </row>
    <row r="151">
      <c r="A151" s="37" t="s">
        <v>48</v>
      </c>
      <c r="B151" s="77" t="s">
        <v>100</v>
      </c>
      <c r="C151" s="44"/>
      <c r="D151" s="64">
        <v>45655.0</v>
      </c>
      <c r="E151" s="64">
        <f t="shared" si="33"/>
        <v>45662</v>
      </c>
      <c r="F151" s="64">
        <f t="shared" si="34"/>
        <v>45683</v>
      </c>
      <c r="G151" s="96" t="s">
        <v>111</v>
      </c>
      <c r="H151" s="68"/>
      <c r="I151" s="69"/>
      <c r="J151" s="44" t="str">
        <f t="shared" si="3"/>
        <v/>
      </c>
      <c r="K151" s="44" t="str">
        <f t="shared" si="4"/>
        <v/>
      </c>
      <c r="L151" s="68">
        <v>36.0</v>
      </c>
      <c r="M151" s="69">
        <v>122.0</v>
      </c>
      <c r="N151" s="44">
        <f t="shared" si="5"/>
        <v>44</v>
      </c>
      <c r="O151" s="44">
        <f t="shared" si="6"/>
        <v>44</v>
      </c>
      <c r="P151" s="70">
        <v>109.0</v>
      </c>
      <c r="Q151" s="67" t="s">
        <v>108</v>
      </c>
      <c r="R151" s="96" t="s">
        <v>115</v>
      </c>
      <c r="S151" s="31"/>
    </row>
    <row r="152">
      <c r="A152" s="37" t="s">
        <v>48</v>
      </c>
      <c r="B152" s="77" t="s">
        <v>100</v>
      </c>
      <c r="C152" s="44"/>
      <c r="D152" s="64">
        <v>45655.0</v>
      </c>
      <c r="E152" s="64">
        <f>D152+7</f>
        <v>45662</v>
      </c>
      <c r="F152" s="66">
        <f>D152+28</f>
        <v>45683</v>
      </c>
      <c r="G152" s="80" t="s">
        <v>99</v>
      </c>
      <c r="H152" s="68">
        <v>1941.0</v>
      </c>
      <c r="I152" s="69">
        <v>1965.0</v>
      </c>
      <c r="J152" s="44">
        <f t="shared" si="3"/>
        <v>13</v>
      </c>
      <c r="K152" s="44">
        <f t="shared" si="4"/>
        <v>13</v>
      </c>
      <c r="L152" s="68">
        <v>1878.0</v>
      </c>
      <c r="M152" s="69">
        <v>1924.0</v>
      </c>
      <c r="N152" s="44">
        <f t="shared" si="5"/>
        <v>24</v>
      </c>
      <c r="O152" s="44">
        <f t="shared" si="6"/>
        <v>24</v>
      </c>
      <c r="P152" s="70">
        <v>106.0</v>
      </c>
      <c r="Q152" s="80" t="s">
        <v>108</v>
      </c>
      <c r="R152" s="80" t="s">
        <v>116</v>
      </c>
      <c r="S152" s="31"/>
    </row>
    <row r="153">
      <c r="A153" s="37" t="s">
        <v>48</v>
      </c>
      <c r="B153" s="77" t="s">
        <v>100</v>
      </c>
      <c r="C153" s="44"/>
      <c r="D153" s="64">
        <v>45656.0</v>
      </c>
      <c r="E153" s="64">
        <f t="shared" ref="E153:E157" si="35">D153+7</f>
        <v>45663</v>
      </c>
      <c r="F153" s="64">
        <f t="shared" ref="F153:F157" si="36">D153+28</f>
        <v>45684</v>
      </c>
      <c r="G153" s="96" t="s">
        <v>114</v>
      </c>
      <c r="H153" s="68">
        <v>1.0</v>
      </c>
      <c r="I153" s="69">
        <v>81.0</v>
      </c>
      <c r="J153" s="44">
        <f t="shared" si="3"/>
        <v>41</v>
      </c>
      <c r="K153" s="44">
        <f t="shared" si="4"/>
        <v>41</v>
      </c>
      <c r="L153" s="68">
        <v>140.0</v>
      </c>
      <c r="M153" s="69">
        <v>282.0</v>
      </c>
      <c r="N153" s="44">
        <f t="shared" si="5"/>
        <v>72</v>
      </c>
      <c r="O153" s="44">
        <f t="shared" si="6"/>
        <v>72</v>
      </c>
      <c r="P153" s="70">
        <v>111.0</v>
      </c>
      <c r="Q153" s="71"/>
      <c r="R153" s="71"/>
      <c r="S153" s="31"/>
    </row>
    <row r="154">
      <c r="A154" s="37" t="s">
        <v>48</v>
      </c>
      <c r="B154" s="77" t="s">
        <v>100</v>
      </c>
      <c r="C154" s="44"/>
      <c r="D154" s="64">
        <v>45656.0</v>
      </c>
      <c r="E154" s="64">
        <f t="shared" si="35"/>
        <v>45663</v>
      </c>
      <c r="F154" s="64">
        <f t="shared" si="36"/>
        <v>45684</v>
      </c>
      <c r="G154" s="96" t="s">
        <v>111</v>
      </c>
      <c r="H154" s="68">
        <v>7.0</v>
      </c>
      <c r="I154" s="69">
        <v>9.0</v>
      </c>
      <c r="J154" s="44">
        <f t="shared" si="3"/>
        <v>2</v>
      </c>
      <c r="K154" s="44">
        <f t="shared" si="4"/>
        <v>2</v>
      </c>
      <c r="L154" s="68">
        <v>124.0</v>
      </c>
      <c r="M154" s="69">
        <v>128.0</v>
      </c>
      <c r="N154" s="44">
        <f t="shared" si="5"/>
        <v>3</v>
      </c>
      <c r="O154" s="44">
        <f t="shared" si="6"/>
        <v>3</v>
      </c>
      <c r="P154" s="70">
        <v>112.0</v>
      </c>
      <c r="Q154" s="96" t="s">
        <v>117</v>
      </c>
      <c r="R154" s="96">
        <v>17.51</v>
      </c>
      <c r="S154" s="31"/>
    </row>
    <row r="155">
      <c r="A155" s="37" t="s">
        <v>48</v>
      </c>
      <c r="B155" s="77" t="s">
        <v>100</v>
      </c>
      <c r="C155" s="44"/>
      <c r="D155" s="64">
        <v>45656.0</v>
      </c>
      <c r="E155" s="64">
        <f t="shared" si="35"/>
        <v>45663</v>
      </c>
      <c r="F155" s="64">
        <f t="shared" si="36"/>
        <v>45684</v>
      </c>
      <c r="G155" s="96" t="s">
        <v>111</v>
      </c>
      <c r="H155" s="68">
        <v>13.0</v>
      </c>
      <c r="I155" s="69">
        <v>59.0</v>
      </c>
      <c r="J155" s="44">
        <f t="shared" si="3"/>
        <v>24</v>
      </c>
      <c r="K155" s="44">
        <f t="shared" si="4"/>
        <v>24</v>
      </c>
      <c r="L155" s="68"/>
      <c r="M155" s="69"/>
      <c r="N155" s="44" t="str">
        <f t="shared" si="5"/>
        <v/>
      </c>
      <c r="O155" s="44" t="str">
        <f t="shared" si="6"/>
        <v/>
      </c>
      <c r="P155" s="70">
        <v>112.0</v>
      </c>
      <c r="Q155" s="96" t="s">
        <v>117</v>
      </c>
      <c r="R155" s="96">
        <v>17.51</v>
      </c>
      <c r="S155" s="31"/>
    </row>
    <row r="156">
      <c r="A156" s="37" t="s">
        <v>48</v>
      </c>
      <c r="B156" s="77" t="s">
        <v>100</v>
      </c>
      <c r="C156" s="44"/>
      <c r="D156" s="64">
        <v>45656.0</v>
      </c>
      <c r="E156" s="64">
        <f t="shared" si="35"/>
        <v>45663</v>
      </c>
      <c r="F156" s="64">
        <f t="shared" si="36"/>
        <v>45684</v>
      </c>
      <c r="G156" s="96" t="s">
        <v>111</v>
      </c>
      <c r="H156" s="68">
        <v>63.0</v>
      </c>
      <c r="I156" s="69">
        <v>109.0</v>
      </c>
      <c r="J156" s="44">
        <f t="shared" si="3"/>
        <v>24</v>
      </c>
      <c r="K156" s="44">
        <f t="shared" si="4"/>
        <v>24</v>
      </c>
      <c r="L156" s="68"/>
      <c r="M156" s="69"/>
      <c r="N156" s="44" t="str">
        <f t="shared" si="5"/>
        <v/>
      </c>
      <c r="O156" s="44" t="str">
        <f t="shared" si="6"/>
        <v/>
      </c>
      <c r="P156" s="70">
        <v>112.0</v>
      </c>
      <c r="Q156" s="96" t="s">
        <v>117</v>
      </c>
      <c r="R156" s="96">
        <v>17.51</v>
      </c>
      <c r="S156" s="31"/>
    </row>
    <row r="157">
      <c r="A157" s="37" t="s">
        <v>48</v>
      </c>
      <c r="B157" s="77" t="s">
        <v>100</v>
      </c>
      <c r="C157" s="44"/>
      <c r="D157" s="64">
        <v>45656.0</v>
      </c>
      <c r="E157" s="64">
        <f t="shared" si="35"/>
        <v>45663</v>
      </c>
      <c r="F157" s="64">
        <f t="shared" si="36"/>
        <v>45684</v>
      </c>
      <c r="G157" s="96" t="s">
        <v>111</v>
      </c>
      <c r="H157" s="68">
        <v>113.0</v>
      </c>
      <c r="I157" s="69">
        <v>121.0</v>
      </c>
      <c r="J157" s="44">
        <f t="shared" si="3"/>
        <v>5</v>
      </c>
      <c r="K157" s="44">
        <f t="shared" si="4"/>
        <v>5</v>
      </c>
      <c r="L157" s="68"/>
      <c r="M157" s="69"/>
      <c r="N157" s="44" t="str">
        <f t="shared" si="5"/>
        <v/>
      </c>
      <c r="O157" s="44" t="str">
        <f t="shared" si="6"/>
        <v/>
      </c>
      <c r="P157" s="70">
        <v>112.0</v>
      </c>
      <c r="Q157" s="96" t="s">
        <v>117</v>
      </c>
      <c r="R157" s="96">
        <v>17.51</v>
      </c>
      <c r="S157" s="31"/>
    </row>
    <row r="158">
      <c r="A158" s="37" t="s">
        <v>48</v>
      </c>
      <c r="B158" s="77" t="s">
        <v>100</v>
      </c>
      <c r="C158" s="44"/>
      <c r="D158" s="64">
        <v>45656.0</v>
      </c>
      <c r="E158" s="64">
        <f>D158+7</f>
        <v>45663</v>
      </c>
      <c r="F158" s="66">
        <f>D158+28</f>
        <v>45684</v>
      </c>
      <c r="G158" s="80" t="s">
        <v>99</v>
      </c>
      <c r="H158" s="68">
        <v>1981.0</v>
      </c>
      <c r="I158" s="69">
        <v>2015.0</v>
      </c>
      <c r="J158" s="44">
        <f t="shared" si="3"/>
        <v>18</v>
      </c>
      <c r="K158" s="44">
        <f t="shared" si="4"/>
        <v>18</v>
      </c>
      <c r="L158" s="68">
        <v>1926.0</v>
      </c>
      <c r="M158" s="69">
        <v>1966.0</v>
      </c>
      <c r="N158" s="44">
        <f t="shared" si="5"/>
        <v>21</v>
      </c>
      <c r="O158" s="44">
        <f t="shared" si="6"/>
        <v>21</v>
      </c>
      <c r="P158" s="70">
        <v>110.0</v>
      </c>
      <c r="Q158" s="88" t="s">
        <v>117</v>
      </c>
      <c r="R158" s="88"/>
      <c r="S158" s="31"/>
    </row>
    <row r="159">
      <c r="A159" s="37" t="s">
        <v>48</v>
      </c>
      <c r="B159" s="77" t="s">
        <v>100</v>
      </c>
      <c r="C159" s="44"/>
      <c r="D159" s="64">
        <v>45657.0</v>
      </c>
      <c r="E159" s="64">
        <f>D159+7</f>
        <v>45664</v>
      </c>
      <c r="F159" s="64">
        <f>D159+28</f>
        <v>45685</v>
      </c>
      <c r="G159" s="96" t="s">
        <v>114</v>
      </c>
      <c r="H159" s="68">
        <v>83.0</v>
      </c>
      <c r="I159" s="69">
        <v>267.0</v>
      </c>
      <c r="J159" s="44">
        <f t="shared" si="3"/>
        <v>93</v>
      </c>
      <c r="K159" s="44">
        <f t="shared" si="4"/>
        <v>93</v>
      </c>
      <c r="L159" s="68">
        <v>284.0</v>
      </c>
      <c r="M159" s="69">
        <v>308.0</v>
      </c>
      <c r="N159" s="44">
        <f t="shared" si="5"/>
        <v>13</v>
      </c>
      <c r="O159" s="44">
        <f t="shared" si="6"/>
        <v>13</v>
      </c>
      <c r="P159" s="70">
        <v>113.0</v>
      </c>
      <c r="Q159" s="96" t="s">
        <v>117</v>
      </c>
      <c r="R159" s="96" t="s">
        <v>118</v>
      </c>
      <c r="S159" s="31"/>
    </row>
    <row r="160">
      <c r="A160" s="37" t="s">
        <v>48</v>
      </c>
      <c r="B160" s="77" t="s">
        <v>100</v>
      </c>
      <c r="C160" s="44"/>
      <c r="D160" s="64">
        <v>45661.0</v>
      </c>
      <c r="E160" s="64">
        <f t="shared" ref="E160:E172" si="37">D160+7</f>
        <v>45668</v>
      </c>
      <c r="F160" s="66">
        <f t="shared" ref="F160:F172" si="38">D160+28</f>
        <v>45689</v>
      </c>
      <c r="G160" s="80" t="s">
        <v>8</v>
      </c>
      <c r="H160" s="68">
        <v>123.0</v>
      </c>
      <c r="I160" s="69">
        <v>141.0</v>
      </c>
      <c r="J160" s="44">
        <f t="shared" si="3"/>
        <v>10</v>
      </c>
      <c r="K160" s="44">
        <f t="shared" si="4"/>
        <v>10</v>
      </c>
      <c r="L160" s="68">
        <v>10.0</v>
      </c>
      <c r="M160" s="69">
        <v>120.0</v>
      </c>
      <c r="N160" s="44">
        <f t="shared" si="5"/>
        <v>56</v>
      </c>
      <c r="O160" s="44">
        <f t="shared" si="6"/>
        <v>56</v>
      </c>
      <c r="P160" s="70">
        <v>114.0</v>
      </c>
      <c r="Q160" s="88"/>
      <c r="R160" s="88"/>
      <c r="S160" s="31"/>
    </row>
    <row r="161">
      <c r="A161" s="37" t="s">
        <v>48</v>
      </c>
      <c r="B161" s="77" t="s">
        <v>100</v>
      </c>
      <c r="C161" s="44"/>
      <c r="D161" s="64">
        <v>45662.0</v>
      </c>
      <c r="E161" s="64">
        <f t="shared" si="37"/>
        <v>45669</v>
      </c>
      <c r="F161" s="66">
        <f t="shared" si="38"/>
        <v>45690</v>
      </c>
      <c r="G161" s="80" t="s">
        <v>8</v>
      </c>
      <c r="H161" s="68">
        <v>143.0</v>
      </c>
      <c r="I161" s="69">
        <v>227.0</v>
      </c>
      <c r="J161" s="44">
        <f t="shared" si="3"/>
        <v>43</v>
      </c>
      <c r="K161" s="44">
        <f t="shared" si="4"/>
        <v>43</v>
      </c>
      <c r="L161" s="68">
        <v>122.0</v>
      </c>
      <c r="M161" s="69">
        <v>128.0</v>
      </c>
      <c r="N161" s="44">
        <f t="shared" si="5"/>
        <v>4</v>
      </c>
      <c r="O161" s="44">
        <f t="shared" si="6"/>
        <v>4</v>
      </c>
      <c r="P161" s="70">
        <v>116.0</v>
      </c>
      <c r="Q161" s="88"/>
      <c r="R161" s="88"/>
      <c r="S161" s="31"/>
    </row>
    <row r="162">
      <c r="A162" s="37" t="s">
        <v>48</v>
      </c>
      <c r="B162" s="77" t="s">
        <v>100</v>
      </c>
      <c r="C162" s="44"/>
      <c r="D162" s="64">
        <v>45666.0</v>
      </c>
      <c r="E162" s="64">
        <f t="shared" si="37"/>
        <v>45673</v>
      </c>
      <c r="F162" s="66">
        <f t="shared" si="38"/>
        <v>45694</v>
      </c>
      <c r="G162" s="80" t="s">
        <v>99</v>
      </c>
      <c r="H162" s="68">
        <v>2017.0</v>
      </c>
      <c r="I162" s="69">
        <v>2067.0</v>
      </c>
      <c r="J162" s="44">
        <f t="shared" si="3"/>
        <v>26</v>
      </c>
      <c r="K162" s="44">
        <f t="shared" si="4"/>
        <v>26</v>
      </c>
      <c r="L162" s="68">
        <v>1982.0</v>
      </c>
      <c r="M162" s="69">
        <v>2008.0</v>
      </c>
      <c r="N162" s="44">
        <f t="shared" si="5"/>
        <v>14</v>
      </c>
      <c r="O162" s="44">
        <f t="shared" si="6"/>
        <v>14</v>
      </c>
      <c r="P162" s="70">
        <v>115.0</v>
      </c>
      <c r="Q162" s="88" t="s">
        <v>119</v>
      </c>
      <c r="R162" s="80" t="s">
        <v>120</v>
      </c>
      <c r="S162" s="31"/>
    </row>
    <row r="163">
      <c r="A163" s="37" t="s">
        <v>48</v>
      </c>
      <c r="B163" s="77" t="s">
        <v>100</v>
      </c>
      <c r="C163" s="44"/>
      <c r="D163" s="64">
        <v>45666.0</v>
      </c>
      <c r="E163" s="64">
        <f t="shared" si="37"/>
        <v>45673</v>
      </c>
      <c r="F163" s="66">
        <f t="shared" si="38"/>
        <v>45694</v>
      </c>
      <c r="G163" s="80" t="s">
        <v>99</v>
      </c>
      <c r="H163" s="68">
        <v>2069.0</v>
      </c>
      <c r="I163" s="69">
        <v>2133.0</v>
      </c>
      <c r="J163" s="44">
        <f t="shared" si="3"/>
        <v>33</v>
      </c>
      <c r="K163" s="44">
        <f t="shared" si="4"/>
        <v>33</v>
      </c>
      <c r="L163" s="68">
        <v>2010.0</v>
      </c>
      <c r="M163" s="69">
        <v>2020.0</v>
      </c>
      <c r="N163" s="44">
        <f t="shared" si="5"/>
        <v>6</v>
      </c>
      <c r="O163" s="44">
        <f t="shared" si="6"/>
        <v>6</v>
      </c>
      <c r="P163" s="70">
        <v>117.0</v>
      </c>
      <c r="Q163" s="88"/>
      <c r="R163" s="88"/>
      <c r="S163" s="31"/>
    </row>
    <row r="164">
      <c r="A164" s="37" t="s">
        <v>48</v>
      </c>
      <c r="B164" s="77" t="s">
        <v>100</v>
      </c>
      <c r="C164" s="44"/>
      <c r="D164" s="64">
        <v>45668.0</v>
      </c>
      <c r="E164" s="64">
        <f t="shared" si="37"/>
        <v>45675</v>
      </c>
      <c r="F164" s="66">
        <f t="shared" si="38"/>
        <v>45696</v>
      </c>
      <c r="G164" s="80" t="s">
        <v>99</v>
      </c>
      <c r="H164" s="68"/>
      <c r="I164" s="69"/>
      <c r="J164" s="44" t="str">
        <f t="shared" si="3"/>
        <v/>
      </c>
      <c r="K164" s="44" t="str">
        <f t="shared" si="4"/>
        <v/>
      </c>
      <c r="L164" s="68">
        <v>2022.0</v>
      </c>
      <c r="M164" s="69">
        <v>2086.0</v>
      </c>
      <c r="N164" s="44">
        <f t="shared" si="5"/>
        <v>33</v>
      </c>
      <c r="O164" s="44">
        <f t="shared" si="6"/>
        <v>33</v>
      </c>
      <c r="P164" s="70">
        <v>118.0</v>
      </c>
      <c r="Q164" s="88"/>
      <c r="R164" s="88"/>
      <c r="S164" s="31"/>
    </row>
    <row r="165">
      <c r="A165" s="37" t="s">
        <v>48</v>
      </c>
      <c r="B165" s="87" t="s">
        <v>100</v>
      </c>
      <c r="C165" s="88"/>
      <c r="D165" s="64">
        <v>45668.0</v>
      </c>
      <c r="E165" s="64">
        <f t="shared" si="37"/>
        <v>45675</v>
      </c>
      <c r="F165" s="66">
        <f t="shared" si="38"/>
        <v>45696</v>
      </c>
      <c r="G165" s="89" t="s">
        <v>97</v>
      </c>
      <c r="H165" s="68">
        <v>293.0</v>
      </c>
      <c r="I165" s="69">
        <v>331.0</v>
      </c>
      <c r="J165" s="44">
        <f t="shared" si="3"/>
        <v>20</v>
      </c>
      <c r="K165" s="44">
        <f t="shared" si="4"/>
        <v>20</v>
      </c>
      <c r="L165" s="68">
        <v>334.0</v>
      </c>
      <c r="M165" s="69">
        <v>336.0</v>
      </c>
      <c r="N165" s="44">
        <f t="shared" si="5"/>
        <v>2</v>
      </c>
      <c r="O165" s="44">
        <f t="shared" si="6"/>
        <v>2</v>
      </c>
      <c r="P165" s="70">
        <v>119.0</v>
      </c>
      <c r="Q165" s="71"/>
      <c r="R165" s="71"/>
      <c r="S165" s="31"/>
    </row>
    <row r="166">
      <c r="A166" s="37" t="s">
        <v>48</v>
      </c>
      <c r="B166" s="87" t="s">
        <v>100</v>
      </c>
      <c r="C166" s="88"/>
      <c r="D166" s="64">
        <v>45668.0</v>
      </c>
      <c r="E166" s="64">
        <f t="shared" si="37"/>
        <v>45675</v>
      </c>
      <c r="F166" s="66">
        <f t="shared" si="38"/>
        <v>45696</v>
      </c>
      <c r="G166" s="89" t="s">
        <v>97</v>
      </c>
      <c r="H166" s="68">
        <v>339.0</v>
      </c>
      <c r="I166" s="69">
        <v>345.0</v>
      </c>
      <c r="J166" s="44">
        <f t="shared" si="3"/>
        <v>4</v>
      </c>
      <c r="K166" s="44">
        <f t="shared" si="4"/>
        <v>4</v>
      </c>
      <c r="L166" s="68"/>
      <c r="M166" s="69"/>
      <c r="N166" s="44" t="str">
        <f t="shared" si="5"/>
        <v/>
      </c>
      <c r="O166" s="44" t="str">
        <f t="shared" si="6"/>
        <v/>
      </c>
      <c r="P166" s="70">
        <v>119.0</v>
      </c>
      <c r="Q166" s="71"/>
      <c r="R166" s="71"/>
      <c r="S166" s="31"/>
    </row>
    <row r="167">
      <c r="A167" s="37" t="s">
        <v>48</v>
      </c>
      <c r="B167" s="77" t="s">
        <v>100</v>
      </c>
      <c r="C167" s="44"/>
      <c r="D167" s="64">
        <v>45669.0</v>
      </c>
      <c r="E167" s="64">
        <f t="shared" si="37"/>
        <v>45676</v>
      </c>
      <c r="F167" s="66">
        <f t="shared" si="38"/>
        <v>45697</v>
      </c>
      <c r="G167" s="80" t="s">
        <v>99</v>
      </c>
      <c r="H167" s="68">
        <v>2135.0</v>
      </c>
      <c r="I167" s="69">
        <v>2199.0</v>
      </c>
      <c r="J167" s="44">
        <f t="shared" si="3"/>
        <v>33</v>
      </c>
      <c r="K167" s="44">
        <f t="shared" si="4"/>
        <v>33</v>
      </c>
      <c r="L167" s="68">
        <v>2088.0</v>
      </c>
      <c r="M167" s="69">
        <v>2098.0</v>
      </c>
      <c r="N167" s="44">
        <f t="shared" si="5"/>
        <v>6</v>
      </c>
      <c r="O167" s="44">
        <f t="shared" si="6"/>
        <v>6</v>
      </c>
      <c r="P167" s="70">
        <v>120.0</v>
      </c>
      <c r="Q167" s="88"/>
      <c r="R167" s="88"/>
      <c r="S167" s="31"/>
    </row>
    <row r="168">
      <c r="A168" s="37" t="s">
        <v>48</v>
      </c>
      <c r="B168" s="87" t="s">
        <v>100</v>
      </c>
      <c r="C168" s="88"/>
      <c r="D168" s="64">
        <v>45669.0</v>
      </c>
      <c r="E168" s="64">
        <f t="shared" si="37"/>
        <v>45676</v>
      </c>
      <c r="F168" s="66">
        <f t="shared" si="38"/>
        <v>45697</v>
      </c>
      <c r="G168" s="89" t="s">
        <v>97</v>
      </c>
      <c r="H168" s="68">
        <v>363.0</v>
      </c>
      <c r="I168" s="69">
        <v>391.0</v>
      </c>
      <c r="J168" s="44">
        <f t="shared" si="3"/>
        <v>15</v>
      </c>
      <c r="K168" s="44">
        <f t="shared" si="4"/>
        <v>15</v>
      </c>
      <c r="L168" s="68">
        <v>294.0</v>
      </c>
      <c r="M168" s="69">
        <v>330.0</v>
      </c>
      <c r="N168" s="44">
        <f t="shared" si="5"/>
        <v>19</v>
      </c>
      <c r="O168" s="44">
        <f t="shared" si="6"/>
        <v>19</v>
      </c>
      <c r="P168" s="70">
        <v>121.0</v>
      </c>
      <c r="Q168" s="71"/>
      <c r="R168" s="71"/>
      <c r="S168" s="31"/>
    </row>
    <row r="169">
      <c r="A169" s="37" t="s">
        <v>48</v>
      </c>
      <c r="B169" s="87" t="s">
        <v>100</v>
      </c>
      <c r="C169" s="88"/>
      <c r="D169" s="64">
        <v>45669.0</v>
      </c>
      <c r="E169" s="64">
        <f t="shared" si="37"/>
        <v>45676</v>
      </c>
      <c r="F169" s="66">
        <f t="shared" si="38"/>
        <v>45697</v>
      </c>
      <c r="G169" s="89" t="s">
        <v>97</v>
      </c>
      <c r="H169" s="68">
        <v>395.0</v>
      </c>
      <c r="I169" s="69">
        <v>397.0</v>
      </c>
      <c r="J169" s="44">
        <f t="shared" si="3"/>
        <v>2</v>
      </c>
      <c r="K169" s="44">
        <f t="shared" si="4"/>
        <v>2</v>
      </c>
      <c r="L169" s="68">
        <v>340.0</v>
      </c>
      <c r="M169" s="69">
        <v>344.0</v>
      </c>
      <c r="N169" s="44">
        <f t="shared" si="5"/>
        <v>3</v>
      </c>
      <c r="O169" s="44">
        <f t="shared" si="6"/>
        <v>3</v>
      </c>
      <c r="P169" s="70">
        <v>121.0</v>
      </c>
      <c r="Q169" s="71"/>
      <c r="R169" s="71"/>
      <c r="S169" s="31"/>
    </row>
    <row r="170">
      <c r="A170" s="37" t="s">
        <v>48</v>
      </c>
      <c r="B170" s="87" t="s">
        <v>100</v>
      </c>
      <c r="C170" s="88"/>
      <c r="D170" s="64">
        <v>45669.0</v>
      </c>
      <c r="E170" s="64">
        <f t="shared" si="37"/>
        <v>45676</v>
      </c>
      <c r="F170" s="66">
        <f t="shared" si="38"/>
        <v>45697</v>
      </c>
      <c r="G170" s="89" t="s">
        <v>97</v>
      </c>
      <c r="H170" s="68">
        <v>347.0</v>
      </c>
      <c r="I170" s="69">
        <v>347.0</v>
      </c>
      <c r="J170" s="44">
        <f t="shared" si="3"/>
        <v>1</v>
      </c>
      <c r="K170" s="44">
        <f t="shared" si="4"/>
        <v>1</v>
      </c>
      <c r="L170" s="68">
        <v>332.0</v>
      </c>
      <c r="M170" s="69">
        <v>332.0</v>
      </c>
      <c r="N170" s="44">
        <f t="shared" si="5"/>
        <v>1</v>
      </c>
      <c r="O170" s="44">
        <f t="shared" si="6"/>
        <v>1</v>
      </c>
      <c r="P170" s="70">
        <v>121.0</v>
      </c>
      <c r="Q170" s="71"/>
      <c r="R170" s="71"/>
      <c r="S170" s="31"/>
    </row>
    <row r="171">
      <c r="A171" s="37" t="s">
        <v>48</v>
      </c>
      <c r="B171" s="87" t="s">
        <v>100</v>
      </c>
      <c r="C171" s="88"/>
      <c r="D171" s="64">
        <v>45669.0</v>
      </c>
      <c r="E171" s="64">
        <f t="shared" si="37"/>
        <v>45676</v>
      </c>
      <c r="F171" s="66">
        <f t="shared" si="38"/>
        <v>45697</v>
      </c>
      <c r="G171" s="89" t="s">
        <v>97</v>
      </c>
      <c r="H171" s="68"/>
      <c r="I171" s="69"/>
      <c r="J171" s="44" t="str">
        <f t="shared" si="3"/>
        <v/>
      </c>
      <c r="K171" s="44" t="str">
        <f t="shared" si="4"/>
        <v/>
      </c>
      <c r="L171" s="68">
        <v>338.0</v>
      </c>
      <c r="M171" s="69">
        <v>338.0</v>
      </c>
      <c r="N171" s="44">
        <f t="shared" si="5"/>
        <v>1</v>
      </c>
      <c r="O171" s="44">
        <f t="shared" si="6"/>
        <v>1</v>
      </c>
      <c r="P171" s="70">
        <v>121.0</v>
      </c>
      <c r="Q171" s="71"/>
      <c r="R171" s="71"/>
      <c r="S171" s="31"/>
    </row>
    <row r="172">
      <c r="A172" s="37" t="s">
        <v>48</v>
      </c>
      <c r="B172" s="87" t="s">
        <v>100</v>
      </c>
      <c r="C172" s="88"/>
      <c r="D172" s="64">
        <v>45669.0</v>
      </c>
      <c r="E172" s="64">
        <f t="shared" si="37"/>
        <v>45676</v>
      </c>
      <c r="F172" s="66">
        <f t="shared" si="38"/>
        <v>45697</v>
      </c>
      <c r="G172" s="89" t="s">
        <v>97</v>
      </c>
      <c r="H172" s="68"/>
      <c r="I172" s="69"/>
      <c r="J172" s="44" t="str">
        <f t="shared" si="3"/>
        <v/>
      </c>
      <c r="K172" s="44" t="str">
        <f t="shared" si="4"/>
        <v/>
      </c>
      <c r="L172" s="68"/>
      <c r="M172" s="69"/>
      <c r="N172" s="44" t="str">
        <f t="shared" si="5"/>
        <v/>
      </c>
      <c r="O172" s="44" t="str">
        <f t="shared" si="6"/>
        <v/>
      </c>
      <c r="P172" s="70"/>
      <c r="Q172" s="71"/>
      <c r="R172" s="71"/>
      <c r="S172" s="31"/>
    </row>
    <row r="173">
      <c r="A173" s="37" t="s">
        <v>48</v>
      </c>
      <c r="B173" s="77" t="s">
        <v>100</v>
      </c>
      <c r="C173" s="44"/>
      <c r="D173" s="64">
        <v>45670.0</v>
      </c>
      <c r="E173" s="64">
        <f>D173+7</f>
        <v>45677</v>
      </c>
      <c r="F173" s="64">
        <f>D173+28</f>
        <v>45698</v>
      </c>
      <c r="G173" s="96" t="s">
        <v>110</v>
      </c>
      <c r="H173" s="68"/>
      <c r="I173" s="69"/>
      <c r="J173" s="44" t="str">
        <f t="shared" si="3"/>
        <v/>
      </c>
      <c r="K173" s="44" t="str">
        <f t="shared" si="4"/>
        <v/>
      </c>
      <c r="L173" s="68">
        <v>80.0</v>
      </c>
      <c r="M173" s="69">
        <v>104.0</v>
      </c>
      <c r="N173" s="44">
        <f t="shared" si="5"/>
        <v>13</v>
      </c>
      <c r="O173" s="44">
        <f t="shared" si="6"/>
        <v>13</v>
      </c>
      <c r="P173" s="70"/>
      <c r="Q173" s="71"/>
      <c r="R173" s="71"/>
      <c r="S173" s="31"/>
    </row>
    <row r="174">
      <c r="A174" s="37" t="s">
        <v>48</v>
      </c>
      <c r="B174" s="77" t="s">
        <v>100</v>
      </c>
      <c r="C174" s="44"/>
      <c r="D174" s="64">
        <v>45670.0</v>
      </c>
      <c r="E174" s="64">
        <f t="shared" ref="E174:E188" si="39">D174+7</f>
        <v>45677</v>
      </c>
      <c r="F174" s="66">
        <f t="shared" ref="F174:F188" si="40">D174+28</f>
        <v>45698</v>
      </c>
      <c r="G174" s="80" t="s">
        <v>99</v>
      </c>
      <c r="H174" s="68"/>
      <c r="I174" s="69"/>
      <c r="J174" s="44" t="str">
        <f t="shared" si="3"/>
        <v/>
      </c>
      <c r="K174" s="44" t="str">
        <f t="shared" si="4"/>
        <v/>
      </c>
      <c r="L174" s="68">
        <v>2100.0</v>
      </c>
      <c r="M174" s="69">
        <v>2176.0</v>
      </c>
      <c r="N174" s="44">
        <f t="shared" si="5"/>
        <v>39</v>
      </c>
      <c r="O174" s="44">
        <f t="shared" si="6"/>
        <v>39</v>
      </c>
      <c r="P174" s="70">
        <v>122.0</v>
      </c>
      <c r="Q174" s="88"/>
      <c r="R174" s="88"/>
      <c r="S174" s="31"/>
    </row>
    <row r="175">
      <c r="A175" s="37" t="s">
        <v>48</v>
      </c>
      <c r="B175" s="87" t="s">
        <v>100</v>
      </c>
      <c r="C175" s="88"/>
      <c r="D175" s="64">
        <v>45670.0</v>
      </c>
      <c r="E175" s="64">
        <f t="shared" si="39"/>
        <v>45677</v>
      </c>
      <c r="F175" s="66">
        <f t="shared" si="40"/>
        <v>45698</v>
      </c>
      <c r="G175" s="89" t="s">
        <v>97</v>
      </c>
      <c r="H175" s="68">
        <v>399.0</v>
      </c>
      <c r="I175" s="69">
        <v>449.0</v>
      </c>
      <c r="J175" s="44">
        <f t="shared" si="3"/>
        <v>26</v>
      </c>
      <c r="K175" s="44">
        <f t="shared" si="4"/>
        <v>26</v>
      </c>
      <c r="L175" s="68">
        <v>346.0</v>
      </c>
      <c r="M175" s="69">
        <v>396.0</v>
      </c>
      <c r="N175" s="44">
        <f t="shared" si="5"/>
        <v>26</v>
      </c>
      <c r="O175" s="44">
        <f t="shared" si="6"/>
        <v>26</v>
      </c>
      <c r="P175" s="70">
        <v>123.0</v>
      </c>
      <c r="Q175" s="71"/>
      <c r="R175" s="71"/>
      <c r="S175" s="31"/>
    </row>
    <row r="176">
      <c r="A176" s="37" t="s">
        <v>48</v>
      </c>
      <c r="B176" s="87" t="s">
        <v>100</v>
      </c>
      <c r="C176" s="88"/>
      <c r="D176" s="64">
        <v>45670.0</v>
      </c>
      <c r="E176" s="64">
        <f t="shared" si="39"/>
        <v>45677</v>
      </c>
      <c r="F176" s="66">
        <f t="shared" si="40"/>
        <v>45698</v>
      </c>
      <c r="G176" s="89" t="s">
        <v>97</v>
      </c>
      <c r="H176" s="68">
        <v>361.0</v>
      </c>
      <c r="I176" s="69">
        <v>361.0</v>
      </c>
      <c r="J176" s="44">
        <f t="shared" si="3"/>
        <v>1</v>
      </c>
      <c r="K176" s="44">
        <f t="shared" si="4"/>
        <v>1</v>
      </c>
      <c r="L176" s="68"/>
      <c r="M176" s="69"/>
      <c r="N176" s="44" t="str">
        <f t="shared" si="5"/>
        <v/>
      </c>
      <c r="O176" s="44" t="str">
        <f t="shared" si="6"/>
        <v/>
      </c>
      <c r="P176" s="70">
        <v>123.0</v>
      </c>
      <c r="Q176" s="71"/>
      <c r="R176" s="71"/>
      <c r="S176" s="31"/>
    </row>
    <row r="177">
      <c r="A177" s="37" t="s">
        <v>48</v>
      </c>
      <c r="B177" s="77" t="s">
        <v>100</v>
      </c>
      <c r="C177" s="44"/>
      <c r="D177" s="64">
        <v>45671.0</v>
      </c>
      <c r="E177" s="64">
        <f t="shared" si="39"/>
        <v>45678</v>
      </c>
      <c r="F177" s="66">
        <f t="shared" si="40"/>
        <v>45699</v>
      </c>
      <c r="G177" s="80" t="s">
        <v>99</v>
      </c>
      <c r="H177" s="68">
        <v>2201.0</v>
      </c>
      <c r="I177" s="69">
        <v>2269.0</v>
      </c>
      <c r="J177" s="44">
        <f t="shared" si="3"/>
        <v>35</v>
      </c>
      <c r="K177" s="44">
        <f t="shared" si="4"/>
        <v>35</v>
      </c>
      <c r="L177" s="68"/>
      <c r="M177" s="69"/>
      <c r="N177" s="44" t="str">
        <f t="shared" si="5"/>
        <v/>
      </c>
      <c r="O177" s="44" t="str">
        <f t="shared" si="6"/>
        <v/>
      </c>
      <c r="P177" s="70">
        <v>125.0</v>
      </c>
      <c r="Q177" s="88"/>
      <c r="R177" s="88"/>
      <c r="S177" s="31"/>
    </row>
    <row r="178">
      <c r="A178" s="37" t="s">
        <v>48</v>
      </c>
      <c r="B178" s="87" t="s">
        <v>100</v>
      </c>
      <c r="C178" s="88"/>
      <c r="D178" s="64">
        <v>45671.0</v>
      </c>
      <c r="E178" s="64">
        <f t="shared" si="39"/>
        <v>45678</v>
      </c>
      <c r="F178" s="66">
        <f t="shared" si="40"/>
        <v>45699</v>
      </c>
      <c r="G178" s="80" t="s">
        <v>97</v>
      </c>
      <c r="H178" s="68">
        <v>507.0</v>
      </c>
      <c r="I178" s="69">
        <v>529.0</v>
      </c>
      <c r="J178" s="44">
        <f t="shared" si="3"/>
        <v>12</v>
      </c>
      <c r="K178" s="44">
        <f t="shared" si="4"/>
        <v>12</v>
      </c>
      <c r="L178" s="68">
        <v>532.0</v>
      </c>
      <c r="M178" s="69">
        <v>532.0</v>
      </c>
      <c r="N178" s="44">
        <f t="shared" si="5"/>
        <v>1</v>
      </c>
      <c r="O178" s="44">
        <f t="shared" si="6"/>
        <v>1</v>
      </c>
      <c r="P178" s="70">
        <v>127.0</v>
      </c>
      <c r="Q178" s="71"/>
      <c r="R178" s="71"/>
      <c r="S178" s="31"/>
    </row>
    <row r="179">
      <c r="A179" s="37" t="s">
        <v>48</v>
      </c>
      <c r="B179" s="87" t="s">
        <v>100</v>
      </c>
      <c r="C179" s="88"/>
      <c r="D179" s="64">
        <v>45671.0</v>
      </c>
      <c r="E179" s="64">
        <f t="shared" si="39"/>
        <v>45678</v>
      </c>
      <c r="F179" s="66">
        <f t="shared" si="40"/>
        <v>45699</v>
      </c>
      <c r="G179" s="80" t="s">
        <v>97</v>
      </c>
      <c r="H179" s="68">
        <v>501.0</v>
      </c>
      <c r="I179" s="69">
        <v>501.0</v>
      </c>
      <c r="J179" s="44">
        <f t="shared" si="3"/>
        <v>1</v>
      </c>
      <c r="K179" s="44">
        <f t="shared" si="4"/>
        <v>1</v>
      </c>
      <c r="L179" s="68">
        <v>398.0</v>
      </c>
      <c r="M179" s="69">
        <v>498.0</v>
      </c>
      <c r="N179" s="44">
        <f t="shared" si="5"/>
        <v>51</v>
      </c>
      <c r="O179" s="44">
        <f t="shared" si="6"/>
        <v>51</v>
      </c>
      <c r="P179" s="70">
        <v>127.0</v>
      </c>
      <c r="Q179" s="71"/>
      <c r="R179" s="71"/>
      <c r="S179" s="31"/>
    </row>
    <row r="180">
      <c r="A180" s="37" t="s">
        <v>48</v>
      </c>
      <c r="B180" s="87" t="s">
        <v>100</v>
      </c>
      <c r="C180" s="88"/>
      <c r="D180" s="64">
        <v>45671.0</v>
      </c>
      <c r="E180" s="64">
        <f t="shared" si="39"/>
        <v>45678</v>
      </c>
      <c r="F180" s="66">
        <f t="shared" si="40"/>
        <v>45699</v>
      </c>
      <c r="G180" s="80" t="s">
        <v>97</v>
      </c>
      <c r="H180" s="68">
        <v>535.0</v>
      </c>
      <c r="I180" s="69">
        <v>565.0</v>
      </c>
      <c r="J180" s="44">
        <f t="shared" si="3"/>
        <v>16</v>
      </c>
      <c r="K180" s="44">
        <f t="shared" si="4"/>
        <v>16</v>
      </c>
      <c r="L180" s="68">
        <v>500.0</v>
      </c>
      <c r="M180" s="69">
        <v>500.0</v>
      </c>
      <c r="N180" s="44">
        <f t="shared" si="5"/>
        <v>1</v>
      </c>
      <c r="O180" s="44">
        <f t="shared" si="6"/>
        <v>1</v>
      </c>
      <c r="P180" s="70">
        <v>127.0</v>
      </c>
      <c r="Q180" s="71"/>
      <c r="R180" s="71"/>
      <c r="S180" s="31"/>
    </row>
    <row r="181">
      <c r="A181" s="37" t="s">
        <v>48</v>
      </c>
      <c r="B181" s="77" t="s">
        <v>100</v>
      </c>
      <c r="C181" s="44"/>
      <c r="D181" s="64">
        <v>45671.0</v>
      </c>
      <c r="E181" s="64">
        <f t="shared" si="39"/>
        <v>45678</v>
      </c>
      <c r="F181" s="66">
        <f t="shared" si="40"/>
        <v>45699</v>
      </c>
      <c r="G181" s="89" t="s">
        <v>8</v>
      </c>
      <c r="H181" s="68">
        <v>235.0</v>
      </c>
      <c r="I181" s="69">
        <v>341.0</v>
      </c>
      <c r="J181" s="44">
        <f t="shared" si="3"/>
        <v>54</v>
      </c>
      <c r="K181" s="44">
        <f t="shared" si="4"/>
        <v>54</v>
      </c>
      <c r="L181" s="68">
        <v>130.0</v>
      </c>
      <c r="M181" s="69">
        <v>134.0</v>
      </c>
      <c r="N181" s="44">
        <f t="shared" si="5"/>
        <v>3</v>
      </c>
      <c r="O181" s="44">
        <f t="shared" si="6"/>
        <v>3</v>
      </c>
      <c r="P181" s="70">
        <v>126.0</v>
      </c>
      <c r="Q181" s="88"/>
      <c r="R181" s="88"/>
      <c r="S181" s="31"/>
    </row>
    <row r="182">
      <c r="A182" s="37" t="s">
        <v>48</v>
      </c>
      <c r="B182" s="77" t="s">
        <v>100</v>
      </c>
      <c r="C182" s="44"/>
      <c r="D182" s="64">
        <v>45672.0</v>
      </c>
      <c r="E182" s="64">
        <f t="shared" si="39"/>
        <v>45679</v>
      </c>
      <c r="F182" s="66">
        <f t="shared" si="40"/>
        <v>45700</v>
      </c>
      <c r="G182" s="80" t="s">
        <v>99</v>
      </c>
      <c r="H182" s="68"/>
      <c r="I182" s="69"/>
      <c r="J182" s="44" t="str">
        <f t="shared" si="3"/>
        <v/>
      </c>
      <c r="K182" s="44" t="str">
        <f t="shared" si="4"/>
        <v/>
      </c>
      <c r="L182" s="68">
        <v>2178.0</v>
      </c>
      <c r="M182" s="69">
        <v>2256.0</v>
      </c>
      <c r="N182" s="44">
        <f t="shared" si="5"/>
        <v>40</v>
      </c>
      <c r="O182" s="44">
        <f t="shared" si="6"/>
        <v>40</v>
      </c>
      <c r="P182" s="70">
        <v>128.0</v>
      </c>
      <c r="Q182" s="88"/>
      <c r="R182" s="88"/>
      <c r="S182" s="31"/>
    </row>
    <row r="183">
      <c r="A183" s="37" t="s">
        <v>48</v>
      </c>
      <c r="B183" s="87" t="s">
        <v>100</v>
      </c>
      <c r="C183" s="88"/>
      <c r="D183" s="64">
        <v>45672.0</v>
      </c>
      <c r="E183" s="64">
        <f t="shared" si="39"/>
        <v>45679</v>
      </c>
      <c r="F183" s="66">
        <f t="shared" si="40"/>
        <v>45700</v>
      </c>
      <c r="G183" s="80" t="s">
        <v>97</v>
      </c>
      <c r="H183" s="68">
        <v>533.0</v>
      </c>
      <c r="I183" s="69">
        <v>533.0</v>
      </c>
      <c r="J183" s="44">
        <f t="shared" si="3"/>
        <v>1</v>
      </c>
      <c r="K183" s="44">
        <f t="shared" si="4"/>
        <v>1</v>
      </c>
      <c r="L183" s="68">
        <v>508.0</v>
      </c>
      <c r="M183" s="69">
        <v>530.0</v>
      </c>
      <c r="N183" s="44">
        <f t="shared" si="5"/>
        <v>12</v>
      </c>
      <c r="O183" s="44">
        <f t="shared" si="6"/>
        <v>12</v>
      </c>
      <c r="P183" s="70">
        <v>130.0</v>
      </c>
      <c r="Q183" s="71"/>
      <c r="R183" s="71"/>
      <c r="S183" s="31"/>
    </row>
    <row r="184">
      <c r="A184" s="37" t="s">
        <v>48</v>
      </c>
      <c r="B184" s="87" t="s">
        <v>100</v>
      </c>
      <c r="C184" s="88"/>
      <c r="D184" s="64">
        <v>45672.0</v>
      </c>
      <c r="E184" s="64">
        <f t="shared" si="39"/>
        <v>45679</v>
      </c>
      <c r="F184" s="66">
        <f t="shared" si="40"/>
        <v>45700</v>
      </c>
      <c r="G184" s="80" t="s">
        <v>97</v>
      </c>
      <c r="H184" s="68">
        <v>567.0</v>
      </c>
      <c r="I184" s="69">
        <v>567.0</v>
      </c>
      <c r="J184" s="44">
        <f t="shared" si="3"/>
        <v>1</v>
      </c>
      <c r="K184" s="44">
        <f t="shared" si="4"/>
        <v>1</v>
      </c>
      <c r="L184" s="68">
        <v>536.0</v>
      </c>
      <c r="M184" s="69">
        <v>564.0</v>
      </c>
      <c r="N184" s="44">
        <f t="shared" si="5"/>
        <v>15</v>
      </c>
      <c r="O184" s="44">
        <f t="shared" si="6"/>
        <v>15</v>
      </c>
      <c r="P184" s="70">
        <v>130.0</v>
      </c>
      <c r="Q184" s="71"/>
      <c r="R184" s="71"/>
      <c r="S184" s="31"/>
    </row>
    <row r="185">
      <c r="A185" s="37" t="s">
        <v>48</v>
      </c>
      <c r="B185" s="87" t="s">
        <v>100</v>
      </c>
      <c r="C185" s="88"/>
      <c r="D185" s="64">
        <v>45672.0</v>
      </c>
      <c r="E185" s="64">
        <f t="shared" si="39"/>
        <v>45679</v>
      </c>
      <c r="F185" s="66">
        <f t="shared" si="40"/>
        <v>45700</v>
      </c>
      <c r="G185" s="80" t="s">
        <v>97</v>
      </c>
      <c r="H185" s="68"/>
      <c r="I185" s="69"/>
      <c r="J185" s="44" t="str">
        <f t="shared" si="3"/>
        <v/>
      </c>
      <c r="K185" s="44" t="str">
        <f t="shared" si="4"/>
        <v/>
      </c>
      <c r="L185" s="68">
        <v>570.0</v>
      </c>
      <c r="M185" s="69">
        <v>612.0</v>
      </c>
      <c r="N185" s="44">
        <f t="shared" si="5"/>
        <v>22</v>
      </c>
      <c r="O185" s="44">
        <f t="shared" si="6"/>
        <v>22</v>
      </c>
      <c r="P185" s="70">
        <v>130.0</v>
      </c>
      <c r="Q185" s="71"/>
      <c r="R185" s="71"/>
      <c r="S185" s="31"/>
    </row>
    <row r="186">
      <c r="A186" s="37" t="s">
        <v>48</v>
      </c>
      <c r="B186" s="87" t="s">
        <v>100</v>
      </c>
      <c r="C186" s="88"/>
      <c r="D186" s="64">
        <v>45672.0</v>
      </c>
      <c r="E186" s="64">
        <f t="shared" si="39"/>
        <v>45679</v>
      </c>
      <c r="F186" s="66">
        <f t="shared" si="40"/>
        <v>45700</v>
      </c>
      <c r="G186" s="80" t="s">
        <v>97</v>
      </c>
      <c r="H186" s="68"/>
      <c r="I186" s="69"/>
      <c r="J186" s="44" t="str">
        <f t="shared" si="3"/>
        <v/>
      </c>
      <c r="K186" s="44" t="str">
        <f t="shared" si="4"/>
        <v/>
      </c>
      <c r="L186" s="68">
        <v>614.0</v>
      </c>
      <c r="M186" s="69">
        <v>620.0</v>
      </c>
      <c r="N186" s="44">
        <f t="shared" si="5"/>
        <v>4</v>
      </c>
      <c r="O186" s="44">
        <f t="shared" si="6"/>
        <v>4</v>
      </c>
      <c r="P186" s="70">
        <v>130.0</v>
      </c>
      <c r="Q186" s="71"/>
      <c r="R186" s="71"/>
      <c r="S186" s="31"/>
    </row>
    <row r="187">
      <c r="A187" s="37" t="s">
        <v>48</v>
      </c>
      <c r="B187" s="77" t="s">
        <v>100</v>
      </c>
      <c r="C187" s="44"/>
      <c r="D187" s="64">
        <v>45672.0</v>
      </c>
      <c r="E187" s="64">
        <f t="shared" si="39"/>
        <v>45679</v>
      </c>
      <c r="F187" s="66">
        <f t="shared" si="40"/>
        <v>45700</v>
      </c>
      <c r="G187" s="89" t="s">
        <v>8</v>
      </c>
      <c r="H187" s="68">
        <v>136.0</v>
      </c>
      <c r="I187" s="69">
        <v>228.0</v>
      </c>
      <c r="J187" s="44">
        <f t="shared" si="3"/>
        <v>47</v>
      </c>
      <c r="K187" s="44">
        <f t="shared" si="4"/>
        <v>47</v>
      </c>
      <c r="L187" s="68">
        <v>236.0</v>
      </c>
      <c r="M187" s="69">
        <v>252.0</v>
      </c>
      <c r="N187" s="44">
        <f t="shared" si="5"/>
        <v>9</v>
      </c>
      <c r="O187" s="44">
        <f t="shared" si="6"/>
        <v>9</v>
      </c>
      <c r="P187" s="70">
        <v>129.0</v>
      </c>
      <c r="Q187" s="88"/>
      <c r="R187" s="88"/>
      <c r="S187" s="31"/>
    </row>
    <row r="188">
      <c r="A188" s="37" t="s">
        <v>48</v>
      </c>
      <c r="B188" s="77" t="s">
        <v>100</v>
      </c>
      <c r="C188" s="44"/>
      <c r="D188" s="64">
        <v>45673.0</v>
      </c>
      <c r="E188" s="64">
        <f t="shared" si="39"/>
        <v>45680</v>
      </c>
      <c r="F188" s="66">
        <f t="shared" si="40"/>
        <v>45701</v>
      </c>
      <c r="G188" s="80" t="s">
        <v>99</v>
      </c>
      <c r="H188" s="68">
        <v>2271.0</v>
      </c>
      <c r="I188" s="69">
        <v>2333.0</v>
      </c>
      <c r="J188" s="44">
        <f t="shared" si="3"/>
        <v>32</v>
      </c>
      <c r="K188" s="44">
        <f t="shared" si="4"/>
        <v>32</v>
      </c>
      <c r="L188" s="68">
        <v>2258.0</v>
      </c>
      <c r="M188" s="69">
        <v>2268.0</v>
      </c>
      <c r="N188" s="44">
        <f t="shared" si="5"/>
        <v>6</v>
      </c>
      <c r="O188" s="44">
        <f t="shared" si="6"/>
        <v>6</v>
      </c>
      <c r="P188" s="70">
        <v>131.0</v>
      </c>
      <c r="Q188" s="88"/>
      <c r="R188" s="88"/>
      <c r="S188" s="31"/>
    </row>
    <row r="189">
      <c r="A189" s="37" t="s">
        <v>48</v>
      </c>
      <c r="B189" s="87" t="s">
        <v>100</v>
      </c>
      <c r="C189" s="88"/>
      <c r="D189" s="64">
        <v>45673.0</v>
      </c>
      <c r="E189" s="64">
        <v>45680.0</v>
      </c>
      <c r="F189" s="66">
        <v>45701.0</v>
      </c>
      <c r="G189" s="80" t="s">
        <v>97</v>
      </c>
      <c r="H189" s="68">
        <v>531.0</v>
      </c>
      <c r="I189" s="69">
        <v>531.0</v>
      </c>
      <c r="J189" s="44">
        <f t="shared" si="3"/>
        <v>1</v>
      </c>
      <c r="K189" s="44">
        <f t="shared" si="4"/>
        <v>1</v>
      </c>
      <c r="L189" s="68">
        <v>534.0</v>
      </c>
      <c r="M189" s="69">
        <v>534.0</v>
      </c>
      <c r="N189" s="44">
        <f t="shared" si="5"/>
        <v>1</v>
      </c>
      <c r="O189" s="44">
        <f t="shared" si="6"/>
        <v>1</v>
      </c>
      <c r="P189" s="70">
        <v>132.0</v>
      </c>
      <c r="Q189" s="71"/>
      <c r="R189" s="71"/>
      <c r="S189" s="31"/>
    </row>
    <row r="190">
      <c r="A190" s="37" t="s">
        <v>48</v>
      </c>
      <c r="B190" s="87" t="s">
        <v>100</v>
      </c>
      <c r="C190" s="88"/>
      <c r="D190" s="64">
        <v>45673.0</v>
      </c>
      <c r="E190" s="64">
        <f t="shared" ref="E190:E196" si="41">D190+7</f>
        <v>45680</v>
      </c>
      <c r="F190" s="66">
        <f t="shared" ref="F190:F196" si="42">D190+28</f>
        <v>45701</v>
      </c>
      <c r="G190" s="80" t="s">
        <v>97</v>
      </c>
      <c r="H190" s="68">
        <v>571.0</v>
      </c>
      <c r="I190" s="69">
        <v>611.0</v>
      </c>
      <c r="J190" s="44">
        <f t="shared" si="3"/>
        <v>21</v>
      </c>
      <c r="K190" s="44">
        <f t="shared" si="4"/>
        <v>21</v>
      </c>
      <c r="L190" s="68">
        <v>566.0</v>
      </c>
      <c r="M190" s="69">
        <v>566.0</v>
      </c>
      <c r="N190" s="44">
        <f t="shared" si="5"/>
        <v>1</v>
      </c>
      <c r="O190" s="44">
        <f t="shared" si="6"/>
        <v>1</v>
      </c>
      <c r="P190" s="70">
        <v>132.0</v>
      </c>
      <c r="Q190" s="71"/>
      <c r="R190" s="71"/>
      <c r="S190" s="31"/>
    </row>
    <row r="191">
      <c r="A191" s="37" t="s">
        <v>48</v>
      </c>
      <c r="B191" s="87" t="s">
        <v>100</v>
      </c>
      <c r="C191" s="88"/>
      <c r="D191" s="64">
        <v>45673.0</v>
      </c>
      <c r="E191" s="64">
        <f t="shared" si="41"/>
        <v>45680</v>
      </c>
      <c r="F191" s="66">
        <f t="shared" si="42"/>
        <v>45701</v>
      </c>
      <c r="G191" s="80" t="s">
        <v>97</v>
      </c>
      <c r="H191" s="68">
        <v>623.0</v>
      </c>
      <c r="I191" s="69">
        <v>639.0</v>
      </c>
      <c r="J191" s="44">
        <f t="shared" si="3"/>
        <v>9</v>
      </c>
      <c r="K191" s="44">
        <f t="shared" si="4"/>
        <v>9</v>
      </c>
      <c r="L191" s="68">
        <v>568.0</v>
      </c>
      <c r="M191" s="69">
        <v>568.0</v>
      </c>
      <c r="N191" s="44">
        <f t="shared" si="5"/>
        <v>1</v>
      </c>
      <c r="O191" s="44">
        <f t="shared" si="6"/>
        <v>1</v>
      </c>
      <c r="P191" s="70">
        <v>132.0</v>
      </c>
      <c r="Q191" s="71"/>
      <c r="R191" s="71"/>
      <c r="S191" s="31"/>
    </row>
    <row r="192">
      <c r="A192" s="37" t="s">
        <v>48</v>
      </c>
      <c r="B192" s="87" t="s">
        <v>100</v>
      </c>
      <c r="C192" s="88"/>
      <c r="D192" s="64">
        <v>45673.0</v>
      </c>
      <c r="E192" s="64">
        <f t="shared" si="41"/>
        <v>45680</v>
      </c>
      <c r="F192" s="66">
        <f t="shared" si="42"/>
        <v>45701</v>
      </c>
      <c r="G192" s="80" t="s">
        <v>97</v>
      </c>
      <c r="H192" s="68"/>
      <c r="I192" s="69"/>
      <c r="J192" s="44" t="str">
        <f t="shared" si="3"/>
        <v/>
      </c>
      <c r="K192" s="44" t="str">
        <f t="shared" si="4"/>
        <v/>
      </c>
      <c r="L192" s="68"/>
      <c r="M192" s="69"/>
      <c r="N192" s="44" t="str">
        <f t="shared" si="5"/>
        <v/>
      </c>
      <c r="O192" s="44" t="str">
        <f t="shared" si="6"/>
        <v/>
      </c>
      <c r="P192" s="70">
        <v>132.0</v>
      </c>
      <c r="Q192" s="71"/>
      <c r="R192" s="71"/>
      <c r="S192" s="31"/>
    </row>
    <row r="193">
      <c r="A193" s="37" t="s">
        <v>48</v>
      </c>
      <c r="B193" s="77" t="s">
        <v>100</v>
      </c>
      <c r="C193" s="44"/>
      <c r="D193" s="64">
        <v>45675.0</v>
      </c>
      <c r="E193" s="64">
        <f t="shared" si="41"/>
        <v>45682</v>
      </c>
      <c r="F193" s="66">
        <f t="shared" si="42"/>
        <v>45703</v>
      </c>
      <c r="G193" s="80" t="s">
        <v>99</v>
      </c>
      <c r="H193" s="68">
        <v>2335.0</v>
      </c>
      <c r="I193" s="69">
        <v>2345.0</v>
      </c>
      <c r="J193" s="44">
        <f t="shared" si="3"/>
        <v>6</v>
      </c>
      <c r="K193" s="44">
        <f t="shared" si="4"/>
        <v>6</v>
      </c>
      <c r="L193" s="68">
        <v>2270.0</v>
      </c>
      <c r="M193" s="69">
        <v>2322.0</v>
      </c>
      <c r="N193" s="44">
        <f t="shared" si="5"/>
        <v>27</v>
      </c>
      <c r="O193" s="44">
        <f t="shared" si="6"/>
        <v>27</v>
      </c>
      <c r="P193" s="70">
        <v>133.0</v>
      </c>
      <c r="Q193" s="88"/>
      <c r="R193" s="88"/>
      <c r="S193" s="31"/>
    </row>
    <row r="194">
      <c r="A194" s="37" t="s">
        <v>48</v>
      </c>
      <c r="B194" s="87" t="s">
        <v>100</v>
      </c>
      <c r="C194" s="88"/>
      <c r="D194" s="64">
        <v>45675.0</v>
      </c>
      <c r="E194" s="64">
        <f t="shared" si="41"/>
        <v>45682</v>
      </c>
      <c r="F194" s="66">
        <f t="shared" si="42"/>
        <v>45703</v>
      </c>
      <c r="G194" s="80" t="s">
        <v>97</v>
      </c>
      <c r="H194" s="68">
        <v>643.0</v>
      </c>
      <c r="I194" s="69">
        <v>655.0</v>
      </c>
      <c r="J194" s="44">
        <f t="shared" si="3"/>
        <v>7</v>
      </c>
      <c r="K194" s="44">
        <f t="shared" si="4"/>
        <v>7</v>
      </c>
      <c r="L194" s="68">
        <v>622.0</v>
      </c>
      <c r="M194" s="69">
        <v>640.0</v>
      </c>
      <c r="N194" s="44">
        <f t="shared" si="5"/>
        <v>10</v>
      </c>
      <c r="O194" s="44">
        <f t="shared" si="6"/>
        <v>10</v>
      </c>
      <c r="P194" s="70">
        <v>134.0</v>
      </c>
      <c r="Q194" s="71"/>
      <c r="R194" s="71"/>
      <c r="S194" s="31"/>
    </row>
    <row r="195">
      <c r="A195" s="37" t="s">
        <v>48</v>
      </c>
      <c r="B195" s="87" t="s">
        <v>100</v>
      </c>
      <c r="C195" s="88"/>
      <c r="D195" s="64">
        <v>45675.0</v>
      </c>
      <c r="E195" s="64">
        <f t="shared" si="41"/>
        <v>45682</v>
      </c>
      <c r="F195" s="66">
        <f t="shared" si="42"/>
        <v>45703</v>
      </c>
      <c r="G195" s="80" t="s">
        <v>97</v>
      </c>
      <c r="H195" s="68"/>
      <c r="I195" s="69"/>
      <c r="J195" s="44" t="str">
        <f t="shared" si="3"/>
        <v/>
      </c>
      <c r="K195" s="44" t="str">
        <f t="shared" si="4"/>
        <v/>
      </c>
      <c r="L195" s="68">
        <v>658.0</v>
      </c>
      <c r="M195" s="69">
        <v>680.0</v>
      </c>
      <c r="N195" s="44">
        <f t="shared" si="5"/>
        <v>12</v>
      </c>
      <c r="O195" s="44">
        <f t="shared" si="6"/>
        <v>12</v>
      </c>
      <c r="P195" s="70">
        <v>134.0</v>
      </c>
      <c r="Q195" s="71"/>
      <c r="R195" s="71"/>
      <c r="S195" s="31"/>
    </row>
    <row r="196">
      <c r="A196" s="37" t="s">
        <v>48</v>
      </c>
      <c r="B196" s="87" t="s">
        <v>100</v>
      </c>
      <c r="C196" s="88"/>
      <c r="D196" s="64">
        <v>45675.0</v>
      </c>
      <c r="E196" s="64">
        <f t="shared" si="41"/>
        <v>45682</v>
      </c>
      <c r="F196" s="66">
        <f t="shared" si="42"/>
        <v>45703</v>
      </c>
      <c r="G196" s="80" t="s">
        <v>97</v>
      </c>
      <c r="H196" s="68"/>
      <c r="I196" s="69"/>
      <c r="J196" s="44" t="str">
        <f t="shared" si="3"/>
        <v/>
      </c>
      <c r="K196" s="44" t="str">
        <f t="shared" si="4"/>
        <v/>
      </c>
      <c r="L196" s="68">
        <v>613.0</v>
      </c>
      <c r="M196" s="69">
        <v>613.0</v>
      </c>
      <c r="N196" s="44">
        <f t="shared" si="5"/>
        <v>1</v>
      </c>
      <c r="O196" s="44">
        <f t="shared" si="6"/>
        <v>1</v>
      </c>
      <c r="P196" s="70">
        <v>134.0</v>
      </c>
      <c r="Q196" s="71"/>
      <c r="R196" s="71"/>
      <c r="S196" s="31"/>
    </row>
    <row r="197">
      <c r="A197" s="37" t="s">
        <v>48</v>
      </c>
      <c r="B197" s="77" t="s">
        <v>100</v>
      </c>
      <c r="C197" s="44"/>
      <c r="D197" s="64">
        <v>45676.0</v>
      </c>
      <c r="E197" s="64">
        <f t="shared" ref="E197:E198" si="43">D197+7</f>
        <v>45683</v>
      </c>
      <c r="F197" s="64">
        <f t="shared" ref="F197:F198" si="44">D197+28</f>
        <v>45704</v>
      </c>
      <c r="G197" s="78" t="s">
        <v>110</v>
      </c>
      <c r="H197" s="68">
        <v>81.0</v>
      </c>
      <c r="I197" s="69">
        <v>97.0</v>
      </c>
      <c r="J197" s="44">
        <f t="shared" si="3"/>
        <v>9</v>
      </c>
      <c r="K197" s="44">
        <f t="shared" si="4"/>
        <v>9</v>
      </c>
      <c r="L197" s="68">
        <v>106.0</v>
      </c>
      <c r="M197" s="69">
        <v>170.0</v>
      </c>
      <c r="N197" s="44">
        <f t="shared" si="5"/>
        <v>33</v>
      </c>
      <c r="O197" s="44">
        <f t="shared" si="6"/>
        <v>33</v>
      </c>
      <c r="P197" s="70"/>
      <c r="Q197" s="71"/>
      <c r="R197" s="71"/>
      <c r="S197" s="31"/>
    </row>
    <row r="198">
      <c r="A198" s="37" t="s">
        <v>48</v>
      </c>
      <c r="B198" s="77" t="s">
        <v>100</v>
      </c>
      <c r="C198" s="44"/>
      <c r="D198" s="64">
        <v>45676.0</v>
      </c>
      <c r="E198" s="64">
        <f t="shared" si="43"/>
        <v>45683</v>
      </c>
      <c r="F198" s="64">
        <f t="shared" si="44"/>
        <v>45704</v>
      </c>
      <c r="G198" s="78" t="s">
        <v>110</v>
      </c>
      <c r="H198" s="68">
        <v>173.0</v>
      </c>
      <c r="I198" s="69">
        <v>247.0</v>
      </c>
      <c r="J198" s="44">
        <f t="shared" si="3"/>
        <v>38</v>
      </c>
      <c r="K198" s="44">
        <f t="shared" si="4"/>
        <v>38</v>
      </c>
      <c r="L198" s="68"/>
      <c r="M198" s="69"/>
      <c r="N198" s="44" t="str">
        <f t="shared" si="5"/>
        <v/>
      </c>
      <c r="O198" s="44" t="str">
        <f t="shared" si="6"/>
        <v/>
      </c>
      <c r="P198" s="70"/>
      <c r="Q198" s="71"/>
      <c r="R198" s="71"/>
      <c r="S198" s="31"/>
    </row>
    <row r="199">
      <c r="A199" s="37" t="s">
        <v>48</v>
      </c>
      <c r="B199" s="77" t="s">
        <v>100</v>
      </c>
      <c r="C199" s="44"/>
      <c r="D199" s="64">
        <v>45676.0</v>
      </c>
      <c r="E199" s="64">
        <f t="shared" ref="E199:E204" si="45">D199+7</f>
        <v>45683</v>
      </c>
      <c r="F199" s="66">
        <f t="shared" ref="F199:F204" si="46">D199+28</f>
        <v>45704</v>
      </c>
      <c r="G199" s="80" t="s">
        <v>99</v>
      </c>
      <c r="H199" s="68">
        <v>2347.0</v>
      </c>
      <c r="I199" s="69">
        <v>2407.0</v>
      </c>
      <c r="J199" s="44">
        <f t="shared" si="3"/>
        <v>31</v>
      </c>
      <c r="K199" s="44">
        <f t="shared" si="4"/>
        <v>31</v>
      </c>
      <c r="L199" s="68">
        <v>2324.0</v>
      </c>
      <c r="M199" s="69">
        <v>2340.0</v>
      </c>
      <c r="N199" s="44">
        <f t="shared" si="5"/>
        <v>9</v>
      </c>
      <c r="O199" s="44">
        <f t="shared" si="6"/>
        <v>9</v>
      </c>
      <c r="P199" s="70">
        <v>135.0</v>
      </c>
      <c r="Q199" s="88"/>
      <c r="R199" s="88"/>
      <c r="S199" s="31"/>
    </row>
    <row r="200">
      <c r="A200" s="37" t="s">
        <v>48</v>
      </c>
      <c r="B200" s="77" t="s">
        <v>100</v>
      </c>
      <c r="C200" s="44"/>
      <c r="D200" s="64">
        <v>45677.0</v>
      </c>
      <c r="E200" s="64">
        <f t="shared" si="45"/>
        <v>45684</v>
      </c>
      <c r="F200" s="66">
        <f t="shared" si="46"/>
        <v>45705</v>
      </c>
      <c r="G200" s="80" t="s">
        <v>99</v>
      </c>
      <c r="H200" s="68"/>
      <c r="I200" s="69" t="s">
        <v>121</v>
      </c>
      <c r="J200" s="44" t="str">
        <f t="shared" si="3"/>
        <v/>
      </c>
      <c r="K200" s="44" t="str">
        <f t="shared" si="4"/>
        <v/>
      </c>
      <c r="L200" s="68">
        <v>2342.0</v>
      </c>
      <c r="M200" s="69">
        <v>2406.0</v>
      </c>
      <c r="N200" s="44">
        <f t="shared" si="5"/>
        <v>33</v>
      </c>
      <c r="O200" s="44">
        <f t="shared" si="6"/>
        <v>33</v>
      </c>
      <c r="P200" s="70">
        <v>140.0</v>
      </c>
      <c r="Q200" s="88"/>
      <c r="R200" s="88"/>
      <c r="S200" s="31"/>
    </row>
    <row r="201">
      <c r="A201" s="37" t="s">
        <v>48</v>
      </c>
      <c r="B201" s="87" t="s">
        <v>100</v>
      </c>
      <c r="C201" s="88"/>
      <c r="D201" s="64">
        <v>45677.0</v>
      </c>
      <c r="E201" s="64">
        <f t="shared" si="45"/>
        <v>45684</v>
      </c>
      <c r="F201" s="66">
        <f t="shared" si="46"/>
        <v>45705</v>
      </c>
      <c r="G201" s="80" t="s">
        <v>97</v>
      </c>
      <c r="H201" s="68">
        <v>657.0</v>
      </c>
      <c r="I201" s="69">
        <v>679.0</v>
      </c>
      <c r="J201" s="44">
        <f t="shared" si="3"/>
        <v>12</v>
      </c>
      <c r="K201" s="44">
        <f t="shared" si="4"/>
        <v>12</v>
      </c>
      <c r="L201" s="68">
        <v>642.0</v>
      </c>
      <c r="M201" s="69">
        <v>646.0</v>
      </c>
      <c r="N201" s="44">
        <f t="shared" si="5"/>
        <v>3</v>
      </c>
      <c r="O201" s="44">
        <f t="shared" si="6"/>
        <v>3</v>
      </c>
      <c r="P201" s="70">
        <v>137.0</v>
      </c>
      <c r="Q201" s="71"/>
      <c r="R201" s="71"/>
      <c r="S201" s="31"/>
    </row>
    <row r="202">
      <c r="A202" s="37" t="s">
        <v>48</v>
      </c>
      <c r="B202" s="87" t="s">
        <v>100</v>
      </c>
      <c r="C202" s="88"/>
      <c r="D202" s="64">
        <v>45677.0</v>
      </c>
      <c r="E202" s="64">
        <f t="shared" si="45"/>
        <v>45684</v>
      </c>
      <c r="F202" s="66">
        <f t="shared" si="46"/>
        <v>45705</v>
      </c>
      <c r="G202" s="80" t="s">
        <v>97</v>
      </c>
      <c r="H202" s="68"/>
      <c r="I202" s="69"/>
      <c r="J202" s="44" t="str">
        <f t="shared" si="3"/>
        <v/>
      </c>
      <c r="K202" s="44" t="str">
        <f t="shared" si="4"/>
        <v/>
      </c>
      <c r="L202" s="68">
        <v>502.0</v>
      </c>
      <c r="M202" s="69">
        <v>502.0</v>
      </c>
      <c r="N202" s="44">
        <f t="shared" si="5"/>
        <v>1</v>
      </c>
      <c r="O202" s="44">
        <f t="shared" si="6"/>
        <v>1</v>
      </c>
      <c r="P202" s="70">
        <v>137.0</v>
      </c>
      <c r="Q202" s="71"/>
      <c r="R202" s="71"/>
      <c r="S202" s="31"/>
    </row>
    <row r="203">
      <c r="A203" s="37" t="s">
        <v>48</v>
      </c>
      <c r="B203" s="77" t="s">
        <v>100</v>
      </c>
      <c r="C203" s="44"/>
      <c r="D203" s="64">
        <v>45677.0</v>
      </c>
      <c r="E203" s="64">
        <f t="shared" si="45"/>
        <v>45684</v>
      </c>
      <c r="F203" s="66">
        <f t="shared" si="46"/>
        <v>45705</v>
      </c>
      <c r="G203" s="80" t="s">
        <v>8</v>
      </c>
      <c r="H203" s="68">
        <v>343.0</v>
      </c>
      <c r="I203" s="69">
        <v>393.0</v>
      </c>
      <c r="J203" s="44">
        <f t="shared" si="3"/>
        <v>26</v>
      </c>
      <c r="K203" s="44">
        <f t="shared" si="4"/>
        <v>26</v>
      </c>
      <c r="L203" s="68">
        <v>254.0</v>
      </c>
      <c r="M203" s="69">
        <v>340.0</v>
      </c>
      <c r="N203" s="44">
        <f t="shared" si="5"/>
        <v>44</v>
      </c>
      <c r="O203" s="44">
        <f t="shared" si="6"/>
        <v>44</v>
      </c>
      <c r="P203" s="70">
        <v>139.0</v>
      </c>
      <c r="Q203" s="88"/>
      <c r="R203" s="88"/>
      <c r="S203" s="31"/>
    </row>
    <row r="204">
      <c r="A204" s="37" t="s">
        <v>48</v>
      </c>
      <c r="B204" s="77" t="s">
        <v>100</v>
      </c>
      <c r="C204" s="44"/>
      <c r="D204" s="64">
        <v>45677.0</v>
      </c>
      <c r="E204" s="64">
        <f t="shared" si="45"/>
        <v>45684</v>
      </c>
      <c r="F204" s="66">
        <f t="shared" si="46"/>
        <v>45705</v>
      </c>
      <c r="G204" s="80" t="s">
        <v>14</v>
      </c>
      <c r="H204" s="68"/>
      <c r="I204" s="69"/>
      <c r="J204" s="44" t="str">
        <f t="shared" si="3"/>
        <v/>
      </c>
      <c r="K204" s="44" t="str">
        <f t="shared" si="4"/>
        <v/>
      </c>
      <c r="L204" s="68">
        <v>16.0</v>
      </c>
      <c r="M204" s="69">
        <v>48.0</v>
      </c>
      <c r="N204" s="44">
        <f t="shared" si="5"/>
        <v>17</v>
      </c>
      <c r="O204" s="44">
        <f t="shared" si="6"/>
        <v>17</v>
      </c>
      <c r="P204" s="70">
        <v>138.0</v>
      </c>
      <c r="Q204" s="80" t="s">
        <v>122</v>
      </c>
      <c r="R204" s="82">
        <v>37.05</v>
      </c>
      <c r="S204" s="31"/>
    </row>
    <row r="205">
      <c r="A205" s="37" t="s">
        <v>48</v>
      </c>
      <c r="B205" s="77" t="s">
        <v>100</v>
      </c>
      <c r="C205" s="44"/>
      <c r="D205" s="64">
        <v>45678.0</v>
      </c>
      <c r="E205" s="64">
        <f t="shared" ref="E205:E207" si="47">D205+7</f>
        <v>45685</v>
      </c>
      <c r="F205" s="64">
        <f t="shared" ref="F205:F207" si="48">D205+28</f>
        <v>45706</v>
      </c>
      <c r="G205" s="96" t="s">
        <v>110</v>
      </c>
      <c r="H205" s="68">
        <v>55.0</v>
      </c>
      <c r="I205" s="69">
        <v>77.0</v>
      </c>
      <c r="J205" s="44">
        <f t="shared" si="3"/>
        <v>12</v>
      </c>
      <c r="K205" s="44">
        <f t="shared" si="4"/>
        <v>12</v>
      </c>
      <c r="L205" s="68">
        <v>174.0</v>
      </c>
      <c r="M205" s="69">
        <v>180.0</v>
      </c>
      <c r="N205" s="44">
        <f t="shared" si="5"/>
        <v>4</v>
      </c>
      <c r="O205" s="44">
        <f t="shared" si="6"/>
        <v>4</v>
      </c>
      <c r="P205" s="70"/>
      <c r="Q205" s="71"/>
      <c r="R205" s="71"/>
      <c r="S205" s="31"/>
    </row>
    <row r="206">
      <c r="A206" s="37" t="s">
        <v>48</v>
      </c>
      <c r="B206" s="77" t="s">
        <v>100</v>
      </c>
      <c r="C206" s="44"/>
      <c r="D206" s="64">
        <v>45678.0</v>
      </c>
      <c r="E206" s="64">
        <f t="shared" si="47"/>
        <v>45685</v>
      </c>
      <c r="F206" s="64">
        <f t="shared" si="48"/>
        <v>45706</v>
      </c>
      <c r="G206" s="96" t="s">
        <v>110</v>
      </c>
      <c r="H206" s="68">
        <v>99.0</v>
      </c>
      <c r="I206" s="69">
        <v>127.0</v>
      </c>
      <c r="J206" s="44">
        <f t="shared" si="3"/>
        <v>15</v>
      </c>
      <c r="K206" s="44">
        <f t="shared" si="4"/>
        <v>15</v>
      </c>
      <c r="L206" s="68">
        <v>184.0</v>
      </c>
      <c r="M206" s="69">
        <v>236.0</v>
      </c>
      <c r="N206" s="44">
        <f t="shared" si="5"/>
        <v>27</v>
      </c>
      <c r="O206" s="44">
        <f t="shared" si="6"/>
        <v>27</v>
      </c>
      <c r="P206" s="70"/>
      <c r="Q206" s="71"/>
      <c r="R206" s="71"/>
      <c r="S206" s="31"/>
    </row>
    <row r="207">
      <c r="A207" s="37" t="s">
        <v>48</v>
      </c>
      <c r="B207" s="100" t="s">
        <v>100</v>
      </c>
      <c r="C207" s="101"/>
      <c r="D207" s="64">
        <v>45678.0</v>
      </c>
      <c r="E207" s="64">
        <f t="shared" si="47"/>
        <v>45685</v>
      </c>
      <c r="F207" s="64">
        <f t="shared" si="48"/>
        <v>45706</v>
      </c>
      <c r="G207" s="96" t="s">
        <v>110</v>
      </c>
      <c r="H207" s="68">
        <v>131.0</v>
      </c>
      <c r="I207" s="69">
        <v>171.0</v>
      </c>
      <c r="J207" s="44">
        <f t="shared" si="3"/>
        <v>21</v>
      </c>
      <c r="K207" s="44">
        <f t="shared" si="4"/>
        <v>21</v>
      </c>
      <c r="L207" s="68"/>
      <c r="M207" s="69"/>
      <c r="N207" s="44" t="str">
        <f t="shared" si="5"/>
        <v/>
      </c>
      <c r="O207" s="44" t="str">
        <f t="shared" si="6"/>
        <v/>
      </c>
      <c r="P207" s="70"/>
      <c r="Q207" s="71"/>
      <c r="R207" s="71"/>
      <c r="S207" s="31"/>
    </row>
    <row r="208">
      <c r="A208" s="37" t="s">
        <v>48</v>
      </c>
      <c r="B208" s="77" t="s">
        <v>100</v>
      </c>
      <c r="C208" s="44"/>
      <c r="D208" s="64">
        <v>45678.0</v>
      </c>
      <c r="E208" s="64">
        <f t="shared" ref="E208:E214" si="49">D208+7</f>
        <v>45685</v>
      </c>
      <c r="F208" s="66">
        <f t="shared" ref="F208:F214" si="50">D208+28</f>
        <v>45706</v>
      </c>
      <c r="G208" s="80" t="s">
        <v>99</v>
      </c>
      <c r="H208" s="68">
        <v>2465.0</v>
      </c>
      <c r="I208" s="69">
        <v>2535.0</v>
      </c>
      <c r="J208" s="44">
        <f t="shared" si="3"/>
        <v>36</v>
      </c>
      <c r="K208" s="44">
        <f t="shared" si="4"/>
        <v>36</v>
      </c>
      <c r="L208" s="68"/>
      <c r="M208" s="69" t="s">
        <v>121</v>
      </c>
      <c r="N208" s="44" t="str">
        <f t="shared" si="5"/>
        <v/>
      </c>
      <c r="O208" s="44" t="str">
        <f t="shared" si="6"/>
        <v/>
      </c>
      <c r="P208" s="70">
        <v>141.0</v>
      </c>
      <c r="Q208" s="88"/>
      <c r="R208" s="88"/>
      <c r="S208" s="31"/>
    </row>
    <row r="209">
      <c r="A209" s="37" t="s">
        <v>48</v>
      </c>
      <c r="B209" s="77" t="s">
        <v>100</v>
      </c>
      <c r="C209" s="44"/>
      <c r="D209" s="64">
        <v>45678.0</v>
      </c>
      <c r="E209" s="64">
        <f t="shared" si="49"/>
        <v>45685</v>
      </c>
      <c r="F209" s="66">
        <f t="shared" si="50"/>
        <v>45706</v>
      </c>
      <c r="G209" s="80" t="s">
        <v>14</v>
      </c>
      <c r="H209" s="68">
        <v>17.0</v>
      </c>
      <c r="I209" s="69">
        <v>47.0</v>
      </c>
      <c r="J209" s="44">
        <f t="shared" si="3"/>
        <v>16</v>
      </c>
      <c r="K209" s="44">
        <f t="shared" si="4"/>
        <v>16</v>
      </c>
      <c r="L209" s="68">
        <v>50.0</v>
      </c>
      <c r="M209" s="69">
        <v>104.0</v>
      </c>
      <c r="N209" s="44">
        <f t="shared" si="5"/>
        <v>28</v>
      </c>
      <c r="O209" s="44">
        <f t="shared" si="6"/>
        <v>28</v>
      </c>
      <c r="P209" s="70">
        <v>143.0</v>
      </c>
      <c r="Q209" s="80" t="s">
        <v>123</v>
      </c>
      <c r="R209" s="71"/>
      <c r="S209" s="31"/>
    </row>
    <row r="210">
      <c r="A210" s="37" t="s">
        <v>48</v>
      </c>
      <c r="B210" s="77" t="s">
        <v>100</v>
      </c>
      <c r="C210" s="44"/>
      <c r="D210" s="64">
        <v>45679.0</v>
      </c>
      <c r="E210" s="64">
        <f t="shared" si="49"/>
        <v>45686</v>
      </c>
      <c r="F210" s="66">
        <f t="shared" si="50"/>
        <v>45707</v>
      </c>
      <c r="G210" s="80" t="s">
        <v>99</v>
      </c>
      <c r="H210" s="68">
        <v>2561.0</v>
      </c>
      <c r="I210" s="69">
        <v>2613.0</v>
      </c>
      <c r="J210" s="44">
        <f t="shared" si="3"/>
        <v>27</v>
      </c>
      <c r="K210" s="44">
        <f t="shared" si="4"/>
        <v>27</v>
      </c>
      <c r="L210" s="68">
        <v>2466.0</v>
      </c>
      <c r="M210" s="69">
        <v>2502.0</v>
      </c>
      <c r="N210" s="44">
        <f t="shared" si="5"/>
        <v>19</v>
      </c>
      <c r="O210" s="44">
        <f t="shared" si="6"/>
        <v>19</v>
      </c>
      <c r="P210" s="70">
        <v>144.0</v>
      </c>
      <c r="Q210" s="88"/>
      <c r="R210" s="88"/>
      <c r="S210" s="31"/>
    </row>
    <row r="211">
      <c r="A211" s="37" t="s">
        <v>48</v>
      </c>
      <c r="B211" s="77" t="s">
        <v>100</v>
      </c>
      <c r="C211" s="44"/>
      <c r="D211" s="64">
        <v>45679.0</v>
      </c>
      <c r="E211" s="64">
        <f t="shared" si="49"/>
        <v>45686</v>
      </c>
      <c r="F211" s="66">
        <f t="shared" si="50"/>
        <v>45707</v>
      </c>
      <c r="G211" s="80" t="s">
        <v>14</v>
      </c>
      <c r="H211" s="68">
        <v>49.0</v>
      </c>
      <c r="I211" s="69">
        <v>61.0</v>
      </c>
      <c r="J211" s="44">
        <f t="shared" si="3"/>
        <v>7</v>
      </c>
      <c r="K211" s="44">
        <f t="shared" si="4"/>
        <v>7</v>
      </c>
      <c r="L211" s="68">
        <v>106.0</v>
      </c>
      <c r="M211" s="69">
        <v>162.0</v>
      </c>
      <c r="N211" s="44">
        <f t="shared" si="5"/>
        <v>29</v>
      </c>
      <c r="O211" s="44">
        <f t="shared" si="6"/>
        <v>29</v>
      </c>
      <c r="P211" s="70">
        <v>145.0</v>
      </c>
      <c r="Q211" s="80" t="s">
        <v>123</v>
      </c>
      <c r="R211" s="71"/>
      <c r="S211" s="31"/>
    </row>
    <row r="212">
      <c r="A212" s="37" t="s">
        <v>48</v>
      </c>
      <c r="B212" s="77" t="s">
        <v>100</v>
      </c>
      <c r="C212" s="44"/>
      <c r="D212" s="64">
        <v>45680.0</v>
      </c>
      <c r="E212" s="64">
        <f t="shared" si="49"/>
        <v>45687</v>
      </c>
      <c r="F212" s="66">
        <f t="shared" si="50"/>
        <v>45708</v>
      </c>
      <c r="G212" s="80" t="s">
        <v>99</v>
      </c>
      <c r="H212" s="68">
        <v>2615.0</v>
      </c>
      <c r="I212" s="69">
        <v>2625.0</v>
      </c>
      <c r="J212" s="44">
        <f t="shared" si="3"/>
        <v>6</v>
      </c>
      <c r="K212" s="44">
        <f t="shared" si="4"/>
        <v>6</v>
      </c>
      <c r="L212" s="68">
        <v>2504.0</v>
      </c>
      <c r="M212" s="69">
        <v>2534.0</v>
      </c>
      <c r="N212" s="44">
        <f t="shared" si="5"/>
        <v>16</v>
      </c>
      <c r="O212" s="44">
        <f t="shared" si="6"/>
        <v>16</v>
      </c>
      <c r="P212" s="70">
        <v>147.0</v>
      </c>
      <c r="Q212" s="88"/>
      <c r="R212" s="88"/>
      <c r="S212" s="31"/>
    </row>
    <row r="213">
      <c r="A213" s="37" t="s">
        <v>48</v>
      </c>
      <c r="B213" s="77" t="s">
        <v>100</v>
      </c>
      <c r="C213" s="44"/>
      <c r="D213" s="64">
        <v>45680.0</v>
      </c>
      <c r="E213" s="64">
        <f t="shared" si="49"/>
        <v>45687</v>
      </c>
      <c r="F213" s="66">
        <f t="shared" si="50"/>
        <v>45708</v>
      </c>
      <c r="G213" s="80" t="s">
        <v>8</v>
      </c>
      <c r="H213" s="68">
        <v>395.0</v>
      </c>
      <c r="I213" s="69">
        <v>399.0</v>
      </c>
      <c r="J213" s="44">
        <f t="shared" si="3"/>
        <v>3</v>
      </c>
      <c r="K213" s="44">
        <f t="shared" si="4"/>
        <v>3</v>
      </c>
      <c r="L213" s="68">
        <v>342.0</v>
      </c>
      <c r="M213" s="69">
        <v>376.0</v>
      </c>
      <c r="N213" s="44">
        <f t="shared" si="5"/>
        <v>18</v>
      </c>
      <c r="O213" s="44">
        <f t="shared" si="6"/>
        <v>18</v>
      </c>
      <c r="P213" s="70">
        <v>148.0</v>
      </c>
      <c r="Q213" s="88"/>
      <c r="R213" s="88"/>
      <c r="S213" s="31"/>
    </row>
    <row r="214">
      <c r="A214" s="37" t="s">
        <v>48</v>
      </c>
      <c r="B214" s="77" t="s">
        <v>100</v>
      </c>
      <c r="C214" s="44"/>
      <c r="D214" s="64">
        <v>45680.0</v>
      </c>
      <c r="E214" s="64">
        <f t="shared" si="49"/>
        <v>45687</v>
      </c>
      <c r="F214" s="66">
        <f t="shared" si="50"/>
        <v>45708</v>
      </c>
      <c r="G214" s="80" t="s">
        <v>14</v>
      </c>
      <c r="H214" s="68">
        <v>63.0</v>
      </c>
      <c r="I214" s="69">
        <v>91.0</v>
      </c>
      <c r="J214" s="44">
        <f t="shared" si="3"/>
        <v>15</v>
      </c>
      <c r="K214" s="44">
        <f t="shared" si="4"/>
        <v>15</v>
      </c>
      <c r="L214" s="68"/>
      <c r="M214" s="69"/>
      <c r="N214" s="44" t="str">
        <f t="shared" si="5"/>
        <v/>
      </c>
      <c r="O214" s="44" t="str">
        <f t="shared" si="6"/>
        <v/>
      </c>
      <c r="P214" s="70">
        <v>146.0</v>
      </c>
      <c r="Q214" s="80" t="s">
        <v>124</v>
      </c>
      <c r="R214" s="71"/>
      <c r="S214" s="31"/>
    </row>
    <row r="215">
      <c r="A215" s="37" t="s">
        <v>48</v>
      </c>
      <c r="B215" s="77" t="s">
        <v>100</v>
      </c>
      <c r="C215" s="44"/>
      <c r="D215" s="64">
        <v>45687.0</v>
      </c>
      <c r="E215" s="64">
        <f>D215+7</f>
        <v>45694</v>
      </c>
      <c r="F215" s="64">
        <f>D215+28</f>
        <v>45715</v>
      </c>
      <c r="G215" s="96" t="s">
        <v>110</v>
      </c>
      <c r="H215" s="68">
        <v>249.0</v>
      </c>
      <c r="I215" s="69">
        <v>299.0</v>
      </c>
      <c r="J215" s="44">
        <f t="shared" si="3"/>
        <v>26</v>
      </c>
      <c r="K215" s="44">
        <f t="shared" si="4"/>
        <v>26</v>
      </c>
      <c r="L215" s="68">
        <v>302.0</v>
      </c>
      <c r="M215" s="69">
        <v>390.0</v>
      </c>
      <c r="N215" s="44">
        <f t="shared" si="5"/>
        <v>45</v>
      </c>
      <c r="O215" s="44">
        <f t="shared" si="6"/>
        <v>45</v>
      </c>
      <c r="P215" s="70"/>
      <c r="Q215" s="71"/>
      <c r="R215" s="71"/>
      <c r="S215" s="31"/>
    </row>
    <row r="216">
      <c r="A216" s="37" t="s">
        <v>48</v>
      </c>
      <c r="B216" s="77" t="s">
        <v>100</v>
      </c>
      <c r="C216" s="44"/>
      <c r="D216" s="64">
        <v>45687.0</v>
      </c>
      <c r="E216" s="64">
        <f t="shared" ref="E216:E226" si="51">D216+7</f>
        <v>45694</v>
      </c>
      <c r="F216" s="66">
        <f t="shared" ref="F216:F226" si="52">D216+28</f>
        <v>45715</v>
      </c>
      <c r="G216" s="80" t="s">
        <v>99</v>
      </c>
      <c r="H216" s="68">
        <v>2627.0</v>
      </c>
      <c r="I216" s="69">
        <v>2687.0</v>
      </c>
      <c r="J216" s="44">
        <f t="shared" si="3"/>
        <v>31</v>
      </c>
      <c r="K216" s="44">
        <f t="shared" si="4"/>
        <v>31</v>
      </c>
      <c r="L216" s="68">
        <v>2562.0</v>
      </c>
      <c r="M216" s="69">
        <v>2606.0</v>
      </c>
      <c r="N216" s="44">
        <f t="shared" si="5"/>
        <v>23</v>
      </c>
      <c r="O216" s="44">
        <f t="shared" si="6"/>
        <v>23</v>
      </c>
      <c r="P216" s="70">
        <v>150.0</v>
      </c>
      <c r="Q216" s="88"/>
      <c r="R216" s="88"/>
      <c r="S216" s="31"/>
    </row>
    <row r="217">
      <c r="A217" s="37" t="s">
        <v>48</v>
      </c>
      <c r="B217" s="77" t="s">
        <v>100</v>
      </c>
      <c r="C217" s="44"/>
      <c r="D217" s="64">
        <v>45689.0</v>
      </c>
      <c r="E217" s="64">
        <f t="shared" si="51"/>
        <v>45696</v>
      </c>
      <c r="F217" s="66">
        <f t="shared" si="52"/>
        <v>45717</v>
      </c>
      <c r="G217" s="80" t="s">
        <v>99</v>
      </c>
      <c r="H217" s="68">
        <v>2689.0</v>
      </c>
      <c r="I217" s="69">
        <v>2737.0</v>
      </c>
      <c r="J217" s="44">
        <f t="shared" si="3"/>
        <v>25</v>
      </c>
      <c r="K217" s="44">
        <f t="shared" si="4"/>
        <v>25</v>
      </c>
      <c r="L217" s="68">
        <v>2608.0</v>
      </c>
      <c r="M217" s="69">
        <v>2666.0</v>
      </c>
      <c r="N217" s="44">
        <f t="shared" si="5"/>
        <v>30</v>
      </c>
      <c r="O217" s="44">
        <f t="shared" si="6"/>
        <v>30</v>
      </c>
      <c r="P217" s="70">
        <v>151.0</v>
      </c>
      <c r="Q217" s="88"/>
      <c r="R217" s="88"/>
      <c r="S217" s="31"/>
    </row>
    <row r="218">
      <c r="A218" s="37" t="s">
        <v>48</v>
      </c>
      <c r="B218" s="77" t="s">
        <v>100</v>
      </c>
      <c r="C218" s="44"/>
      <c r="D218" s="64">
        <v>45689.0</v>
      </c>
      <c r="E218" s="64">
        <f t="shared" si="51"/>
        <v>45696</v>
      </c>
      <c r="F218" s="66">
        <f t="shared" si="52"/>
        <v>45717</v>
      </c>
      <c r="G218" s="80" t="s">
        <v>8</v>
      </c>
      <c r="H218" s="68">
        <v>401.0</v>
      </c>
      <c r="I218" s="69">
        <v>539.0</v>
      </c>
      <c r="J218" s="44">
        <f t="shared" si="3"/>
        <v>70</v>
      </c>
      <c r="K218" s="44">
        <f t="shared" si="4"/>
        <v>70</v>
      </c>
      <c r="L218" s="68"/>
      <c r="M218" s="69"/>
      <c r="N218" s="44" t="str">
        <f t="shared" si="5"/>
        <v/>
      </c>
      <c r="O218" s="44" t="str">
        <f t="shared" si="6"/>
        <v/>
      </c>
      <c r="P218" s="70">
        <v>153.0</v>
      </c>
      <c r="Q218" s="88"/>
      <c r="R218" s="88"/>
      <c r="S218" s="31"/>
    </row>
    <row r="219">
      <c r="A219" s="37" t="s">
        <v>48</v>
      </c>
      <c r="B219" s="77" t="s">
        <v>100</v>
      </c>
      <c r="C219" s="44"/>
      <c r="D219" s="64">
        <v>45689.0</v>
      </c>
      <c r="E219" s="64">
        <f t="shared" si="51"/>
        <v>45696</v>
      </c>
      <c r="F219" s="66">
        <f t="shared" si="52"/>
        <v>45717</v>
      </c>
      <c r="G219" s="80" t="s">
        <v>14</v>
      </c>
      <c r="H219" s="68">
        <v>93.0</v>
      </c>
      <c r="I219" s="69">
        <v>141.0</v>
      </c>
      <c r="J219" s="44">
        <f t="shared" si="3"/>
        <v>25</v>
      </c>
      <c r="K219" s="44">
        <f t="shared" si="4"/>
        <v>25</v>
      </c>
      <c r="L219" s="68">
        <v>164.0</v>
      </c>
      <c r="M219" s="69">
        <v>182.0</v>
      </c>
      <c r="N219" s="44">
        <f t="shared" si="5"/>
        <v>10</v>
      </c>
      <c r="O219" s="44">
        <f t="shared" si="6"/>
        <v>10</v>
      </c>
      <c r="P219" s="70">
        <v>152.0</v>
      </c>
      <c r="Q219" s="88"/>
      <c r="R219" s="71"/>
      <c r="S219" s="31"/>
    </row>
    <row r="220">
      <c r="A220" s="37" t="s">
        <v>48</v>
      </c>
      <c r="B220" s="77" t="s">
        <v>100</v>
      </c>
      <c r="C220" s="44"/>
      <c r="D220" s="64">
        <v>45690.0</v>
      </c>
      <c r="E220" s="64">
        <f t="shared" si="51"/>
        <v>45697</v>
      </c>
      <c r="F220" s="66">
        <f t="shared" si="52"/>
        <v>45718</v>
      </c>
      <c r="G220" s="80" t="s">
        <v>99</v>
      </c>
      <c r="H220" s="68"/>
      <c r="I220" s="69"/>
      <c r="J220" s="44" t="str">
        <f t="shared" si="3"/>
        <v/>
      </c>
      <c r="K220" s="44" t="str">
        <f t="shared" si="4"/>
        <v/>
      </c>
      <c r="L220" s="68">
        <v>2668.0</v>
      </c>
      <c r="M220" s="69">
        <v>2736.0</v>
      </c>
      <c r="N220" s="44">
        <f t="shared" si="5"/>
        <v>35</v>
      </c>
      <c r="O220" s="44">
        <f t="shared" si="6"/>
        <v>35</v>
      </c>
      <c r="P220" s="70">
        <v>154.0</v>
      </c>
      <c r="Q220" s="88"/>
      <c r="R220" s="88"/>
      <c r="S220" s="31"/>
    </row>
    <row r="221">
      <c r="A221" s="37" t="s">
        <v>48</v>
      </c>
      <c r="B221" s="77" t="s">
        <v>100</v>
      </c>
      <c r="C221" s="44"/>
      <c r="D221" s="64">
        <v>45690.0</v>
      </c>
      <c r="E221" s="64">
        <f t="shared" si="51"/>
        <v>45697</v>
      </c>
      <c r="F221" s="66">
        <f t="shared" si="52"/>
        <v>45718</v>
      </c>
      <c r="G221" s="80" t="s">
        <v>14</v>
      </c>
      <c r="H221" s="68">
        <v>143.0</v>
      </c>
      <c r="I221" s="69">
        <v>173.0</v>
      </c>
      <c r="J221" s="44">
        <f t="shared" si="3"/>
        <v>16</v>
      </c>
      <c r="K221" s="44">
        <f t="shared" si="4"/>
        <v>16</v>
      </c>
      <c r="L221" s="68"/>
      <c r="M221" s="69"/>
      <c r="N221" s="44" t="str">
        <f t="shared" si="5"/>
        <v/>
      </c>
      <c r="O221" s="44" t="str">
        <f t="shared" si="6"/>
        <v/>
      </c>
      <c r="P221" s="70">
        <v>156.0</v>
      </c>
      <c r="Q221" s="88"/>
      <c r="R221" s="71"/>
      <c r="S221" s="31"/>
    </row>
    <row r="222">
      <c r="A222" s="37" t="s">
        <v>48</v>
      </c>
      <c r="B222" s="77" t="s">
        <v>100</v>
      </c>
      <c r="C222" s="44"/>
      <c r="D222" s="64">
        <v>45690.0</v>
      </c>
      <c r="E222" s="64">
        <f t="shared" si="51"/>
        <v>45697</v>
      </c>
      <c r="F222" s="66">
        <f t="shared" si="52"/>
        <v>45718</v>
      </c>
      <c r="G222" s="80" t="s">
        <v>14</v>
      </c>
      <c r="H222" s="68">
        <v>219.0</v>
      </c>
      <c r="I222" s="69">
        <v>233.0</v>
      </c>
      <c r="J222" s="44">
        <f t="shared" si="3"/>
        <v>8</v>
      </c>
      <c r="K222" s="44">
        <f t="shared" si="4"/>
        <v>8</v>
      </c>
      <c r="L222" s="68">
        <v>184.0</v>
      </c>
      <c r="M222" s="69">
        <v>216.0</v>
      </c>
      <c r="N222" s="44">
        <f t="shared" si="5"/>
        <v>17</v>
      </c>
      <c r="O222" s="44">
        <f t="shared" si="6"/>
        <v>17</v>
      </c>
      <c r="P222" s="70">
        <v>156.0</v>
      </c>
      <c r="Q222" s="88"/>
      <c r="R222" s="71"/>
      <c r="S222" s="31"/>
    </row>
    <row r="223">
      <c r="A223" s="37" t="s">
        <v>48</v>
      </c>
      <c r="B223" s="77" t="s">
        <v>125</v>
      </c>
      <c r="C223" s="44"/>
      <c r="D223" s="64">
        <v>45691.0</v>
      </c>
      <c r="E223" s="64">
        <f t="shared" si="51"/>
        <v>45698</v>
      </c>
      <c r="F223" s="66">
        <f t="shared" si="52"/>
        <v>45719</v>
      </c>
      <c r="G223" s="80" t="s">
        <v>8</v>
      </c>
      <c r="H223" s="68">
        <v>541.0</v>
      </c>
      <c r="I223" s="69">
        <v>583.0</v>
      </c>
      <c r="J223" s="44">
        <f t="shared" si="3"/>
        <v>22</v>
      </c>
      <c r="K223" s="44">
        <f t="shared" si="4"/>
        <v>22</v>
      </c>
      <c r="L223" s="68">
        <v>378.0</v>
      </c>
      <c r="M223" s="69">
        <v>506.0</v>
      </c>
      <c r="N223" s="44">
        <f t="shared" si="5"/>
        <v>65</v>
      </c>
      <c r="O223" s="44">
        <f t="shared" si="6"/>
        <v>65</v>
      </c>
      <c r="P223" s="70">
        <v>159.0</v>
      </c>
      <c r="Q223" s="88"/>
      <c r="R223" s="88"/>
      <c r="S223" s="31"/>
    </row>
    <row r="224">
      <c r="A224" s="37" t="s">
        <v>48</v>
      </c>
      <c r="B224" s="77" t="s">
        <v>125</v>
      </c>
      <c r="C224" s="44"/>
      <c r="D224" s="64">
        <v>45691.0</v>
      </c>
      <c r="E224" s="64">
        <f t="shared" si="51"/>
        <v>45698</v>
      </c>
      <c r="F224" s="66">
        <f t="shared" si="52"/>
        <v>45719</v>
      </c>
      <c r="G224" s="80" t="s">
        <v>16</v>
      </c>
      <c r="H224" s="68">
        <v>353.0</v>
      </c>
      <c r="I224" s="69">
        <v>431.0</v>
      </c>
      <c r="J224" s="44">
        <f t="shared" si="3"/>
        <v>40</v>
      </c>
      <c r="K224" s="44">
        <f t="shared" si="4"/>
        <v>40</v>
      </c>
      <c r="L224" s="68"/>
      <c r="M224" s="69"/>
      <c r="N224" s="44" t="str">
        <f t="shared" si="5"/>
        <v/>
      </c>
      <c r="O224" s="44" t="str">
        <f t="shared" si="6"/>
        <v/>
      </c>
      <c r="P224" s="70">
        <v>157.0</v>
      </c>
      <c r="Q224" s="71"/>
      <c r="R224" s="71"/>
      <c r="S224" s="31"/>
    </row>
    <row r="225">
      <c r="A225" s="37" t="s">
        <v>48</v>
      </c>
      <c r="B225" s="77" t="s">
        <v>125</v>
      </c>
      <c r="C225" s="44"/>
      <c r="D225" s="64">
        <v>45691.0</v>
      </c>
      <c r="E225" s="64">
        <f t="shared" si="51"/>
        <v>45698</v>
      </c>
      <c r="F225" s="66">
        <f t="shared" si="52"/>
        <v>45719</v>
      </c>
      <c r="G225" s="80" t="s">
        <v>14</v>
      </c>
      <c r="H225" s="68">
        <v>175.0</v>
      </c>
      <c r="I225" s="69">
        <v>209.0</v>
      </c>
      <c r="J225" s="44">
        <f t="shared" si="3"/>
        <v>18</v>
      </c>
      <c r="K225" s="44">
        <f t="shared" si="4"/>
        <v>18</v>
      </c>
      <c r="L225" s="68">
        <v>218.0</v>
      </c>
      <c r="M225" s="69">
        <v>218.0</v>
      </c>
      <c r="N225" s="44">
        <f t="shared" si="5"/>
        <v>1</v>
      </c>
      <c r="O225" s="44">
        <f t="shared" si="6"/>
        <v>1</v>
      </c>
      <c r="P225" s="70">
        <v>158.0</v>
      </c>
      <c r="Q225" s="88"/>
      <c r="R225" s="71"/>
      <c r="S225" s="31"/>
    </row>
    <row r="226">
      <c r="A226" s="37" t="s">
        <v>48</v>
      </c>
      <c r="B226" s="77" t="s">
        <v>125</v>
      </c>
      <c r="C226" s="44"/>
      <c r="D226" s="64">
        <v>45691.0</v>
      </c>
      <c r="E226" s="64">
        <f t="shared" si="51"/>
        <v>45698</v>
      </c>
      <c r="F226" s="66">
        <f t="shared" si="52"/>
        <v>45719</v>
      </c>
      <c r="G226" s="80" t="s">
        <v>14</v>
      </c>
      <c r="H226" s="68">
        <v>235.0</v>
      </c>
      <c r="I226" s="69">
        <v>277.0</v>
      </c>
      <c r="J226" s="44">
        <f t="shared" si="3"/>
        <v>22</v>
      </c>
      <c r="K226" s="44">
        <f t="shared" si="4"/>
        <v>22</v>
      </c>
      <c r="L226" s="68">
        <v>222.0</v>
      </c>
      <c r="M226" s="69">
        <v>230.0</v>
      </c>
      <c r="N226" s="44">
        <f t="shared" si="5"/>
        <v>5</v>
      </c>
      <c r="O226" s="44">
        <f t="shared" si="6"/>
        <v>5</v>
      </c>
      <c r="P226" s="70">
        <v>158.0</v>
      </c>
      <c r="Q226" s="88"/>
      <c r="R226" s="71"/>
      <c r="S226" s="31"/>
    </row>
    <row r="227">
      <c r="A227" s="37" t="s">
        <v>48</v>
      </c>
      <c r="B227" s="77" t="s">
        <v>125</v>
      </c>
      <c r="C227" s="44"/>
      <c r="D227" s="64">
        <v>45692.0</v>
      </c>
      <c r="E227" s="64">
        <v>45699.0</v>
      </c>
      <c r="F227" s="66">
        <v>45720.0</v>
      </c>
      <c r="G227" s="88" t="s">
        <v>8</v>
      </c>
      <c r="H227" s="68"/>
      <c r="I227" s="69"/>
      <c r="J227" s="44" t="str">
        <f t="shared" si="3"/>
        <v/>
      </c>
      <c r="K227" s="44" t="str">
        <f t="shared" si="4"/>
        <v/>
      </c>
      <c r="L227" s="68">
        <v>508.0</v>
      </c>
      <c r="M227" s="69">
        <v>582.0</v>
      </c>
      <c r="N227" s="44">
        <f t="shared" si="5"/>
        <v>38</v>
      </c>
      <c r="O227" s="44">
        <f t="shared" si="6"/>
        <v>38</v>
      </c>
      <c r="P227" s="70">
        <v>162.0</v>
      </c>
      <c r="Q227" s="88"/>
      <c r="R227" s="88"/>
      <c r="S227" s="31"/>
    </row>
    <row r="228">
      <c r="A228" s="37" t="s">
        <v>48</v>
      </c>
      <c r="B228" s="77" t="s">
        <v>125</v>
      </c>
      <c r="C228" s="44"/>
      <c r="D228" s="64">
        <v>45692.0</v>
      </c>
      <c r="E228" s="64">
        <f t="shared" ref="E228:E236" si="53">D228+7</f>
        <v>45699</v>
      </c>
      <c r="F228" s="66">
        <f t="shared" ref="F228:F236" si="54">D228+28</f>
        <v>45720</v>
      </c>
      <c r="G228" s="80" t="s">
        <v>16</v>
      </c>
      <c r="H228" s="68">
        <v>433.0</v>
      </c>
      <c r="I228" s="69">
        <v>471.0</v>
      </c>
      <c r="J228" s="44">
        <f t="shared" si="3"/>
        <v>20</v>
      </c>
      <c r="K228" s="44">
        <f t="shared" si="4"/>
        <v>20</v>
      </c>
      <c r="L228" s="68">
        <v>352.0</v>
      </c>
      <c r="M228" s="69">
        <v>398.0</v>
      </c>
      <c r="N228" s="44">
        <f t="shared" si="5"/>
        <v>24</v>
      </c>
      <c r="O228" s="44">
        <f t="shared" si="6"/>
        <v>24</v>
      </c>
      <c r="P228" s="70">
        <v>160.0</v>
      </c>
      <c r="Q228" s="71"/>
      <c r="R228" s="71"/>
      <c r="S228" s="31"/>
    </row>
    <row r="229">
      <c r="A229" s="37" t="s">
        <v>48</v>
      </c>
      <c r="B229" s="77" t="s">
        <v>125</v>
      </c>
      <c r="C229" s="44"/>
      <c r="D229" s="64">
        <v>45692.0</v>
      </c>
      <c r="E229" s="64">
        <f t="shared" si="53"/>
        <v>45699</v>
      </c>
      <c r="F229" s="66">
        <f t="shared" si="54"/>
        <v>45720</v>
      </c>
      <c r="G229" s="80" t="s">
        <v>14</v>
      </c>
      <c r="H229" s="68">
        <v>211.0</v>
      </c>
      <c r="I229" s="69">
        <v>217.0</v>
      </c>
      <c r="J229" s="44">
        <f t="shared" si="3"/>
        <v>4</v>
      </c>
      <c r="K229" s="44">
        <f t="shared" si="4"/>
        <v>4</v>
      </c>
      <c r="L229" s="68">
        <v>232.0</v>
      </c>
      <c r="M229" s="69">
        <v>254.0</v>
      </c>
      <c r="N229" s="44">
        <f t="shared" si="5"/>
        <v>12</v>
      </c>
      <c r="O229" s="44">
        <f t="shared" si="6"/>
        <v>12</v>
      </c>
      <c r="P229" s="70">
        <v>161.0</v>
      </c>
      <c r="Q229" s="88"/>
      <c r="R229" s="71"/>
      <c r="S229" s="31"/>
    </row>
    <row r="230">
      <c r="A230" s="37" t="s">
        <v>48</v>
      </c>
      <c r="B230" s="77" t="s">
        <v>125</v>
      </c>
      <c r="C230" s="44"/>
      <c r="D230" s="64">
        <v>45692.0</v>
      </c>
      <c r="E230" s="64">
        <f t="shared" si="53"/>
        <v>45699</v>
      </c>
      <c r="F230" s="66">
        <f t="shared" si="54"/>
        <v>45720</v>
      </c>
      <c r="G230" s="80" t="s">
        <v>14</v>
      </c>
      <c r="H230" s="68">
        <v>321.0</v>
      </c>
      <c r="I230" s="69">
        <v>333.0</v>
      </c>
      <c r="J230" s="44">
        <f t="shared" si="3"/>
        <v>7</v>
      </c>
      <c r="K230" s="44">
        <f t="shared" si="4"/>
        <v>7</v>
      </c>
      <c r="L230" s="68">
        <v>278.0</v>
      </c>
      <c r="M230" s="69">
        <v>318.0</v>
      </c>
      <c r="N230" s="44">
        <f t="shared" si="5"/>
        <v>21</v>
      </c>
      <c r="O230" s="44">
        <f t="shared" si="6"/>
        <v>21</v>
      </c>
      <c r="P230" s="70">
        <v>161.0</v>
      </c>
      <c r="Q230" s="80"/>
      <c r="R230" s="71"/>
      <c r="S230" s="31"/>
    </row>
    <row r="231">
      <c r="A231" s="37" t="s">
        <v>48</v>
      </c>
      <c r="B231" s="77" t="s">
        <v>125</v>
      </c>
      <c r="C231" s="44"/>
      <c r="D231" s="64">
        <v>45692.0</v>
      </c>
      <c r="E231" s="64">
        <f t="shared" si="53"/>
        <v>45699</v>
      </c>
      <c r="F231" s="66">
        <f t="shared" si="54"/>
        <v>45720</v>
      </c>
      <c r="G231" s="80" t="s">
        <v>14</v>
      </c>
      <c r="H231" s="68"/>
      <c r="I231" s="69"/>
      <c r="J231" s="44" t="str">
        <f t="shared" si="3"/>
        <v/>
      </c>
      <c r="K231" s="44" t="str">
        <f t="shared" si="4"/>
        <v/>
      </c>
      <c r="L231" s="68">
        <v>220.0</v>
      </c>
      <c r="M231" s="69">
        <v>220.0</v>
      </c>
      <c r="N231" s="44">
        <f t="shared" si="5"/>
        <v>1</v>
      </c>
      <c r="O231" s="44">
        <f t="shared" si="6"/>
        <v>1</v>
      </c>
      <c r="P231" s="70">
        <v>161.0</v>
      </c>
      <c r="Q231" s="88"/>
      <c r="R231" s="71"/>
      <c r="S231" s="31"/>
    </row>
    <row r="232">
      <c r="A232" s="37" t="s">
        <v>48</v>
      </c>
      <c r="B232" s="77" t="s">
        <v>125</v>
      </c>
      <c r="C232" s="44"/>
      <c r="D232" s="64">
        <v>45693.0</v>
      </c>
      <c r="E232" s="64">
        <f t="shared" si="53"/>
        <v>45700</v>
      </c>
      <c r="F232" s="66">
        <f t="shared" si="54"/>
        <v>45721</v>
      </c>
      <c r="G232" s="80" t="s">
        <v>16</v>
      </c>
      <c r="H232" s="68">
        <v>473.0</v>
      </c>
      <c r="I232" s="69">
        <v>533.0</v>
      </c>
      <c r="J232" s="44">
        <f t="shared" si="3"/>
        <v>31</v>
      </c>
      <c r="K232" s="44">
        <f t="shared" si="4"/>
        <v>31</v>
      </c>
      <c r="L232" s="68">
        <v>400.0</v>
      </c>
      <c r="M232" s="69">
        <v>430.0</v>
      </c>
      <c r="N232" s="44">
        <f t="shared" si="5"/>
        <v>16</v>
      </c>
      <c r="O232" s="44">
        <f t="shared" si="6"/>
        <v>16</v>
      </c>
      <c r="P232" s="70">
        <v>164.0</v>
      </c>
      <c r="Q232" s="71"/>
      <c r="R232" s="71"/>
      <c r="S232" s="31"/>
    </row>
    <row r="233">
      <c r="A233" s="37" t="s">
        <v>48</v>
      </c>
      <c r="B233" s="77" t="s">
        <v>125</v>
      </c>
      <c r="C233" s="44"/>
      <c r="D233" s="64">
        <v>45693.0</v>
      </c>
      <c r="E233" s="64">
        <f t="shared" si="53"/>
        <v>45700</v>
      </c>
      <c r="F233" s="66">
        <f t="shared" si="54"/>
        <v>45721</v>
      </c>
      <c r="G233" s="80" t="s">
        <v>14</v>
      </c>
      <c r="H233" s="68">
        <v>279.0</v>
      </c>
      <c r="I233" s="69">
        <v>309.0</v>
      </c>
      <c r="J233" s="44">
        <f t="shared" si="3"/>
        <v>16</v>
      </c>
      <c r="K233" s="44">
        <f t="shared" si="4"/>
        <v>16</v>
      </c>
      <c r="L233" s="68">
        <v>340.0</v>
      </c>
      <c r="M233" s="69">
        <v>352.0</v>
      </c>
      <c r="N233" s="44">
        <f t="shared" si="5"/>
        <v>7</v>
      </c>
      <c r="O233" s="44">
        <f t="shared" si="6"/>
        <v>7</v>
      </c>
      <c r="P233" s="70">
        <v>163.0</v>
      </c>
      <c r="Q233" s="88"/>
      <c r="R233" s="71"/>
      <c r="S233" s="31"/>
    </row>
    <row r="234">
      <c r="A234" s="37" t="s">
        <v>48</v>
      </c>
      <c r="B234" s="77" t="s">
        <v>125</v>
      </c>
      <c r="C234" s="44"/>
      <c r="D234" s="64">
        <v>45693.0</v>
      </c>
      <c r="E234" s="64">
        <f t="shared" si="53"/>
        <v>45700</v>
      </c>
      <c r="F234" s="66">
        <f t="shared" si="54"/>
        <v>45721</v>
      </c>
      <c r="G234" s="80" t="s">
        <v>14</v>
      </c>
      <c r="H234" s="68">
        <v>335.0</v>
      </c>
      <c r="I234" s="69">
        <v>337.0</v>
      </c>
      <c r="J234" s="44">
        <f t="shared" si="3"/>
        <v>2</v>
      </c>
      <c r="K234" s="44">
        <f t="shared" si="4"/>
        <v>2</v>
      </c>
      <c r="L234" s="68">
        <v>256.0</v>
      </c>
      <c r="M234" s="69">
        <v>276.0</v>
      </c>
      <c r="N234" s="44">
        <f t="shared" si="5"/>
        <v>11</v>
      </c>
      <c r="O234" s="44">
        <f t="shared" si="6"/>
        <v>11</v>
      </c>
      <c r="P234" s="70">
        <v>163.0</v>
      </c>
      <c r="Q234" s="88"/>
      <c r="R234" s="71"/>
      <c r="S234" s="31"/>
    </row>
    <row r="235">
      <c r="A235" s="37" t="s">
        <v>48</v>
      </c>
      <c r="B235" s="77" t="s">
        <v>125</v>
      </c>
      <c r="C235" s="44"/>
      <c r="D235" s="64">
        <v>45693.0</v>
      </c>
      <c r="E235" s="64">
        <f t="shared" si="53"/>
        <v>45700</v>
      </c>
      <c r="F235" s="66">
        <f t="shared" si="54"/>
        <v>45721</v>
      </c>
      <c r="G235" s="80" t="s">
        <v>12</v>
      </c>
      <c r="H235" s="68">
        <v>1.0</v>
      </c>
      <c r="I235" s="69">
        <v>65.0</v>
      </c>
      <c r="J235" s="44">
        <f t="shared" si="3"/>
        <v>33</v>
      </c>
      <c r="K235" s="44">
        <f t="shared" si="4"/>
        <v>33</v>
      </c>
      <c r="L235" s="68">
        <v>68.0</v>
      </c>
      <c r="M235" s="69">
        <v>88.0</v>
      </c>
      <c r="N235" s="44">
        <f t="shared" si="5"/>
        <v>11</v>
      </c>
      <c r="O235" s="44">
        <f t="shared" si="6"/>
        <v>11</v>
      </c>
      <c r="P235" s="70">
        <v>165.0</v>
      </c>
      <c r="Q235" s="71"/>
      <c r="R235" s="71"/>
      <c r="S235" s="31"/>
    </row>
    <row r="236">
      <c r="A236" s="37" t="s">
        <v>48</v>
      </c>
      <c r="B236" s="77" t="s">
        <v>125</v>
      </c>
      <c r="C236" s="44"/>
      <c r="D236" s="64">
        <v>45693.0</v>
      </c>
      <c r="E236" s="64">
        <f t="shared" si="53"/>
        <v>45700</v>
      </c>
      <c r="F236" s="66">
        <f t="shared" si="54"/>
        <v>45721</v>
      </c>
      <c r="G236" s="80" t="s">
        <v>12</v>
      </c>
      <c r="H236" s="68">
        <v>91.0</v>
      </c>
      <c r="I236" s="69">
        <v>131.0</v>
      </c>
      <c r="J236" s="44">
        <f t="shared" si="3"/>
        <v>21</v>
      </c>
      <c r="K236" s="44">
        <f t="shared" si="4"/>
        <v>21</v>
      </c>
      <c r="L236" s="68"/>
      <c r="M236" s="69"/>
      <c r="N236" s="44" t="str">
        <f t="shared" si="5"/>
        <v/>
      </c>
      <c r="O236" s="44" t="str">
        <f t="shared" si="6"/>
        <v/>
      </c>
      <c r="P236" s="70">
        <v>165.0</v>
      </c>
      <c r="Q236" s="71"/>
      <c r="R236" s="71"/>
      <c r="S236" s="31"/>
    </row>
    <row r="237">
      <c r="A237" s="37" t="s">
        <v>48</v>
      </c>
      <c r="B237" s="77" t="s">
        <v>125</v>
      </c>
      <c r="C237" s="44"/>
      <c r="D237" s="64">
        <v>45694.0</v>
      </c>
      <c r="E237" s="64">
        <v>45701.0</v>
      </c>
      <c r="F237" s="66">
        <v>45722.0</v>
      </c>
      <c r="G237" s="88" t="s">
        <v>16</v>
      </c>
      <c r="H237" s="68">
        <v>535.0</v>
      </c>
      <c r="I237" s="69">
        <v>589.0</v>
      </c>
      <c r="J237" s="44">
        <f t="shared" si="3"/>
        <v>28</v>
      </c>
      <c r="K237" s="44">
        <f t="shared" si="4"/>
        <v>28</v>
      </c>
      <c r="L237" s="68">
        <v>432.0</v>
      </c>
      <c r="M237" s="69">
        <v>474.0</v>
      </c>
      <c r="N237" s="44">
        <f t="shared" si="5"/>
        <v>22</v>
      </c>
      <c r="O237" s="44">
        <f t="shared" si="6"/>
        <v>22</v>
      </c>
      <c r="P237" s="70">
        <v>166.0</v>
      </c>
      <c r="Q237" s="71"/>
      <c r="R237" s="71"/>
      <c r="S237" s="31"/>
    </row>
    <row r="238">
      <c r="A238" s="37" t="s">
        <v>48</v>
      </c>
      <c r="B238" s="77" t="s">
        <v>125</v>
      </c>
      <c r="C238" s="44"/>
      <c r="D238" s="64">
        <v>45694.0</v>
      </c>
      <c r="E238" s="64">
        <v>45701.0</v>
      </c>
      <c r="F238" s="66">
        <v>45722.0</v>
      </c>
      <c r="G238" s="88" t="s">
        <v>14</v>
      </c>
      <c r="H238" s="68">
        <v>9.0</v>
      </c>
      <c r="I238" s="69">
        <v>15.0</v>
      </c>
      <c r="J238" s="44">
        <f t="shared" si="3"/>
        <v>4</v>
      </c>
      <c r="K238" s="44">
        <f t="shared" si="4"/>
        <v>4</v>
      </c>
      <c r="L238" s="68">
        <v>320.0</v>
      </c>
      <c r="M238" s="69">
        <v>338.0</v>
      </c>
      <c r="N238" s="44">
        <f t="shared" si="5"/>
        <v>10</v>
      </c>
      <c r="O238" s="44">
        <f t="shared" si="6"/>
        <v>10</v>
      </c>
      <c r="P238" s="70">
        <v>168.0</v>
      </c>
      <c r="Q238" s="88"/>
      <c r="R238" s="71"/>
      <c r="S238" s="31"/>
    </row>
    <row r="239">
      <c r="A239" s="37" t="s">
        <v>48</v>
      </c>
      <c r="B239" s="77" t="s">
        <v>125</v>
      </c>
      <c r="C239" s="44"/>
      <c r="D239" s="64">
        <v>45694.0</v>
      </c>
      <c r="E239" s="64">
        <v>45701.0</v>
      </c>
      <c r="F239" s="66">
        <v>45722.0</v>
      </c>
      <c r="G239" s="88" t="s">
        <v>14</v>
      </c>
      <c r="H239" s="68">
        <v>313.0</v>
      </c>
      <c r="I239" s="69">
        <v>317.0</v>
      </c>
      <c r="J239" s="44">
        <f t="shared" si="3"/>
        <v>3</v>
      </c>
      <c r="K239" s="44">
        <f t="shared" si="4"/>
        <v>3</v>
      </c>
      <c r="L239" s="68">
        <v>356.0</v>
      </c>
      <c r="M239" s="69">
        <v>376.0</v>
      </c>
      <c r="N239" s="44">
        <f t="shared" si="5"/>
        <v>11</v>
      </c>
      <c r="O239" s="44">
        <f t="shared" si="6"/>
        <v>11</v>
      </c>
      <c r="P239" s="70">
        <v>168.0</v>
      </c>
      <c r="Q239" s="88"/>
      <c r="R239" s="71"/>
      <c r="S239" s="31"/>
    </row>
    <row r="240">
      <c r="A240" s="37" t="s">
        <v>48</v>
      </c>
      <c r="B240" s="77" t="s">
        <v>125</v>
      </c>
      <c r="C240" s="44"/>
      <c r="D240" s="64">
        <v>45694.0</v>
      </c>
      <c r="E240" s="64">
        <v>45701.0</v>
      </c>
      <c r="F240" s="66">
        <v>45722.0</v>
      </c>
      <c r="G240" s="88" t="s">
        <v>14</v>
      </c>
      <c r="H240" s="68">
        <v>341.0</v>
      </c>
      <c r="I240" s="69">
        <v>351.0</v>
      </c>
      <c r="J240" s="44">
        <f t="shared" si="3"/>
        <v>6</v>
      </c>
      <c r="K240" s="44">
        <f t="shared" si="4"/>
        <v>6</v>
      </c>
      <c r="L240" s="68"/>
      <c r="M240" s="69"/>
      <c r="N240" s="44" t="str">
        <f t="shared" si="5"/>
        <v/>
      </c>
      <c r="O240" s="44" t="str">
        <f t="shared" si="6"/>
        <v/>
      </c>
      <c r="P240" s="70">
        <v>168.0</v>
      </c>
      <c r="Q240" s="88"/>
      <c r="R240" s="71"/>
      <c r="S240" s="31"/>
    </row>
    <row r="241">
      <c r="A241" s="37" t="s">
        <v>48</v>
      </c>
      <c r="B241" s="77" t="s">
        <v>125</v>
      </c>
      <c r="C241" s="44"/>
      <c r="D241" s="64">
        <v>45694.0</v>
      </c>
      <c r="E241" s="64">
        <f t="shared" ref="E241:E242" si="55">D241+7</f>
        <v>45701</v>
      </c>
      <c r="F241" s="66">
        <f t="shared" ref="F241:F242" si="56">D241+28</f>
        <v>45722</v>
      </c>
      <c r="G241" s="80" t="s">
        <v>12</v>
      </c>
      <c r="H241" s="68">
        <v>67.0</v>
      </c>
      <c r="I241" s="69">
        <v>89.0</v>
      </c>
      <c r="J241" s="44">
        <f t="shared" si="3"/>
        <v>12</v>
      </c>
      <c r="K241" s="44">
        <f t="shared" si="4"/>
        <v>12</v>
      </c>
      <c r="L241" s="68">
        <v>2.0</v>
      </c>
      <c r="M241" s="69">
        <v>64.0</v>
      </c>
      <c r="N241" s="44">
        <f t="shared" si="5"/>
        <v>32</v>
      </c>
      <c r="O241" s="44">
        <f t="shared" si="6"/>
        <v>32</v>
      </c>
      <c r="P241" s="70">
        <v>167.0</v>
      </c>
      <c r="Q241" s="71"/>
      <c r="R241" s="71"/>
      <c r="S241" s="31"/>
    </row>
    <row r="242">
      <c r="A242" s="37" t="s">
        <v>48</v>
      </c>
      <c r="B242" s="77" t="s">
        <v>125</v>
      </c>
      <c r="C242" s="44"/>
      <c r="D242" s="64">
        <v>45694.0</v>
      </c>
      <c r="E242" s="64">
        <f t="shared" si="55"/>
        <v>45701</v>
      </c>
      <c r="F242" s="66">
        <f t="shared" si="56"/>
        <v>45722</v>
      </c>
      <c r="G242" s="80" t="s">
        <v>12</v>
      </c>
      <c r="H242" s="68">
        <v>133.0</v>
      </c>
      <c r="I242" s="69">
        <v>155.0</v>
      </c>
      <c r="J242" s="44">
        <f t="shared" si="3"/>
        <v>12</v>
      </c>
      <c r="K242" s="44">
        <f t="shared" si="4"/>
        <v>12</v>
      </c>
      <c r="L242" s="68">
        <v>92.0</v>
      </c>
      <c r="M242" s="69">
        <v>124.0</v>
      </c>
      <c r="N242" s="44">
        <f t="shared" si="5"/>
        <v>17</v>
      </c>
      <c r="O242" s="44">
        <f t="shared" si="6"/>
        <v>17</v>
      </c>
      <c r="P242" s="70">
        <v>167.0</v>
      </c>
      <c r="Q242" s="71"/>
      <c r="R242" s="71"/>
      <c r="S242" s="31"/>
    </row>
    <row r="243">
      <c r="A243" s="37" t="s">
        <v>48</v>
      </c>
      <c r="B243" s="77" t="s">
        <v>125</v>
      </c>
      <c r="C243" s="44"/>
      <c r="D243" s="64">
        <v>45696.0</v>
      </c>
      <c r="E243" s="64">
        <f>D243+7</f>
        <v>45703</v>
      </c>
      <c r="F243" s="64">
        <f>D243+28</f>
        <v>45724</v>
      </c>
      <c r="G243" s="67" t="s">
        <v>126</v>
      </c>
      <c r="H243" s="68">
        <v>7.0</v>
      </c>
      <c r="I243" s="69">
        <v>71.0</v>
      </c>
      <c r="J243" s="44">
        <f t="shared" si="3"/>
        <v>33</v>
      </c>
      <c r="K243" s="44">
        <f t="shared" si="4"/>
        <v>33</v>
      </c>
      <c r="L243" s="68"/>
      <c r="M243" s="69"/>
      <c r="N243" s="44" t="str">
        <f t="shared" si="5"/>
        <v/>
      </c>
      <c r="O243" s="44" t="str">
        <f t="shared" si="6"/>
        <v/>
      </c>
      <c r="P243" s="70"/>
      <c r="Q243" s="71"/>
      <c r="R243" s="71"/>
      <c r="S243" s="31"/>
    </row>
    <row r="244">
      <c r="A244" s="37" t="s">
        <v>48</v>
      </c>
      <c r="B244" s="77" t="s">
        <v>125</v>
      </c>
      <c r="C244" s="44"/>
      <c r="D244" s="64">
        <v>45696.0</v>
      </c>
      <c r="E244" s="64">
        <v>45703.0</v>
      </c>
      <c r="F244" s="66">
        <v>45724.0</v>
      </c>
      <c r="G244" s="88" t="s">
        <v>16</v>
      </c>
      <c r="H244" s="68">
        <v>591.0</v>
      </c>
      <c r="I244" s="69">
        <v>675.0</v>
      </c>
      <c r="J244" s="44">
        <f t="shared" si="3"/>
        <v>43</v>
      </c>
      <c r="K244" s="44">
        <f t="shared" si="4"/>
        <v>43</v>
      </c>
      <c r="L244" s="68">
        <v>476.0</v>
      </c>
      <c r="M244" s="69">
        <v>488.0</v>
      </c>
      <c r="N244" s="44">
        <f t="shared" si="5"/>
        <v>7</v>
      </c>
      <c r="O244" s="44">
        <f t="shared" si="6"/>
        <v>7</v>
      </c>
      <c r="P244" s="70">
        <v>169.0</v>
      </c>
      <c r="Q244" s="71"/>
      <c r="R244" s="71"/>
      <c r="S244" s="31"/>
    </row>
    <row r="245">
      <c r="A245" s="37" t="s">
        <v>48</v>
      </c>
      <c r="B245" s="77" t="s">
        <v>125</v>
      </c>
      <c r="C245" s="44"/>
      <c r="D245" s="64">
        <v>45696.0</v>
      </c>
      <c r="E245" s="64">
        <v>45703.0</v>
      </c>
      <c r="F245" s="66">
        <v>45724.0</v>
      </c>
      <c r="G245" s="80" t="s">
        <v>14</v>
      </c>
      <c r="H245" s="68">
        <v>319.0</v>
      </c>
      <c r="I245" s="69">
        <v>319.0</v>
      </c>
      <c r="J245" s="44">
        <f t="shared" si="3"/>
        <v>1</v>
      </c>
      <c r="K245" s="44">
        <f t="shared" si="4"/>
        <v>1</v>
      </c>
      <c r="L245" s="68">
        <v>8.0</v>
      </c>
      <c r="M245" s="69">
        <v>14.0</v>
      </c>
      <c r="N245" s="44">
        <f t="shared" si="5"/>
        <v>4</v>
      </c>
      <c r="O245" s="44">
        <f t="shared" si="6"/>
        <v>4</v>
      </c>
      <c r="P245" s="70">
        <v>171.0</v>
      </c>
      <c r="Q245" s="88"/>
      <c r="R245" s="71"/>
      <c r="S245" s="31"/>
    </row>
    <row r="246">
      <c r="A246" s="37" t="s">
        <v>48</v>
      </c>
      <c r="B246" s="77" t="s">
        <v>125</v>
      </c>
      <c r="C246" s="44"/>
      <c r="D246" s="64">
        <v>45696.0</v>
      </c>
      <c r="E246" s="64">
        <v>45703.0</v>
      </c>
      <c r="F246" s="66">
        <v>45724.0</v>
      </c>
      <c r="G246" s="80" t="s">
        <v>14</v>
      </c>
      <c r="H246" s="68">
        <v>339.0</v>
      </c>
      <c r="I246" s="69">
        <v>339.0</v>
      </c>
      <c r="J246" s="44">
        <f t="shared" si="3"/>
        <v>1</v>
      </c>
      <c r="K246" s="44">
        <f t="shared" si="4"/>
        <v>1</v>
      </c>
      <c r="L246" s="68"/>
      <c r="M246" s="69"/>
      <c r="N246" s="44" t="str">
        <f t="shared" si="5"/>
        <v/>
      </c>
      <c r="O246" s="44" t="str">
        <f t="shared" si="6"/>
        <v/>
      </c>
      <c r="P246" s="70">
        <v>171.0</v>
      </c>
      <c r="Q246" s="88"/>
      <c r="R246" s="71"/>
      <c r="S246" s="31"/>
    </row>
    <row r="247">
      <c r="A247" s="37" t="s">
        <v>48</v>
      </c>
      <c r="B247" s="77" t="s">
        <v>125</v>
      </c>
      <c r="C247" s="44"/>
      <c r="D247" s="64">
        <v>45696.0</v>
      </c>
      <c r="E247" s="64">
        <v>45703.0</v>
      </c>
      <c r="F247" s="66">
        <v>45724.0</v>
      </c>
      <c r="G247" s="80" t="s">
        <v>14</v>
      </c>
      <c r="H247" s="68">
        <v>353.0</v>
      </c>
      <c r="I247" s="69">
        <v>375.0</v>
      </c>
      <c r="J247" s="44">
        <f t="shared" si="3"/>
        <v>12</v>
      </c>
      <c r="K247" s="44">
        <f t="shared" si="4"/>
        <v>12</v>
      </c>
      <c r="L247" s="68"/>
      <c r="M247" s="69"/>
      <c r="N247" s="44" t="str">
        <f t="shared" si="5"/>
        <v/>
      </c>
      <c r="O247" s="44" t="str">
        <f t="shared" si="6"/>
        <v/>
      </c>
      <c r="P247" s="70">
        <v>171.0</v>
      </c>
      <c r="Q247" s="88"/>
      <c r="R247" s="71"/>
      <c r="S247" s="31"/>
    </row>
    <row r="248">
      <c r="A248" s="37" t="s">
        <v>48</v>
      </c>
      <c r="B248" s="77" t="s">
        <v>125</v>
      </c>
      <c r="C248" s="44"/>
      <c r="D248" s="64">
        <v>45697.0</v>
      </c>
      <c r="E248" s="64">
        <f t="shared" ref="E248:E255" si="57">D248+7</f>
        <v>45704</v>
      </c>
      <c r="F248" s="66">
        <f t="shared" ref="F248:F255" si="58">D248+28</f>
        <v>45725</v>
      </c>
      <c r="G248" s="88" t="s">
        <v>16</v>
      </c>
      <c r="H248" s="68"/>
      <c r="I248" s="69"/>
      <c r="J248" s="44" t="str">
        <f t="shared" si="3"/>
        <v/>
      </c>
      <c r="K248" s="44" t="str">
        <f t="shared" si="4"/>
        <v/>
      </c>
      <c r="L248" s="68">
        <v>490.0</v>
      </c>
      <c r="M248" s="69">
        <v>586.0</v>
      </c>
      <c r="N248" s="44">
        <f t="shared" si="5"/>
        <v>49</v>
      </c>
      <c r="O248" s="44">
        <f t="shared" si="6"/>
        <v>49</v>
      </c>
      <c r="P248" s="70">
        <v>172.0</v>
      </c>
      <c r="Q248" s="71"/>
      <c r="R248" s="71"/>
      <c r="S248" s="31"/>
    </row>
    <row r="249">
      <c r="A249" s="37" t="s">
        <v>48</v>
      </c>
      <c r="B249" s="77" t="s">
        <v>125</v>
      </c>
      <c r="C249" s="44"/>
      <c r="D249" s="64">
        <v>45697.0</v>
      </c>
      <c r="E249" s="64">
        <f t="shared" si="57"/>
        <v>45704</v>
      </c>
      <c r="F249" s="66">
        <f t="shared" si="58"/>
        <v>45725</v>
      </c>
      <c r="G249" s="80" t="s">
        <v>12</v>
      </c>
      <c r="H249" s="68">
        <v>157.0</v>
      </c>
      <c r="I249" s="69">
        <v>267.0</v>
      </c>
      <c r="J249" s="44">
        <f t="shared" si="3"/>
        <v>56</v>
      </c>
      <c r="K249" s="44">
        <f t="shared" si="4"/>
        <v>56</v>
      </c>
      <c r="L249" s="68">
        <v>126.0</v>
      </c>
      <c r="M249" s="69">
        <v>154.0</v>
      </c>
      <c r="N249" s="44">
        <f t="shared" si="5"/>
        <v>15</v>
      </c>
      <c r="O249" s="44">
        <f t="shared" si="6"/>
        <v>15</v>
      </c>
      <c r="P249" s="70">
        <v>173.0</v>
      </c>
      <c r="Q249" s="71"/>
      <c r="R249" s="71"/>
      <c r="S249" s="31"/>
    </row>
    <row r="250">
      <c r="A250" s="37" t="s">
        <v>48</v>
      </c>
      <c r="B250" s="77" t="s">
        <v>125</v>
      </c>
      <c r="C250" s="44"/>
      <c r="D250" s="64">
        <v>45698.0</v>
      </c>
      <c r="E250" s="64">
        <f t="shared" si="57"/>
        <v>45705</v>
      </c>
      <c r="F250" s="66">
        <f t="shared" si="58"/>
        <v>45726</v>
      </c>
      <c r="G250" s="88" t="s">
        <v>16</v>
      </c>
      <c r="H250" s="68">
        <v>677.0</v>
      </c>
      <c r="I250" s="69">
        <v>771.0</v>
      </c>
      <c r="J250" s="44">
        <f t="shared" si="3"/>
        <v>48</v>
      </c>
      <c r="K250" s="44">
        <f t="shared" si="4"/>
        <v>48</v>
      </c>
      <c r="L250" s="68"/>
      <c r="M250" s="69"/>
      <c r="N250" s="44" t="str">
        <f t="shared" si="5"/>
        <v/>
      </c>
      <c r="O250" s="44" t="str">
        <f t="shared" si="6"/>
        <v/>
      </c>
      <c r="P250" s="70">
        <v>175.0</v>
      </c>
      <c r="Q250" s="71"/>
      <c r="R250" s="71"/>
      <c r="S250" s="31"/>
    </row>
    <row r="251">
      <c r="A251" s="37" t="s">
        <v>48</v>
      </c>
      <c r="B251" s="77" t="s">
        <v>125</v>
      </c>
      <c r="C251" s="44"/>
      <c r="D251" s="64">
        <v>45698.0</v>
      </c>
      <c r="E251" s="64">
        <f t="shared" si="57"/>
        <v>45705</v>
      </c>
      <c r="F251" s="66">
        <f t="shared" si="58"/>
        <v>45726</v>
      </c>
      <c r="G251" s="88" t="s">
        <v>16</v>
      </c>
      <c r="H251" s="68"/>
      <c r="I251" s="69"/>
      <c r="J251" s="44" t="str">
        <f t="shared" si="3"/>
        <v/>
      </c>
      <c r="K251" s="44" t="str">
        <f t="shared" si="4"/>
        <v/>
      </c>
      <c r="L251" s="68">
        <v>588.0</v>
      </c>
      <c r="M251" s="69">
        <v>638.0</v>
      </c>
      <c r="N251" s="44">
        <f t="shared" si="5"/>
        <v>26</v>
      </c>
      <c r="O251" s="44">
        <f t="shared" si="6"/>
        <v>26</v>
      </c>
      <c r="P251" s="70">
        <v>178.0</v>
      </c>
      <c r="Q251" s="71"/>
      <c r="R251" s="71"/>
      <c r="S251" s="31"/>
    </row>
    <row r="252">
      <c r="A252" s="37" t="s">
        <v>48</v>
      </c>
      <c r="B252" s="77" t="s">
        <v>125</v>
      </c>
      <c r="C252" s="44"/>
      <c r="D252" s="64">
        <v>45698.0</v>
      </c>
      <c r="E252" s="64">
        <f t="shared" si="57"/>
        <v>45705</v>
      </c>
      <c r="F252" s="66">
        <f t="shared" si="58"/>
        <v>45726</v>
      </c>
      <c r="G252" s="80" t="s">
        <v>12</v>
      </c>
      <c r="H252" s="68"/>
      <c r="I252" s="69"/>
      <c r="J252" s="44" t="str">
        <f t="shared" si="3"/>
        <v/>
      </c>
      <c r="K252" s="44" t="str">
        <f t="shared" si="4"/>
        <v/>
      </c>
      <c r="L252" s="68">
        <v>156.0</v>
      </c>
      <c r="M252" s="69">
        <v>266.0</v>
      </c>
      <c r="N252" s="44">
        <f t="shared" si="5"/>
        <v>56</v>
      </c>
      <c r="O252" s="44">
        <f t="shared" si="6"/>
        <v>56</v>
      </c>
      <c r="P252" s="70">
        <v>177.0</v>
      </c>
      <c r="Q252" s="71"/>
      <c r="R252" s="71"/>
      <c r="S252" s="31"/>
    </row>
    <row r="253">
      <c r="A253" s="37" t="s">
        <v>48</v>
      </c>
      <c r="B253" s="77" t="s">
        <v>125</v>
      </c>
      <c r="C253" s="44"/>
      <c r="D253" s="64">
        <v>45698.0</v>
      </c>
      <c r="E253" s="64">
        <f t="shared" si="57"/>
        <v>45705</v>
      </c>
      <c r="F253" s="66">
        <f t="shared" si="58"/>
        <v>45726</v>
      </c>
      <c r="G253" s="80" t="s">
        <v>9</v>
      </c>
      <c r="H253" s="68">
        <v>69.0</v>
      </c>
      <c r="I253" s="69">
        <v>103.0</v>
      </c>
      <c r="J253" s="44">
        <f t="shared" si="3"/>
        <v>18</v>
      </c>
      <c r="K253" s="44">
        <f t="shared" si="4"/>
        <v>18</v>
      </c>
      <c r="L253" s="68">
        <v>12.0</v>
      </c>
      <c r="M253" s="69">
        <v>52.0</v>
      </c>
      <c r="N253" s="44">
        <f t="shared" si="5"/>
        <v>21</v>
      </c>
      <c r="O253" s="44">
        <f t="shared" si="6"/>
        <v>21</v>
      </c>
      <c r="P253" s="70">
        <v>174.0</v>
      </c>
      <c r="Q253" s="80" t="s">
        <v>122</v>
      </c>
      <c r="R253" s="76">
        <v>37.05</v>
      </c>
      <c r="S253" s="31"/>
    </row>
    <row r="254">
      <c r="A254" s="37" t="s">
        <v>48</v>
      </c>
      <c r="B254" s="77" t="s">
        <v>125</v>
      </c>
      <c r="C254" s="44"/>
      <c r="D254" s="64">
        <v>45698.0</v>
      </c>
      <c r="E254" s="64">
        <f t="shared" si="57"/>
        <v>45705</v>
      </c>
      <c r="F254" s="66">
        <f t="shared" si="58"/>
        <v>45726</v>
      </c>
      <c r="G254" s="80" t="s">
        <v>9</v>
      </c>
      <c r="H254" s="68">
        <v>13.0</v>
      </c>
      <c r="I254" s="69">
        <v>51.0</v>
      </c>
      <c r="J254" s="44">
        <f t="shared" si="3"/>
        <v>20</v>
      </c>
      <c r="K254" s="44">
        <f t="shared" si="4"/>
        <v>20</v>
      </c>
      <c r="L254" s="68">
        <v>70.0</v>
      </c>
      <c r="M254" s="69">
        <v>102.0</v>
      </c>
      <c r="N254" s="44">
        <f t="shared" si="5"/>
        <v>17</v>
      </c>
      <c r="O254" s="44">
        <f t="shared" si="6"/>
        <v>17</v>
      </c>
      <c r="P254" s="70">
        <v>176.0</v>
      </c>
      <c r="Q254" s="88"/>
      <c r="R254" s="88"/>
      <c r="S254" s="31"/>
    </row>
    <row r="255">
      <c r="A255" s="37" t="s">
        <v>48</v>
      </c>
      <c r="B255" s="77" t="s">
        <v>125</v>
      </c>
      <c r="C255" s="44"/>
      <c r="D255" s="64">
        <v>45698.0</v>
      </c>
      <c r="E255" s="64">
        <f t="shared" si="57"/>
        <v>45705</v>
      </c>
      <c r="F255" s="66">
        <f t="shared" si="58"/>
        <v>45726</v>
      </c>
      <c r="G255" s="80" t="s">
        <v>9</v>
      </c>
      <c r="H255" s="68">
        <v>105.0</v>
      </c>
      <c r="I255" s="69">
        <v>155.0</v>
      </c>
      <c r="J255" s="44">
        <f t="shared" si="3"/>
        <v>26</v>
      </c>
      <c r="K255" s="44">
        <f t="shared" si="4"/>
        <v>26</v>
      </c>
      <c r="L255" s="68"/>
      <c r="M255" s="69"/>
      <c r="N255" s="44" t="str">
        <f t="shared" si="5"/>
        <v/>
      </c>
      <c r="O255" s="44" t="str">
        <f t="shared" si="6"/>
        <v/>
      </c>
      <c r="P255" s="70">
        <v>176.0</v>
      </c>
      <c r="Q255" s="88"/>
      <c r="R255" s="88"/>
      <c r="S255" s="31"/>
    </row>
    <row r="256">
      <c r="A256" s="37" t="s">
        <v>48</v>
      </c>
      <c r="B256" s="77" t="s">
        <v>125</v>
      </c>
      <c r="C256" s="44"/>
      <c r="D256" s="64">
        <v>45699.0</v>
      </c>
      <c r="E256" s="64">
        <f t="shared" ref="E256:E260" si="59">D256+7</f>
        <v>45706</v>
      </c>
      <c r="F256" s="64">
        <f t="shared" ref="F256:F260" si="60">D256+28</f>
        <v>45727</v>
      </c>
      <c r="G256" s="96" t="s">
        <v>110</v>
      </c>
      <c r="H256" s="68">
        <v>303.0</v>
      </c>
      <c r="I256" s="69">
        <v>345.0</v>
      </c>
      <c r="J256" s="44">
        <f t="shared" si="3"/>
        <v>22</v>
      </c>
      <c r="K256" s="44">
        <f t="shared" si="4"/>
        <v>22</v>
      </c>
      <c r="L256" s="68">
        <v>238.0</v>
      </c>
      <c r="M256" s="69">
        <v>242.0</v>
      </c>
      <c r="N256" s="44">
        <f t="shared" si="5"/>
        <v>3</v>
      </c>
      <c r="O256" s="44">
        <f t="shared" si="6"/>
        <v>3</v>
      </c>
      <c r="P256" s="70"/>
      <c r="Q256" s="71"/>
      <c r="R256" s="71"/>
      <c r="S256" s="31"/>
    </row>
    <row r="257">
      <c r="A257" s="37" t="s">
        <v>48</v>
      </c>
      <c r="B257" s="77" t="s">
        <v>125</v>
      </c>
      <c r="C257" s="44"/>
      <c r="D257" s="64">
        <v>45699.0</v>
      </c>
      <c r="E257" s="64">
        <f t="shared" si="59"/>
        <v>45706</v>
      </c>
      <c r="F257" s="64">
        <f t="shared" si="60"/>
        <v>45727</v>
      </c>
      <c r="G257" s="96" t="s">
        <v>110</v>
      </c>
      <c r="H257" s="68">
        <v>349.0</v>
      </c>
      <c r="I257" s="69">
        <v>395.0</v>
      </c>
      <c r="J257" s="44">
        <f t="shared" si="3"/>
        <v>24</v>
      </c>
      <c r="K257" s="44">
        <f t="shared" si="4"/>
        <v>24</v>
      </c>
      <c r="L257" s="68">
        <v>246.0</v>
      </c>
      <c r="M257" s="69">
        <v>294.0</v>
      </c>
      <c r="N257" s="44">
        <f t="shared" si="5"/>
        <v>25</v>
      </c>
      <c r="O257" s="44">
        <f t="shared" si="6"/>
        <v>25</v>
      </c>
      <c r="P257" s="70"/>
      <c r="Q257" s="71"/>
      <c r="R257" s="71"/>
      <c r="S257" s="31"/>
    </row>
    <row r="258">
      <c r="A258" s="37" t="s">
        <v>48</v>
      </c>
      <c r="B258" s="77" t="s">
        <v>125</v>
      </c>
      <c r="C258" s="44"/>
      <c r="D258" s="64">
        <v>45699.0</v>
      </c>
      <c r="E258" s="64">
        <f t="shared" si="59"/>
        <v>45706</v>
      </c>
      <c r="F258" s="64">
        <f t="shared" si="60"/>
        <v>45727</v>
      </c>
      <c r="G258" s="96" t="s">
        <v>110</v>
      </c>
      <c r="H258" s="68"/>
      <c r="I258" s="69"/>
      <c r="J258" s="44" t="str">
        <f t="shared" si="3"/>
        <v/>
      </c>
      <c r="K258" s="44" t="str">
        <f t="shared" si="4"/>
        <v/>
      </c>
      <c r="L258" s="68">
        <v>298.0</v>
      </c>
      <c r="M258" s="69">
        <v>300.0</v>
      </c>
      <c r="N258" s="44">
        <f t="shared" si="5"/>
        <v>2</v>
      </c>
      <c r="O258" s="44">
        <f t="shared" si="6"/>
        <v>2</v>
      </c>
      <c r="P258" s="70"/>
      <c r="Q258" s="71"/>
      <c r="R258" s="71"/>
      <c r="S258" s="31"/>
    </row>
    <row r="259">
      <c r="A259" s="37" t="s">
        <v>48</v>
      </c>
      <c r="B259" s="77" t="s">
        <v>125</v>
      </c>
      <c r="C259" s="44"/>
      <c r="D259" s="64">
        <v>45699.0</v>
      </c>
      <c r="E259" s="64">
        <f t="shared" si="59"/>
        <v>45706</v>
      </c>
      <c r="F259" s="64">
        <f t="shared" si="60"/>
        <v>45727</v>
      </c>
      <c r="G259" s="96" t="s">
        <v>110</v>
      </c>
      <c r="H259" s="68"/>
      <c r="I259" s="69"/>
      <c r="J259" s="44" t="str">
        <f t="shared" si="3"/>
        <v/>
      </c>
      <c r="K259" s="44" t="str">
        <f t="shared" si="4"/>
        <v/>
      </c>
      <c r="L259" s="68">
        <v>392.0</v>
      </c>
      <c r="M259" s="69">
        <v>394.0</v>
      </c>
      <c r="N259" s="44">
        <f t="shared" si="5"/>
        <v>2</v>
      </c>
      <c r="O259" s="44">
        <f t="shared" si="6"/>
        <v>2</v>
      </c>
      <c r="P259" s="70"/>
      <c r="Q259" s="71"/>
      <c r="R259" s="71"/>
      <c r="S259" s="31"/>
    </row>
    <row r="260">
      <c r="A260" s="37" t="s">
        <v>48</v>
      </c>
      <c r="B260" s="77" t="s">
        <v>125</v>
      </c>
      <c r="C260" s="44"/>
      <c r="D260" s="64">
        <v>45699.0</v>
      </c>
      <c r="E260" s="64">
        <f t="shared" si="59"/>
        <v>45706</v>
      </c>
      <c r="F260" s="64">
        <f t="shared" si="60"/>
        <v>45727</v>
      </c>
      <c r="G260" s="96" t="s">
        <v>127</v>
      </c>
      <c r="H260" s="68"/>
      <c r="I260" s="69"/>
      <c r="J260" s="44" t="str">
        <f t="shared" si="3"/>
        <v/>
      </c>
      <c r="K260" s="44" t="str">
        <f t="shared" si="4"/>
        <v/>
      </c>
      <c r="L260" s="68">
        <v>2.0</v>
      </c>
      <c r="M260" s="69">
        <v>156.0</v>
      </c>
      <c r="N260" s="44">
        <f t="shared" si="5"/>
        <v>78</v>
      </c>
      <c r="O260" s="44">
        <f t="shared" si="6"/>
        <v>78</v>
      </c>
      <c r="P260" s="70"/>
      <c r="Q260" s="71"/>
      <c r="R260" s="71"/>
      <c r="S260" s="31"/>
    </row>
    <row r="261">
      <c r="A261" s="37" t="s">
        <v>48</v>
      </c>
      <c r="B261" s="77" t="s">
        <v>125</v>
      </c>
      <c r="C261" s="44"/>
      <c r="D261" s="64">
        <v>45699.0</v>
      </c>
      <c r="E261" s="64">
        <f t="shared" ref="E261:E264" si="61">D261+7</f>
        <v>45706</v>
      </c>
      <c r="F261" s="66">
        <f t="shared" ref="F261:F264" si="62">D261+28</f>
        <v>45727</v>
      </c>
      <c r="G261" s="88" t="s">
        <v>16</v>
      </c>
      <c r="H261" s="68">
        <v>773.0</v>
      </c>
      <c r="I261" s="69">
        <v>799.0</v>
      </c>
      <c r="J261" s="44">
        <f t="shared" si="3"/>
        <v>14</v>
      </c>
      <c r="K261" s="44">
        <f t="shared" si="4"/>
        <v>14</v>
      </c>
      <c r="L261" s="68">
        <v>640.0</v>
      </c>
      <c r="M261" s="69">
        <v>710.0</v>
      </c>
      <c r="N261" s="44">
        <f t="shared" si="5"/>
        <v>36</v>
      </c>
      <c r="O261" s="44">
        <f t="shared" si="6"/>
        <v>36</v>
      </c>
      <c r="P261" s="70">
        <v>182.0</v>
      </c>
      <c r="Q261" s="71"/>
      <c r="R261" s="71"/>
      <c r="S261" s="31"/>
    </row>
    <row r="262">
      <c r="A262" s="37" t="s">
        <v>48</v>
      </c>
      <c r="B262" s="77" t="s">
        <v>125</v>
      </c>
      <c r="C262" s="44"/>
      <c r="D262" s="64">
        <v>45699.0</v>
      </c>
      <c r="E262" s="64">
        <f t="shared" si="61"/>
        <v>45706</v>
      </c>
      <c r="F262" s="66">
        <f t="shared" si="62"/>
        <v>45727</v>
      </c>
      <c r="G262" s="80" t="s">
        <v>9</v>
      </c>
      <c r="H262" s="68">
        <v>143.0</v>
      </c>
      <c r="I262" s="69">
        <v>151.0</v>
      </c>
      <c r="J262" s="44">
        <f t="shared" si="3"/>
        <v>5</v>
      </c>
      <c r="K262" s="44">
        <f t="shared" si="4"/>
        <v>5</v>
      </c>
      <c r="L262" s="68">
        <v>104.0</v>
      </c>
      <c r="M262" s="69">
        <v>140.0</v>
      </c>
      <c r="N262" s="44">
        <f t="shared" si="5"/>
        <v>19</v>
      </c>
      <c r="O262" s="44">
        <f t="shared" si="6"/>
        <v>19</v>
      </c>
      <c r="P262" s="70">
        <v>179.0</v>
      </c>
      <c r="Q262" s="88"/>
      <c r="R262" s="88"/>
      <c r="S262" s="31"/>
    </row>
    <row r="263">
      <c r="A263" s="37" t="s">
        <v>48</v>
      </c>
      <c r="B263" s="77" t="s">
        <v>125</v>
      </c>
      <c r="C263" s="44"/>
      <c r="D263" s="64">
        <v>45699.0</v>
      </c>
      <c r="E263" s="64">
        <f t="shared" si="61"/>
        <v>45706</v>
      </c>
      <c r="F263" s="66">
        <f t="shared" si="62"/>
        <v>45727</v>
      </c>
      <c r="G263" s="80" t="s">
        <v>9</v>
      </c>
      <c r="H263" s="68">
        <v>157.0</v>
      </c>
      <c r="I263" s="69">
        <v>163.0</v>
      </c>
      <c r="J263" s="44">
        <f t="shared" si="3"/>
        <v>4</v>
      </c>
      <c r="K263" s="44">
        <f t="shared" si="4"/>
        <v>4</v>
      </c>
      <c r="L263" s="68">
        <v>166.0</v>
      </c>
      <c r="M263" s="69">
        <v>182.0</v>
      </c>
      <c r="N263" s="44">
        <f t="shared" si="5"/>
        <v>9</v>
      </c>
      <c r="O263" s="44">
        <f t="shared" si="6"/>
        <v>9</v>
      </c>
      <c r="P263" s="70">
        <v>179.0</v>
      </c>
      <c r="Q263" s="88"/>
      <c r="R263" s="88"/>
      <c r="S263" s="31"/>
    </row>
    <row r="264">
      <c r="A264" s="37" t="s">
        <v>48</v>
      </c>
      <c r="B264" s="77" t="s">
        <v>125</v>
      </c>
      <c r="C264" s="44"/>
      <c r="D264" s="64">
        <v>45699.0</v>
      </c>
      <c r="E264" s="64">
        <f t="shared" si="61"/>
        <v>45706</v>
      </c>
      <c r="F264" s="66">
        <f t="shared" si="62"/>
        <v>45727</v>
      </c>
      <c r="G264" s="80" t="s">
        <v>9</v>
      </c>
      <c r="H264" s="68">
        <v>185.0</v>
      </c>
      <c r="I264" s="69">
        <v>211.0</v>
      </c>
      <c r="J264" s="44">
        <f t="shared" si="3"/>
        <v>14</v>
      </c>
      <c r="K264" s="44">
        <f t="shared" si="4"/>
        <v>14</v>
      </c>
      <c r="L264" s="68"/>
      <c r="M264" s="69"/>
      <c r="N264" s="44" t="str">
        <f t="shared" si="5"/>
        <v/>
      </c>
      <c r="O264" s="44" t="str">
        <f t="shared" si="6"/>
        <v/>
      </c>
      <c r="P264" s="70">
        <v>179.0</v>
      </c>
      <c r="Q264" s="88"/>
      <c r="R264" s="88"/>
      <c r="S264" s="31"/>
    </row>
    <row r="265">
      <c r="A265" s="37" t="s">
        <v>48</v>
      </c>
      <c r="B265" s="77" t="s">
        <v>125</v>
      </c>
      <c r="C265" s="44"/>
      <c r="D265" s="64">
        <v>45700.0</v>
      </c>
      <c r="E265" s="64">
        <f t="shared" ref="E265:E266" si="63">D265+7</f>
        <v>45707</v>
      </c>
      <c r="F265" s="64">
        <f t="shared" ref="F265:F266" si="64">D265+28</f>
        <v>45728</v>
      </c>
      <c r="G265" s="96" t="s">
        <v>127</v>
      </c>
      <c r="H265" s="68">
        <v>1.0</v>
      </c>
      <c r="I265" s="69">
        <v>155.0</v>
      </c>
      <c r="J265" s="44">
        <f t="shared" si="3"/>
        <v>78</v>
      </c>
      <c r="K265" s="44">
        <f t="shared" si="4"/>
        <v>78</v>
      </c>
      <c r="L265" s="68">
        <v>158.0</v>
      </c>
      <c r="M265" s="69">
        <v>190.0</v>
      </c>
      <c r="N265" s="44">
        <f t="shared" si="5"/>
        <v>17</v>
      </c>
      <c r="O265" s="44">
        <f t="shared" si="6"/>
        <v>17</v>
      </c>
      <c r="P265" s="70"/>
      <c r="Q265" s="71"/>
      <c r="R265" s="71"/>
      <c r="S265" s="31"/>
    </row>
    <row r="266">
      <c r="A266" s="37" t="s">
        <v>48</v>
      </c>
      <c r="B266" s="77" t="s">
        <v>125</v>
      </c>
      <c r="C266" s="44"/>
      <c r="D266" s="64">
        <v>45700.0</v>
      </c>
      <c r="E266" s="64">
        <f t="shared" si="63"/>
        <v>45707</v>
      </c>
      <c r="F266" s="64">
        <f t="shared" si="64"/>
        <v>45728</v>
      </c>
      <c r="G266" s="96" t="s">
        <v>127</v>
      </c>
      <c r="H266" s="68">
        <v>219.0</v>
      </c>
      <c r="I266" s="69">
        <v>231.0</v>
      </c>
      <c r="J266" s="44">
        <f t="shared" si="3"/>
        <v>7</v>
      </c>
      <c r="K266" s="44">
        <f t="shared" si="4"/>
        <v>7</v>
      </c>
      <c r="L266" s="68">
        <v>218.0</v>
      </c>
      <c r="M266" s="69">
        <v>232.0</v>
      </c>
      <c r="N266" s="44">
        <f t="shared" si="5"/>
        <v>8</v>
      </c>
      <c r="O266" s="44">
        <f t="shared" si="6"/>
        <v>8</v>
      </c>
      <c r="P266" s="70"/>
      <c r="Q266" s="71"/>
      <c r="R266" s="71"/>
      <c r="S266" s="31"/>
    </row>
    <row r="267">
      <c r="A267" s="37" t="s">
        <v>48</v>
      </c>
      <c r="B267" s="77" t="s">
        <v>125</v>
      </c>
      <c r="C267" s="44"/>
      <c r="D267" s="64">
        <v>45700.0</v>
      </c>
      <c r="E267" s="64">
        <f t="shared" ref="E267:E271" si="65">D267+7</f>
        <v>45707</v>
      </c>
      <c r="F267" s="66">
        <f t="shared" ref="F267:F271" si="66">D267+28</f>
        <v>45728</v>
      </c>
      <c r="G267" s="88" t="s">
        <v>16</v>
      </c>
      <c r="H267" s="68">
        <v>801.0</v>
      </c>
      <c r="I267" s="69">
        <v>817.0</v>
      </c>
      <c r="J267" s="44">
        <f t="shared" si="3"/>
        <v>9</v>
      </c>
      <c r="K267" s="44">
        <f t="shared" si="4"/>
        <v>9</v>
      </c>
      <c r="L267" s="68">
        <v>712.0</v>
      </c>
      <c r="M267" s="69">
        <v>752.0</v>
      </c>
      <c r="N267" s="44">
        <f t="shared" si="5"/>
        <v>21</v>
      </c>
      <c r="O267" s="44">
        <f t="shared" si="6"/>
        <v>21</v>
      </c>
      <c r="P267" s="70">
        <v>183.0</v>
      </c>
      <c r="Q267" s="71"/>
      <c r="R267" s="71"/>
      <c r="S267" s="31"/>
    </row>
    <row r="268">
      <c r="A268" s="37" t="s">
        <v>48</v>
      </c>
      <c r="B268" s="77" t="s">
        <v>125</v>
      </c>
      <c r="C268" s="44"/>
      <c r="D268" s="64">
        <v>45700.0</v>
      </c>
      <c r="E268" s="64">
        <f t="shared" si="65"/>
        <v>45707</v>
      </c>
      <c r="F268" s="66">
        <f t="shared" si="66"/>
        <v>45728</v>
      </c>
      <c r="G268" s="88" t="s">
        <v>16</v>
      </c>
      <c r="H268" s="68">
        <v>835.0</v>
      </c>
      <c r="I268" s="69">
        <v>887.0</v>
      </c>
      <c r="J268" s="44">
        <f t="shared" si="3"/>
        <v>27</v>
      </c>
      <c r="K268" s="44">
        <f t="shared" si="4"/>
        <v>27</v>
      </c>
      <c r="L268" s="68"/>
      <c r="M268" s="69"/>
      <c r="N268" s="44" t="str">
        <f t="shared" si="5"/>
        <v/>
      </c>
      <c r="O268" s="44" t="str">
        <f t="shared" si="6"/>
        <v/>
      </c>
      <c r="P268" s="70">
        <v>183.0</v>
      </c>
      <c r="Q268" s="71"/>
      <c r="R268" s="71"/>
      <c r="S268" s="31"/>
    </row>
    <row r="269">
      <c r="A269" s="37" t="s">
        <v>48</v>
      </c>
      <c r="B269" s="77" t="s">
        <v>125</v>
      </c>
      <c r="C269" s="44"/>
      <c r="D269" s="64">
        <v>45700.0</v>
      </c>
      <c r="E269" s="64">
        <f t="shared" si="65"/>
        <v>45707</v>
      </c>
      <c r="F269" s="66">
        <f t="shared" si="66"/>
        <v>45728</v>
      </c>
      <c r="G269" s="80" t="s">
        <v>9</v>
      </c>
      <c r="H269" s="68">
        <v>167.0</v>
      </c>
      <c r="I269" s="69">
        <v>183.0</v>
      </c>
      <c r="J269" s="44">
        <f t="shared" si="3"/>
        <v>9</v>
      </c>
      <c r="K269" s="44">
        <f t="shared" si="4"/>
        <v>9</v>
      </c>
      <c r="L269" s="68">
        <v>152.0</v>
      </c>
      <c r="M269" s="69">
        <v>164.0</v>
      </c>
      <c r="N269" s="44">
        <f t="shared" si="5"/>
        <v>7</v>
      </c>
      <c r="O269" s="44">
        <f t="shared" si="6"/>
        <v>7</v>
      </c>
      <c r="P269" s="70">
        <v>185.0</v>
      </c>
      <c r="Q269" s="88"/>
      <c r="R269" s="88"/>
      <c r="S269" s="31"/>
    </row>
    <row r="270">
      <c r="A270" s="37" t="s">
        <v>48</v>
      </c>
      <c r="B270" s="77" t="s">
        <v>125</v>
      </c>
      <c r="C270" s="44"/>
      <c r="D270" s="64">
        <v>45700.0</v>
      </c>
      <c r="E270" s="64">
        <f t="shared" si="65"/>
        <v>45707</v>
      </c>
      <c r="F270" s="66">
        <f t="shared" si="66"/>
        <v>45728</v>
      </c>
      <c r="G270" s="80" t="s">
        <v>9</v>
      </c>
      <c r="H270" s="68">
        <v>165.0</v>
      </c>
      <c r="I270" s="69">
        <v>165.0</v>
      </c>
      <c r="J270" s="44">
        <f t="shared" si="3"/>
        <v>1</v>
      </c>
      <c r="K270" s="44">
        <f t="shared" si="4"/>
        <v>1</v>
      </c>
      <c r="L270" s="68">
        <v>186.0</v>
      </c>
      <c r="M270" s="69">
        <v>208.0</v>
      </c>
      <c r="N270" s="44">
        <f t="shared" si="5"/>
        <v>12</v>
      </c>
      <c r="O270" s="44">
        <f t="shared" si="6"/>
        <v>12</v>
      </c>
      <c r="P270" s="70">
        <v>185.0</v>
      </c>
      <c r="Q270" s="88"/>
      <c r="R270" s="88"/>
      <c r="S270" s="31"/>
    </row>
    <row r="271">
      <c r="A271" s="37" t="s">
        <v>48</v>
      </c>
      <c r="B271" s="77" t="s">
        <v>125</v>
      </c>
      <c r="C271" s="44"/>
      <c r="D271" s="64">
        <v>45700.0</v>
      </c>
      <c r="E271" s="64">
        <f t="shared" si="65"/>
        <v>45707</v>
      </c>
      <c r="F271" s="66">
        <f t="shared" si="66"/>
        <v>45728</v>
      </c>
      <c r="G271" s="80" t="s">
        <v>9</v>
      </c>
      <c r="H271" s="68"/>
      <c r="I271" s="69"/>
      <c r="J271" s="44" t="str">
        <f t="shared" si="3"/>
        <v/>
      </c>
      <c r="K271" s="44" t="str">
        <f t="shared" si="4"/>
        <v/>
      </c>
      <c r="L271" s="68">
        <v>184.0</v>
      </c>
      <c r="M271" s="69">
        <v>184.0</v>
      </c>
      <c r="N271" s="44">
        <f t="shared" si="5"/>
        <v>1</v>
      </c>
      <c r="O271" s="44">
        <f t="shared" si="6"/>
        <v>1</v>
      </c>
      <c r="P271" s="70">
        <v>185.0</v>
      </c>
      <c r="Q271" s="88"/>
      <c r="R271" s="88"/>
      <c r="S271" s="31"/>
    </row>
    <row r="272">
      <c r="A272" s="37" t="s">
        <v>48</v>
      </c>
      <c r="B272" s="77" t="s">
        <v>125</v>
      </c>
      <c r="C272" s="44"/>
      <c r="D272" s="64">
        <v>45703.0</v>
      </c>
      <c r="E272" s="64">
        <f t="shared" ref="E272:E274" si="67">D272+7</f>
        <v>45710</v>
      </c>
      <c r="F272" s="64">
        <f t="shared" ref="F272:F274" si="68">D272+28</f>
        <v>45731</v>
      </c>
      <c r="G272" s="96" t="s">
        <v>127</v>
      </c>
      <c r="H272" s="68">
        <v>157.0</v>
      </c>
      <c r="I272" s="69">
        <v>189.0</v>
      </c>
      <c r="J272" s="44">
        <f t="shared" si="3"/>
        <v>17</v>
      </c>
      <c r="K272" s="44">
        <f t="shared" si="4"/>
        <v>17</v>
      </c>
      <c r="L272" s="68">
        <v>192.0</v>
      </c>
      <c r="M272" s="69">
        <v>216.0</v>
      </c>
      <c r="N272" s="44">
        <f t="shared" si="5"/>
        <v>13</v>
      </c>
      <c r="O272" s="44">
        <f t="shared" si="6"/>
        <v>13</v>
      </c>
      <c r="P272" s="70"/>
      <c r="Q272" s="71"/>
      <c r="R272" s="71"/>
      <c r="S272" s="31"/>
    </row>
    <row r="273">
      <c r="A273" s="37" t="s">
        <v>48</v>
      </c>
      <c r="B273" s="77" t="s">
        <v>125</v>
      </c>
      <c r="C273" s="44"/>
      <c r="D273" s="64">
        <v>45703.0</v>
      </c>
      <c r="E273" s="64">
        <f t="shared" si="67"/>
        <v>45710</v>
      </c>
      <c r="F273" s="64">
        <f t="shared" si="68"/>
        <v>45731</v>
      </c>
      <c r="G273" s="96" t="s">
        <v>127</v>
      </c>
      <c r="H273" s="68">
        <v>217.0</v>
      </c>
      <c r="I273" s="69">
        <v>217.0</v>
      </c>
      <c r="J273" s="44">
        <f t="shared" si="3"/>
        <v>1</v>
      </c>
      <c r="K273" s="44">
        <f t="shared" si="4"/>
        <v>1</v>
      </c>
      <c r="L273" s="68">
        <v>234.0</v>
      </c>
      <c r="M273" s="69">
        <v>310.0</v>
      </c>
      <c r="N273" s="44">
        <f t="shared" si="5"/>
        <v>39</v>
      </c>
      <c r="O273" s="44">
        <f t="shared" si="6"/>
        <v>39</v>
      </c>
      <c r="P273" s="70"/>
      <c r="Q273" s="71"/>
      <c r="R273" s="71"/>
      <c r="S273" s="31"/>
    </row>
    <row r="274">
      <c r="A274" s="37" t="s">
        <v>48</v>
      </c>
      <c r="B274" s="77" t="s">
        <v>125</v>
      </c>
      <c r="C274" s="44"/>
      <c r="D274" s="64">
        <v>45703.0</v>
      </c>
      <c r="E274" s="64">
        <f t="shared" si="67"/>
        <v>45710</v>
      </c>
      <c r="F274" s="64">
        <f t="shared" si="68"/>
        <v>45731</v>
      </c>
      <c r="G274" s="96" t="s">
        <v>114</v>
      </c>
      <c r="H274" s="68">
        <v>269.0</v>
      </c>
      <c r="I274" s="69">
        <v>307.0</v>
      </c>
      <c r="J274" s="44">
        <f t="shared" si="3"/>
        <v>20</v>
      </c>
      <c r="K274" s="44">
        <f t="shared" si="4"/>
        <v>20</v>
      </c>
      <c r="L274" s="68"/>
      <c r="M274" s="69"/>
      <c r="N274" s="44" t="str">
        <f t="shared" si="5"/>
        <v/>
      </c>
      <c r="O274" s="44" t="str">
        <f t="shared" si="6"/>
        <v/>
      </c>
      <c r="P274" s="70">
        <v>187.0</v>
      </c>
      <c r="Q274" s="71"/>
      <c r="R274" s="71"/>
      <c r="S274" s="31"/>
    </row>
    <row r="275">
      <c r="A275" s="37" t="s">
        <v>48</v>
      </c>
      <c r="B275" s="77" t="s">
        <v>125</v>
      </c>
      <c r="C275" s="44"/>
      <c r="D275" s="64">
        <v>45703.0</v>
      </c>
      <c r="E275" s="64">
        <f t="shared" ref="E275:E276" si="69">D275+7</f>
        <v>45710</v>
      </c>
      <c r="F275" s="66">
        <f t="shared" ref="F275:F276" si="70">D275+28</f>
        <v>45731</v>
      </c>
      <c r="G275" s="88" t="s">
        <v>16</v>
      </c>
      <c r="H275" s="68">
        <v>889.0</v>
      </c>
      <c r="I275" s="69">
        <v>909.0</v>
      </c>
      <c r="J275" s="44">
        <f t="shared" si="3"/>
        <v>11</v>
      </c>
      <c r="K275" s="44">
        <f t="shared" si="4"/>
        <v>11</v>
      </c>
      <c r="L275" s="68">
        <v>754.0</v>
      </c>
      <c r="M275" s="69">
        <v>816.0</v>
      </c>
      <c r="N275" s="44">
        <f t="shared" si="5"/>
        <v>32</v>
      </c>
      <c r="O275" s="44">
        <f t="shared" si="6"/>
        <v>32</v>
      </c>
      <c r="P275" s="70">
        <v>186.0</v>
      </c>
      <c r="Q275" s="71"/>
      <c r="R275" s="71"/>
      <c r="S275" s="31"/>
    </row>
    <row r="276">
      <c r="A276" s="37" t="s">
        <v>48</v>
      </c>
      <c r="B276" s="77" t="s">
        <v>125</v>
      </c>
      <c r="C276" s="44"/>
      <c r="D276" s="64">
        <v>45703.0</v>
      </c>
      <c r="E276" s="64">
        <f t="shared" si="69"/>
        <v>45710</v>
      </c>
      <c r="F276" s="66">
        <f t="shared" si="70"/>
        <v>45731</v>
      </c>
      <c r="G276" s="88" t="s">
        <v>16</v>
      </c>
      <c r="H276" s="68"/>
      <c r="I276" s="69"/>
      <c r="J276" s="44" t="str">
        <f t="shared" si="3"/>
        <v/>
      </c>
      <c r="K276" s="44" t="str">
        <f t="shared" si="4"/>
        <v/>
      </c>
      <c r="L276" s="68">
        <v>836.0</v>
      </c>
      <c r="M276" s="69">
        <v>860.0</v>
      </c>
      <c r="N276" s="44">
        <f t="shared" si="5"/>
        <v>13</v>
      </c>
      <c r="O276" s="44">
        <f t="shared" si="6"/>
        <v>13</v>
      </c>
      <c r="P276" s="70">
        <v>186.0</v>
      </c>
      <c r="Q276" s="71"/>
      <c r="R276" s="71"/>
      <c r="S276" s="31"/>
    </row>
    <row r="277">
      <c r="A277" s="37" t="s">
        <v>48</v>
      </c>
      <c r="B277" s="77" t="s">
        <v>125</v>
      </c>
      <c r="C277" s="44"/>
      <c r="D277" s="64">
        <v>45704.0</v>
      </c>
      <c r="E277" s="64">
        <f t="shared" ref="E277:E279" si="71">D277+7</f>
        <v>45711</v>
      </c>
      <c r="F277" s="64">
        <f t="shared" ref="F277:F279" si="72">D277+28</f>
        <v>45732</v>
      </c>
      <c r="G277" s="96" t="s">
        <v>128</v>
      </c>
      <c r="H277" s="68"/>
      <c r="I277" s="69"/>
      <c r="J277" s="44" t="str">
        <f t="shared" si="3"/>
        <v/>
      </c>
      <c r="K277" s="44" t="str">
        <f t="shared" si="4"/>
        <v/>
      </c>
      <c r="L277" s="68">
        <v>2.0</v>
      </c>
      <c r="M277" s="69">
        <v>104.0</v>
      </c>
      <c r="N277" s="44">
        <f t="shared" si="5"/>
        <v>52</v>
      </c>
      <c r="O277" s="44">
        <f t="shared" si="6"/>
        <v>52</v>
      </c>
      <c r="P277" s="70"/>
      <c r="Q277" s="71"/>
      <c r="R277" s="71"/>
      <c r="S277" s="31"/>
    </row>
    <row r="278">
      <c r="A278" s="37" t="s">
        <v>48</v>
      </c>
      <c r="B278" s="77" t="s">
        <v>125</v>
      </c>
      <c r="C278" s="44"/>
      <c r="D278" s="64">
        <v>45704.0</v>
      </c>
      <c r="E278" s="64">
        <f t="shared" si="71"/>
        <v>45711</v>
      </c>
      <c r="F278" s="64">
        <f t="shared" si="72"/>
        <v>45732</v>
      </c>
      <c r="G278" s="96" t="s">
        <v>127</v>
      </c>
      <c r="H278" s="68">
        <v>191.0</v>
      </c>
      <c r="I278" s="69">
        <v>215.0</v>
      </c>
      <c r="J278" s="44">
        <f t="shared" si="3"/>
        <v>13</v>
      </c>
      <c r="K278" s="44">
        <f t="shared" si="4"/>
        <v>13</v>
      </c>
      <c r="L278" s="68">
        <v>216.0</v>
      </c>
      <c r="M278" s="69">
        <v>216.0</v>
      </c>
      <c r="N278" s="44">
        <f t="shared" si="5"/>
        <v>1</v>
      </c>
      <c r="O278" s="44">
        <f t="shared" si="6"/>
        <v>1</v>
      </c>
      <c r="P278" s="70"/>
      <c r="Q278" s="71"/>
      <c r="R278" s="71"/>
      <c r="S278" s="31"/>
    </row>
    <row r="279">
      <c r="A279" s="37" t="s">
        <v>48</v>
      </c>
      <c r="B279" s="77" t="s">
        <v>125</v>
      </c>
      <c r="C279" s="44"/>
      <c r="D279" s="64">
        <v>45704.0</v>
      </c>
      <c r="E279" s="64">
        <f t="shared" si="71"/>
        <v>45711</v>
      </c>
      <c r="F279" s="64">
        <f t="shared" si="72"/>
        <v>45732</v>
      </c>
      <c r="G279" s="96" t="s">
        <v>127</v>
      </c>
      <c r="H279" s="68">
        <v>233.0</v>
      </c>
      <c r="I279" s="69">
        <v>309.0</v>
      </c>
      <c r="J279" s="44">
        <f t="shared" si="3"/>
        <v>39</v>
      </c>
      <c r="K279" s="44">
        <f t="shared" si="4"/>
        <v>39</v>
      </c>
      <c r="L279" s="68"/>
      <c r="M279" s="69"/>
      <c r="N279" s="44" t="str">
        <f t="shared" si="5"/>
        <v/>
      </c>
      <c r="O279" s="44" t="str">
        <f t="shared" si="6"/>
        <v/>
      </c>
      <c r="P279" s="70"/>
      <c r="Q279" s="71"/>
      <c r="R279" s="71"/>
      <c r="S279" s="31"/>
    </row>
    <row r="280">
      <c r="A280" s="37" t="s">
        <v>48</v>
      </c>
      <c r="B280" s="77" t="s">
        <v>125</v>
      </c>
      <c r="C280" s="44"/>
      <c r="D280" s="64">
        <v>45704.0</v>
      </c>
      <c r="E280" s="64">
        <f t="shared" ref="E280:E282" si="73">D280+7</f>
        <v>45711</v>
      </c>
      <c r="F280" s="66">
        <f t="shared" ref="F280:F282" si="74">D280+28</f>
        <v>45732</v>
      </c>
      <c r="G280" s="88" t="s">
        <v>16</v>
      </c>
      <c r="H280" s="68">
        <v>911.0</v>
      </c>
      <c r="I280" s="69">
        <v>1031.0</v>
      </c>
      <c r="J280" s="44">
        <f t="shared" si="3"/>
        <v>61</v>
      </c>
      <c r="K280" s="44">
        <f t="shared" si="4"/>
        <v>61</v>
      </c>
      <c r="L280" s="68"/>
      <c r="M280" s="69"/>
      <c r="N280" s="44" t="str">
        <f t="shared" si="5"/>
        <v/>
      </c>
      <c r="O280" s="44" t="str">
        <f t="shared" si="6"/>
        <v/>
      </c>
      <c r="P280" s="70">
        <v>188.0</v>
      </c>
      <c r="Q280" s="71"/>
      <c r="R280" s="71"/>
      <c r="S280" s="31"/>
    </row>
    <row r="281">
      <c r="A281" s="37" t="s">
        <v>48</v>
      </c>
      <c r="B281" s="77" t="s">
        <v>125</v>
      </c>
      <c r="C281" s="44"/>
      <c r="D281" s="64">
        <v>45704.0</v>
      </c>
      <c r="E281" s="64">
        <f t="shared" si="73"/>
        <v>45711</v>
      </c>
      <c r="F281" s="66">
        <f t="shared" si="74"/>
        <v>45732</v>
      </c>
      <c r="G281" s="88" t="s">
        <v>11</v>
      </c>
      <c r="H281" s="68">
        <v>3.0</v>
      </c>
      <c r="I281" s="69">
        <v>75.0</v>
      </c>
      <c r="J281" s="44">
        <f t="shared" si="3"/>
        <v>37</v>
      </c>
      <c r="K281" s="44">
        <f t="shared" si="4"/>
        <v>37</v>
      </c>
      <c r="L281" s="68"/>
      <c r="M281" s="69"/>
      <c r="N281" s="44" t="str">
        <f t="shared" si="5"/>
        <v/>
      </c>
      <c r="O281" s="44" t="str">
        <f t="shared" si="6"/>
        <v/>
      </c>
      <c r="P281" s="70">
        <v>189.0</v>
      </c>
      <c r="Q281" s="71"/>
      <c r="R281" s="71"/>
      <c r="S281" s="31"/>
    </row>
    <row r="282">
      <c r="A282" s="37" t="s">
        <v>48</v>
      </c>
      <c r="B282" s="77" t="s">
        <v>125</v>
      </c>
      <c r="C282" s="44"/>
      <c r="D282" s="64">
        <v>45704.0</v>
      </c>
      <c r="E282" s="64">
        <f t="shared" si="73"/>
        <v>45711</v>
      </c>
      <c r="F282" s="66">
        <f t="shared" si="74"/>
        <v>45732</v>
      </c>
      <c r="G282" s="88" t="s">
        <v>11</v>
      </c>
      <c r="H282" s="68">
        <v>91.0</v>
      </c>
      <c r="I282" s="69">
        <v>139.0</v>
      </c>
      <c r="J282" s="44">
        <f t="shared" si="3"/>
        <v>25</v>
      </c>
      <c r="K282" s="44">
        <f t="shared" si="4"/>
        <v>25</v>
      </c>
      <c r="L282" s="68"/>
      <c r="M282" s="69"/>
      <c r="N282" s="44" t="str">
        <f t="shared" si="5"/>
        <v/>
      </c>
      <c r="O282" s="44" t="str">
        <f t="shared" si="6"/>
        <v/>
      </c>
      <c r="P282" s="70">
        <v>189.0</v>
      </c>
      <c r="Q282" s="71"/>
      <c r="R282" s="71"/>
      <c r="S282" s="31"/>
    </row>
    <row r="283">
      <c r="A283" s="37" t="s">
        <v>48</v>
      </c>
      <c r="B283" s="77" t="s">
        <v>125</v>
      </c>
      <c r="C283" s="44"/>
      <c r="D283" s="64">
        <v>45705.0</v>
      </c>
      <c r="E283" s="64">
        <f>D283+7</f>
        <v>45712</v>
      </c>
      <c r="F283" s="64">
        <f>D283+28</f>
        <v>45733</v>
      </c>
      <c r="G283" s="96" t="s">
        <v>128</v>
      </c>
      <c r="H283" s="68">
        <v>1.0</v>
      </c>
      <c r="I283" s="69">
        <v>103.0</v>
      </c>
      <c r="J283" s="44">
        <f t="shared" si="3"/>
        <v>52</v>
      </c>
      <c r="K283" s="44">
        <f t="shared" si="4"/>
        <v>52</v>
      </c>
      <c r="L283" s="68">
        <v>106.0</v>
      </c>
      <c r="M283" s="69">
        <v>198.0</v>
      </c>
      <c r="N283" s="44">
        <f t="shared" si="5"/>
        <v>47</v>
      </c>
      <c r="O283" s="44">
        <f t="shared" si="6"/>
        <v>47</v>
      </c>
      <c r="P283" s="70"/>
      <c r="Q283" s="71"/>
      <c r="R283" s="71"/>
      <c r="S283" s="31"/>
    </row>
    <row r="284">
      <c r="A284" s="37" t="s">
        <v>48</v>
      </c>
      <c r="B284" s="77" t="s">
        <v>125</v>
      </c>
      <c r="C284" s="44"/>
      <c r="D284" s="64">
        <v>45705.0</v>
      </c>
      <c r="E284" s="64">
        <f t="shared" ref="E284:E286" si="75">D284+7</f>
        <v>45712</v>
      </c>
      <c r="F284" s="66">
        <f t="shared" ref="F284:F286" si="76">D284+28</f>
        <v>45733</v>
      </c>
      <c r="G284" s="88" t="s">
        <v>16</v>
      </c>
      <c r="H284" s="68">
        <v>1033.0</v>
      </c>
      <c r="I284" s="69">
        <v>1105.0</v>
      </c>
      <c r="J284" s="44">
        <f t="shared" si="3"/>
        <v>37</v>
      </c>
      <c r="K284" s="44">
        <f t="shared" si="4"/>
        <v>37</v>
      </c>
      <c r="L284" s="68">
        <v>862.0</v>
      </c>
      <c r="M284" s="69">
        <v>902.0</v>
      </c>
      <c r="N284" s="44">
        <f t="shared" si="5"/>
        <v>21</v>
      </c>
      <c r="O284" s="44">
        <f t="shared" si="6"/>
        <v>21</v>
      </c>
      <c r="P284" s="70">
        <v>191.0</v>
      </c>
      <c r="Q284" s="71"/>
      <c r="R284" s="71"/>
      <c r="S284" s="31"/>
    </row>
    <row r="285">
      <c r="A285" s="37" t="s">
        <v>48</v>
      </c>
      <c r="B285" s="77" t="s">
        <v>125</v>
      </c>
      <c r="C285" s="44"/>
      <c r="D285" s="64">
        <v>45705.0</v>
      </c>
      <c r="E285" s="64">
        <f t="shared" si="75"/>
        <v>45712</v>
      </c>
      <c r="F285" s="66">
        <f t="shared" si="76"/>
        <v>45733</v>
      </c>
      <c r="G285" s="88" t="s">
        <v>11</v>
      </c>
      <c r="H285" s="68">
        <v>141.0</v>
      </c>
      <c r="I285" s="69">
        <v>167.0</v>
      </c>
      <c r="J285" s="44">
        <f t="shared" si="3"/>
        <v>14</v>
      </c>
      <c r="K285" s="44">
        <f t="shared" si="4"/>
        <v>14</v>
      </c>
      <c r="L285" s="68">
        <v>4.0</v>
      </c>
      <c r="M285" s="69">
        <v>28.0</v>
      </c>
      <c r="N285" s="44">
        <f t="shared" si="5"/>
        <v>13</v>
      </c>
      <c r="O285" s="44">
        <f t="shared" si="6"/>
        <v>13</v>
      </c>
      <c r="P285" s="70">
        <v>192.0</v>
      </c>
      <c r="Q285" s="71"/>
      <c r="R285" s="71"/>
      <c r="S285" s="31"/>
    </row>
    <row r="286">
      <c r="A286" s="37" t="s">
        <v>48</v>
      </c>
      <c r="B286" s="77" t="s">
        <v>125</v>
      </c>
      <c r="C286" s="44"/>
      <c r="D286" s="64">
        <v>45705.0</v>
      </c>
      <c r="E286" s="64">
        <f t="shared" si="75"/>
        <v>45712</v>
      </c>
      <c r="F286" s="66">
        <f t="shared" si="76"/>
        <v>45733</v>
      </c>
      <c r="G286" s="88" t="s">
        <v>11</v>
      </c>
      <c r="H286" s="68"/>
      <c r="I286" s="69"/>
      <c r="J286" s="44" t="str">
        <f t="shared" si="3"/>
        <v/>
      </c>
      <c r="K286" s="44" t="str">
        <f t="shared" si="4"/>
        <v/>
      </c>
      <c r="L286" s="68">
        <v>92.0</v>
      </c>
      <c r="M286" s="69">
        <v>138.0</v>
      </c>
      <c r="N286" s="44">
        <f t="shared" si="5"/>
        <v>24</v>
      </c>
      <c r="O286" s="44">
        <f t="shared" si="6"/>
        <v>24</v>
      </c>
      <c r="P286" s="70">
        <v>192.0</v>
      </c>
      <c r="Q286" s="71"/>
      <c r="R286" s="71"/>
      <c r="S286" s="31"/>
    </row>
    <row r="287">
      <c r="A287" s="37" t="s">
        <v>48</v>
      </c>
      <c r="B287" s="77" t="s">
        <v>125</v>
      </c>
      <c r="C287" s="44"/>
      <c r="D287" s="64">
        <v>45706.0</v>
      </c>
      <c r="E287" s="64">
        <f t="shared" ref="E287:E289" si="77">D287+7</f>
        <v>45713</v>
      </c>
      <c r="F287" s="64">
        <f t="shared" ref="F287:F289" si="78">D287+28</f>
        <v>45734</v>
      </c>
      <c r="G287" s="96" t="s">
        <v>128</v>
      </c>
      <c r="H287" s="68">
        <v>105.0</v>
      </c>
      <c r="I287" s="69">
        <v>197.0</v>
      </c>
      <c r="J287" s="44">
        <f t="shared" si="3"/>
        <v>47</v>
      </c>
      <c r="K287" s="44">
        <f t="shared" si="4"/>
        <v>47</v>
      </c>
      <c r="L287" s="68">
        <v>200.0</v>
      </c>
      <c r="M287" s="69">
        <v>302.0</v>
      </c>
      <c r="N287" s="44">
        <f t="shared" si="5"/>
        <v>52</v>
      </c>
      <c r="O287" s="44">
        <f t="shared" si="6"/>
        <v>52</v>
      </c>
      <c r="P287" s="70"/>
      <c r="Q287" s="71"/>
      <c r="R287" s="71"/>
      <c r="S287" s="31"/>
    </row>
    <row r="288">
      <c r="A288" s="37" t="s">
        <v>48</v>
      </c>
      <c r="B288" s="77" t="s">
        <v>125</v>
      </c>
      <c r="C288" s="44"/>
      <c r="D288" s="64">
        <v>45706.0</v>
      </c>
      <c r="E288" s="64">
        <f t="shared" si="77"/>
        <v>45713</v>
      </c>
      <c r="F288" s="64">
        <f t="shared" si="78"/>
        <v>45734</v>
      </c>
      <c r="G288" s="96" t="s">
        <v>128</v>
      </c>
      <c r="H288" s="68">
        <v>203.0</v>
      </c>
      <c r="I288" s="69">
        <v>203.0</v>
      </c>
      <c r="J288" s="44">
        <f t="shared" si="3"/>
        <v>1</v>
      </c>
      <c r="K288" s="44">
        <f t="shared" si="4"/>
        <v>1</v>
      </c>
      <c r="L288" s="68"/>
      <c r="M288" s="69"/>
      <c r="N288" s="44" t="str">
        <f t="shared" si="5"/>
        <v/>
      </c>
      <c r="O288" s="44" t="str">
        <f t="shared" si="6"/>
        <v/>
      </c>
      <c r="P288" s="70"/>
      <c r="Q288" s="71"/>
      <c r="R288" s="71"/>
      <c r="S288" s="31"/>
    </row>
    <row r="289">
      <c r="A289" s="37" t="s">
        <v>48</v>
      </c>
      <c r="B289" s="77" t="s">
        <v>125</v>
      </c>
      <c r="C289" s="44"/>
      <c r="D289" s="64">
        <v>45706.0</v>
      </c>
      <c r="E289" s="64">
        <f t="shared" si="77"/>
        <v>45713</v>
      </c>
      <c r="F289" s="64">
        <f t="shared" si="78"/>
        <v>45734</v>
      </c>
      <c r="G289" s="96" t="s">
        <v>128</v>
      </c>
      <c r="H289" s="68">
        <v>199.0</v>
      </c>
      <c r="I289" s="69">
        <v>219.0</v>
      </c>
      <c r="J289" s="44">
        <f t="shared" si="3"/>
        <v>11</v>
      </c>
      <c r="K289" s="44">
        <f t="shared" si="4"/>
        <v>11</v>
      </c>
      <c r="L289" s="68"/>
      <c r="M289" s="69"/>
      <c r="N289" s="44" t="str">
        <f t="shared" si="5"/>
        <v/>
      </c>
      <c r="O289" s="44" t="str">
        <f t="shared" si="6"/>
        <v/>
      </c>
      <c r="P289" s="70"/>
      <c r="Q289" s="71"/>
      <c r="R289" s="71"/>
      <c r="S289" s="31"/>
    </row>
    <row r="290">
      <c r="A290" s="37" t="s">
        <v>48</v>
      </c>
      <c r="B290" s="77" t="s">
        <v>125</v>
      </c>
      <c r="C290" s="44"/>
      <c r="D290" s="64">
        <v>45706.0</v>
      </c>
      <c r="E290" s="64">
        <f t="shared" ref="E290:E291" si="79">D290+7</f>
        <v>45713</v>
      </c>
      <c r="F290" s="66">
        <f t="shared" ref="F290:F291" si="80">D290+28</f>
        <v>45734</v>
      </c>
      <c r="G290" s="88" t="s">
        <v>16</v>
      </c>
      <c r="H290" s="68"/>
      <c r="I290" s="69"/>
      <c r="J290" s="44" t="str">
        <f t="shared" si="3"/>
        <v/>
      </c>
      <c r="K290" s="44" t="str">
        <f t="shared" si="4"/>
        <v/>
      </c>
      <c r="L290" s="68">
        <v>904.0</v>
      </c>
      <c r="M290" s="69">
        <v>1032.0</v>
      </c>
      <c r="N290" s="44">
        <f t="shared" si="5"/>
        <v>65</v>
      </c>
      <c r="O290" s="44">
        <f t="shared" si="6"/>
        <v>65</v>
      </c>
      <c r="P290" s="70">
        <v>195.0</v>
      </c>
      <c r="Q290" s="71"/>
      <c r="R290" s="71"/>
      <c r="S290" s="31"/>
    </row>
    <row r="291">
      <c r="A291" s="37" t="s">
        <v>48</v>
      </c>
      <c r="B291" s="77" t="s">
        <v>125</v>
      </c>
      <c r="C291" s="44"/>
      <c r="D291" s="64">
        <v>45706.0</v>
      </c>
      <c r="E291" s="64">
        <f t="shared" si="79"/>
        <v>45713</v>
      </c>
      <c r="F291" s="66">
        <f t="shared" si="80"/>
        <v>45734</v>
      </c>
      <c r="G291" s="88" t="s">
        <v>16</v>
      </c>
      <c r="H291" s="68">
        <v>1107.0</v>
      </c>
      <c r="I291" s="69">
        <v>1189.0</v>
      </c>
      <c r="J291" s="44">
        <f t="shared" si="3"/>
        <v>42</v>
      </c>
      <c r="K291" s="44">
        <f t="shared" si="4"/>
        <v>42</v>
      </c>
      <c r="L291" s="68">
        <v>1034.0</v>
      </c>
      <c r="M291" s="69">
        <v>1052.0</v>
      </c>
      <c r="N291" s="44">
        <f t="shared" si="5"/>
        <v>10</v>
      </c>
      <c r="O291" s="44">
        <f t="shared" si="6"/>
        <v>10</v>
      </c>
      <c r="P291" s="70">
        <v>197.0</v>
      </c>
      <c r="Q291" s="71"/>
      <c r="R291" s="71"/>
      <c r="S291" s="31"/>
    </row>
    <row r="292">
      <c r="A292" s="37" t="s">
        <v>48</v>
      </c>
      <c r="B292" s="77" t="s">
        <v>125</v>
      </c>
      <c r="C292" s="44"/>
      <c r="D292" s="64">
        <v>45707.0</v>
      </c>
      <c r="E292" s="64">
        <f t="shared" ref="E292:E295" si="81">D292+7</f>
        <v>45714</v>
      </c>
      <c r="F292" s="64">
        <f t="shared" ref="F292:F295" si="82">D292+28</f>
        <v>45735</v>
      </c>
      <c r="G292" s="96" t="s">
        <v>128</v>
      </c>
      <c r="H292" s="68">
        <v>221.0</v>
      </c>
      <c r="I292" s="69">
        <v>301.0</v>
      </c>
      <c r="J292" s="44">
        <f t="shared" si="3"/>
        <v>41</v>
      </c>
      <c r="K292" s="44">
        <f t="shared" si="4"/>
        <v>41</v>
      </c>
      <c r="L292" s="68"/>
      <c r="M292" s="69"/>
      <c r="N292" s="44" t="str">
        <f t="shared" si="5"/>
        <v/>
      </c>
      <c r="O292" s="44" t="str">
        <f t="shared" si="6"/>
        <v/>
      </c>
      <c r="P292" s="70"/>
      <c r="Q292" s="71"/>
      <c r="R292" s="71"/>
      <c r="S292" s="31"/>
    </row>
    <row r="293">
      <c r="A293" s="37" t="s">
        <v>48</v>
      </c>
      <c r="B293" s="77" t="s">
        <v>125</v>
      </c>
      <c r="C293" s="44"/>
      <c r="D293" s="64">
        <v>45707.0</v>
      </c>
      <c r="E293" s="64">
        <f t="shared" si="81"/>
        <v>45714</v>
      </c>
      <c r="F293" s="64">
        <f t="shared" si="82"/>
        <v>45735</v>
      </c>
      <c r="G293" s="96" t="s">
        <v>129</v>
      </c>
      <c r="H293" s="102">
        <v>1.0</v>
      </c>
      <c r="I293" s="103">
        <v>153.0</v>
      </c>
      <c r="J293" s="44">
        <f t="shared" si="3"/>
        <v>77</v>
      </c>
      <c r="K293" s="44">
        <f t="shared" si="4"/>
        <v>77</v>
      </c>
      <c r="L293" s="68"/>
      <c r="M293" s="69"/>
      <c r="N293" s="44" t="str">
        <f t="shared" si="5"/>
        <v/>
      </c>
      <c r="O293" s="44" t="str">
        <f t="shared" si="6"/>
        <v/>
      </c>
      <c r="P293" s="70"/>
      <c r="Q293" s="71"/>
      <c r="R293" s="71"/>
      <c r="S293" s="31"/>
    </row>
    <row r="294">
      <c r="A294" s="37" t="s">
        <v>130</v>
      </c>
      <c r="B294" s="77" t="s">
        <v>125</v>
      </c>
      <c r="C294" s="44"/>
      <c r="D294" s="64">
        <v>45707.0</v>
      </c>
      <c r="E294" s="64">
        <f t="shared" si="81"/>
        <v>45714</v>
      </c>
      <c r="F294" s="64">
        <f t="shared" si="82"/>
        <v>45735</v>
      </c>
      <c r="G294" s="96" t="s">
        <v>131</v>
      </c>
      <c r="H294" s="68">
        <v>37.0</v>
      </c>
      <c r="I294" s="69">
        <v>133.0</v>
      </c>
      <c r="J294" s="44">
        <f t="shared" si="3"/>
        <v>49</v>
      </c>
      <c r="K294" s="44">
        <f t="shared" si="4"/>
        <v>49</v>
      </c>
      <c r="L294" s="68"/>
      <c r="M294" s="69"/>
      <c r="N294" s="44" t="str">
        <f t="shared" si="5"/>
        <v/>
      </c>
      <c r="O294" s="44" t="str">
        <f t="shared" si="6"/>
        <v/>
      </c>
      <c r="P294" s="70">
        <v>201.0</v>
      </c>
      <c r="Q294" s="71"/>
      <c r="R294" s="71"/>
      <c r="S294" s="31"/>
    </row>
    <row r="295">
      <c r="A295" s="37" t="s">
        <v>130</v>
      </c>
      <c r="B295" s="77" t="s">
        <v>125</v>
      </c>
      <c r="C295" s="44"/>
      <c r="D295" s="64">
        <v>45707.0</v>
      </c>
      <c r="E295" s="64">
        <f t="shared" si="81"/>
        <v>45714</v>
      </c>
      <c r="F295" s="64">
        <f t="shared" si="82"/>
        <v>45735</v>
      </c>
      <c r="G295" s="96" t="s">
        <v>111</v>
      </c>
      <c r="H295" s="68">
        <v>129.0</v>
      </c>
      <c r="I295" s="69">
        <v>183.0</v>
      </c>
      <c r="J295" s="44">
        <f t="shared" si="3"/>
        <v>28</v>
      </c>
      <c r="K295" s="44">
        <f t="shared" si="4"/>
        <v>28</v>
      </c>
      <c r="L295" s="68"/>
      <c r="M295" s="69"/>
      <c r="N295" s="44" t="str">
        <f t="shared" si="5"/>
        <v/>
      </c>
      <c r="O295" s="44" t="str">
        <f t="shared" si="6"/>
        <v/>
      </c>
      <c r="P295" s="70">
        <v>201.0</v>
      </c>
      <c r="Q295" s="71"/>
      <c r="R295" s="71"/>
      <c r="S295" s="31"/>
    </row>
    <row r="296">
      <c r="A296" s="37" t="s">
        <v>48</v>
      </c>
      <c r="B296" s="77" t="s">
        <v>125</v>
      </c>
      <c r="C296" s="44"/>
      <c r="D296" s="64">
        <v>45707.0</v>
      </c>
      <c r="E296" s="64">
        <f t="shared" ref="E296:E298" si="83">D296+7</f>
        <v>45714</v>
      </c>
      <c r="F296" s="66">
        <f t="shared" ref="F296:F298" si="84">D296+28</f>
        <v>45735</v>
      </c>
      <c r="G296" s="88" t="s">
        <v>16</v>
      </c>
      <c r="H296" s="68">
        <v>1191.0</v>
      </c>
      <c r="I296" s="69">
        <v>1231.0</v>
      </c>
      <c r="J296" s="44">
        <f t="shared" si="3"/>
        <v>21</v>
      </c>
      <c r="K296" s="44">
        <f t="shared" si="4"/>
        <v>21</v>
      </c>
      <c r="L296" s="68">
        <v>1054.0</v>
      </c>
      <c r="M296" s="69">
        <v>1138.0</v>
      </c>
      <c r="N296" s="44">
        <f t="shared" si="5"/>
        <v>43</v>
      </c>
      <c r="O296" s="44">
        <f t="shared" si="6"/>
        <v>43</v>
      </c>
      <c r="P296" s="70">
        <v>198.0</v>
      </c>
      <c r="Q296" s="71"/>
      <c r="R296" s="71"/>
      <c r="S296" s="31"/>
    </row>
    <row r="297">
      <c r="A297" s="37" t="s">
        <v>48</v>
      </c>
      <c r="B297" s="77" t="s">
        <v>125</v>
      </c>
      <c r="C297" s="44"/>
      <c r="D297" s="64">
        <v>45707.0</v>
      </c>
      <c r="E297" s="64">
        <f t="shared" si="83"/>
        <v>45714</v>
      </c>
      <c r="F297" s="66">
        <f t="shared" si="84"/>
        <v>45735</v>
      </c>
      <c r="G297" s="88" t="s">
        <v>11</v>
      </c>
      <c r="H297" s="68">
        <v>627.0</v>
      </c>
      <c r="I297" s="69">
        <v>689.0</v>
      </c>
      <c r="J297" s="44">
        <f t="shared" si="3"/>
        <v>32</v>
      </c>
      <c r="K297" s="44">
        <f t="shared" si="4"/>
        <v>32</v>
      </c>
      <c r="L297" s="68">
        <v>30.0</v>
      </c>
      <c r="M297" s="69">
        <v>74.0</v>
      </c>
      <c r="N297" s="44">
        <f t="shared" si="5"/>
        <v>23</v>
      </c>
      <c r="O297" s="44">
        <f t="shared" si="6"/>
        <v>23</v>
      </c>
      <c r="P297" s="70">
        <v>199.0</v>
      </c>
      <c r="Q297" s="71"/>
      <c r="R297" s="71"/>
      <c r="S297" s="31"/>
    </row>
    <row r="298">
      <c r="A298" s="37" t="s">
        <v>48</v>
      </c>
      <c r="B298" s="77" t="s">
        <v>125</v>
      </c>
      <c r="C298" s="44"/>
      <c r="D298" s="64">
        <v>45707.0</v>
      </c>
      <c r="E298" s="64">
        <f t="shared" si="83"/>
        <v>45714</v>
      </c>
      <c r="F298" s="66">
        <f t="shared" si="84"/>
        <v>45735</v>
      </c>
      <c r="G298" s="88" t="s">
        <v>11</v>
      </c>
      <c r="H298" s="68"/>
      <c r="I298" s="69"/>
      <c r="J298" s="44" t="str">
        <f t="shared" si="3"/>
        <v/>
      </c>
      <c r="K298" s="44" t="str">
        <f t="shared" si="4"/>
        <v/>
      </c>
      <c r="L298" s="68">
        <v>140.0</v>
      </c>
      <c r="M298" s="69">
        <v>166.0</v>
      </c>
      <c r="N298" s="44">
        <f t="shared" si="5"/>
        <v>14</v>
      </c>
      <c r="O298" s="44">
        <f t="shared" si="6"/>
        <v>14</v>
      </c>
      <c r="P298" s="70">
        <v>199.0</v>
      </c>
      <c r="Q298" s="71"/>
      <c r="R298" s="71"/>
      <c r="S298" s="31"/>
    </row>
    <row r="299">
      <c r="A299" s="37" t="s">
        <v>48</v>
      </c>
      <c r="B299" s="77" t="s">
        <v>125</v>
      </c>
      <c r="C299" s="44"/>
      <c r="D299" s="64">
        <v>45708.0</v>
      </c>
      <c r="E299" s="64">
        <f t="shared" ref="E299:E302" si="85">D299+7</f>
        <v>45715</v>
      </c>
      <c r="F299" s="64">
        <f t="shared" ref="F299:F302" si="86">D299+28</f>
        <v>45736</v>
      </c>
      <c r="G299" s="96" t="s">
        <v>111</v>
      </c>
      <c r="H299" s="68">
        <v>123.0</v>
      </c>
      <c r="I299" s="69">
        <v>127.0</v>
      </c>
      <c r="J299" s="44">
        <f t="shared" si="3"/>
        <v>3</v>
      </c>
      <c r="K299" s="44">
        <f t="shared" si="4"/>
        <v>3</v>
      </c>
      <c r="L299" s="68">
        <v>130.0</v>
      </c>
      <c r="M299" s="69">
        <v>160.0</v>
      </c>
      <c r="N299" s="44">
        <f t="shared" si="5"/>
        <v>16</v>
      </c>
      <c r="O299" s="44">
        <f t="shared" si="6"/>
        <v>16</v>
      </c>
      <c r="P299" s="70">
        <v>205.0</v>
      </c>
      <c r="Q299" s="71"/>
      <c r="R299" s="71"/>
      <c r="S299" s="31"/>
    </row>
    <row r="300">
      <c r="A300" s="37" t="s">
        <v>48</v>
      </c>
      <c r="B300" s="77" t="s">
        <v>125</v>
      </c>
      <c r="C300" s="44"/>
      <c r="D300" s="64">
        <v>45708.0</v>
      </c>
      <c r="E300" s="64">
        <f t="shared" si="85"/>
        <v>45715</v>
      </c>
      <c r="F300" s="64">
        <f t="shared" si="86"/>
        <v>45736</v>
      </c>
      <c r="G300" s="96" t="s">
        <v>111</v>
      </c>
      <c r="H300" s="68">
        <v>183.0</v>
      </c>
      <c r="I300" s="69">
        <v>213.0</v>
      </c>
      <c r="J300" s="44">
        <f t="shared" si="3"/>
        <v>16</v>
      </c>
      <c r="K300" s="44">
        <f t="shared" si="4"/>
        <v>16</v>
      </c>
      <c r="L300" s="68">
        <v>164.0</v>
      </c>
      <c r="M300" s="69">
        <v>182.0</v>
      </c>
      <c r="N300" s="44">
        <f t="shared" si="5"/>
        <v>10</v>
      </c>
      <c r="O300" s="44">
        <f t="shared" si="6"/>
        <v>10</v>
      </c>
      <c r="P300" s="70">
        <v>205.0</v>
      </c>
      <c r="Q300" s="71"/>
      <c r="R300" s="71"/>
      <c r="S300" s="31"/>
    </row>
    <row r="301">
      <c r="A301" s="37" t="s">
        <v>48</v>
      </c>
      <c r="B301" s="77" t="s">
        <v>125</v>
      </c>
      <c r="C301" s="44"/>
      <c r="D301" s="64">
        <v>45708.0</v>
      </c>
      <c r="E301" s="64">
        <f t="shared" si="85"/>
        <v>45715</v>
      </c>
      <c r="F301" s="64">
        <f t="shared" si="86"/>
        <v>45736</v>
      </c>
      <c r="G301" s="96" t="s">
        <v>131</v>
      </c>
      <c r="H301" s="68"/>
      <c r="I301" s="69"/>
      <c r="J301" s="44" t="str">
        <f t="shared" si="3"/>
        <v/>
      </c>
      <c r="K301" s="44" t="str">
        <f t="shared" si="4"/>
        <v/>
      </c>
      <c r="L301" s="68">
        <v>38.0</v>
      </c>
      <c r="M301" s="69">
        <v>58.0</v>
      </c>
      <c r="N301" s="44">
        <f t="shared" si="5"/>
        <v>11</v>
      </c>
      <c r="O301" s="44">
        <f t="shared" si="6"/>
        <v>11</v>
      </c>
      <c r="P301" s="70">
        <v>205.0</v>
      </c>
      <c r="Q301" s="71"/>
      <c r="R301" s="71"/>
      <c r="S301" s="31"/>
    </row>
    <row r="302">
      <c r="A302" s="37" t="s">
        <v>48</v>
      </c>
      <c r="B302" s="77" t="s">
        <v>125</v>
      </c>
      <c r="C302" s="44"/>
      <c r="D302" s="64">
        <v>45708.0</v>
      </c>
      <c r="E302" s="64">
        <f t="shared" si="85"/>
        <v>45715</v>
      </c>
      <c r="F302" s="64">
        <f t="shared" si="86"/>
        <v>45736</v>
      </c>
      <c r="G302" s="96" t="s">
        <v>129</v>
      </c>
      <c r="H302" s="68">
        <v>155.0</v>
      </c>
      <c r="I302" s="69">
        <v>157.0</v>
      </c>
      <c r="J302" s="44">
        <f t="shared" si="3"/>
        <v>2</v>
      </c>
      <c r="K302" s="44">
        <f t="shared" si="4"/>
        <v>2</v>
      </c>
      <c r="L302" s="68">
        <v>2.0</v>
      </c>
      <c r="M302" s="69">
        <v>152.0</v>
      </c>
      <c r="N302" s="44">
        <f t="shared" si="5"/>
        <v>76</v>
      </c>
      <c r="O302" s="44">
        <f t="shared" si="6"/>
        <v>76</v>
      </c>
      <c r="P302" s="70">
        <v>207.0</v>
      </c>
      <c r="Q302" s="71"/>
      <c r="R302" s="71"/>
      <c r="S302" s="31"/>
    </row>
    <row r="303">
      <c r="A303" s="37" t="s">
        <v>48</v>
      </c>
      <c r="B303" s="77" t="s">
        <v>125</v>
      </c>
      <c r="C303" s="44"/>
      <c r="D303" s="64">
        <v>45708.0</v>
      </c>
      <c r="E303" s="64">
        <f t="shared" ref="E303:E304" si="87">D303+7</f>
        <v>45715</v>
      </c>
      <c r="F303" s="66">
        <f t="shared" ref="F303:F304" si="88">D303+28</f>
        <v>45736</v>
      </c>
      <c r="G303" s="88" t="s">
        <v>16</v>
      </c>
      <c r="H303" s="68">
        <v>1233.0</v>
      </c>
      <c r="I303" s="69">
        <v>1327.0</v>
      </c>
      <c r="J303" s="44">
        <f t="shared" si="3"/>
        <v>48</v>
      </c>
      <c r="K303" s="44">
        <f t="shared" si="4"/>
        <v>48</v>
      </c>
      <c r="L303" s="68"/>
      <c r="M303" s="69"/>
      <c r="N303" s="44" t="str">
        <f t="shared" si="5"/>
        <v/>
      </c>
      <c r="O303" s="44" t="str">
        <f t="shared" si="6"/>
        <v/>
      </c>
      <c r="P303" s="70">
        <v>206.0</v>
      </c>
      <c r="Q303" s="71"/>
      <c r="R303" s="71"/>
      <c r="S303" s="31"/>
    </row>
    <row r="304">
      <c r="A304" s="37" t="s">
        <v>48</v>
      </c>
      <c r="B304" s="77" t="s">
        <v>125</v>
      </c>
      <c r="C304" s="44"/>
      <c r="D304" s="64">
        <v>45708.0</v>
      </c>
      <c r="E304" s="64">
        <f t="shared" si="87"/>
        <v>45715</v>
      </c>
      <c r="F304" s="66">
        <f t="shared" si="88"/>
        <v>45736</v>
      </c>
      <c r="G304" s="88" t="s">
        <v>11</v>
      </c>
      <c r="H304" s="68">
        <v>691.0</v>
      </c>
      <c r="I304" s="69">
        <v>771.0</v>
      </c>
      <c r="J304" s="44">
        <f t="shared" si="3"/>
        <v>41</v>
      </c>
      <c r="K304" s="44">
        <f t="shared" si="4"/>
        <v>41</v>
      </c>
      <c r="L304" s="68"/>
      <c r="M304" s="69"/>
      <c r="N304" s="44" t="str">
        <f t="shared" si="5"/>
        <v/>
      </c>
      <c r="O304" s="44" t="str">
        <f t="shared" si="6"/>
        <v/>
      </c>
      <c r="P304" s="70">
        <v>204.0</v>
      </c>
      <c r="Q304" s="71"/>
      <c r="R304" s="71"/>
      <c r="S304" s="31"/>
    </row>
    <row r="305">
      <c r="A305" s="37" t="s">
        <v>48</v>
      </c>
      <c r="B305" s="77" t="s">
        <v>125</v>
      </c>
      <c r="C305" s="44"/>
      <c r="D305" s="64">
        <v>45712.0</v>
      </c>
      <c r="E305" s="64">
        <f t="shared" ref="E305:E310" si="89">D305+7</f>
        <v>45719</v>
      </c>
      <c r="F305" s="64">
        <f t="shared" ref="F305:F310" si="90">D305+28</f>
        <v>45740</v>
      </c>
      <c r="G305" s="96" t="s">
        <v>129</v>
      </c>
      <c r="H305" s="68">
        <v>159.0</v>
      </c>
      <c r="I305" s="69">
        <v>181.0</v>
      </c>
      <c r="J305" s="44">
        <f t="shared" si="3"/>
        <v>12</v>
      </c>
      <c r="K305" s="44">
        <f t="shared" si="4"/>
        <v>12</v>
      </c>
      <c r="L305" s="68">
        <v>158.0</v>
      </c>
      <c r="M305" s="69">
        <v>174.0</v>
      </c>
      <c r="N305" s="44">
        <f t="shared" si="5"/>
        <v>9</v>
      </c>
      <c r="O305" s="44">
        <f t="shared" si="6"/>
        <v>9</v>
      </c>
      <c r="P305" s="70">
        <v>210.0</v>
      </c>
      <c r="Q305" s="71"/>
      <c r="R305" s="71"/>
      <c r="S305" s="31"/>
    </row>
    <row r="306">
      <c r="A306" s="37" t="s">
        <v>48</v>
      </c>
      <c r="B306" s="77" t="s">
        <v>125</v>
      </c>
      <c r="C306" s="44"/>
      <c r="D306" s="64">
        <v>45712.0</v>
      </c>
      <c r="E306" s="64">
        <f t="shared" si="89"/>
        <v>45719</v>
      </c>
      <c r="F306" s="64">
        <f t="shared" si="90"/>
        <v>45740</v>
      </c>
      <c r="G306" s="96" t="s">
        <v>129</v>
      </c>
      <c r="H306" s="68">
        <v>183.0</v>
      </c>
      <c r="I306" s="69">
        <v>249.0</v>
      </c>
      <c r="J306" s="44">
        <f t="shared" si="3"/>
        <v>34</v>
      </c>
      <c r="K306" s="44">
        <f t="shared" si="4"/>
        <v>34</v>
      </c>
      <c r="L306" s="68"/>
      <c r="M306" s="69"/>
      <c r="N306" s="44" t="str">
        <f t="shared" si="5"/>
        <v/>
      </c>
      <c r="O306" s="44" t="str">
        <f t="shared" si="6"/>
        <v/>
      </c>
      <c r="P306" s="70">
        <v>210.0</v>
      </c>
      <c r="Q306" s="71"/>
      <c r="R306" s="71"/>
      <c r="S306" s="31"/>
    </row>
    <row r="307">
      <c r="A307" s="37" t="s">
        <v>48</v>
      </c>
      <c r="B307" s="77" t="s">
        <v>125</v>
      </c>
      <c r="C307" s="44"/>
      <c r="D307" s="64">
        <v>45712.0</v>
      </c>
      <c r="E307" s="64">
        <f t="shared" si="89"/>
        <v>45719</v>
      </c>
      <c r="F307" s="64">
        <f t="shared" si="90"/>
        <v>45740</v>
      </c>
      <c r="G307" s="96" t="s">
        <v>129</v>
      </c>
      <c r="H307" s="68">
        <v>255.0</v>
      </c>
      <c r="I307" s="69">
        <v>307.0</v>
      </c>
      <c r="J307" s="44">
        <f t="shared" si="3"/>
        <v>27</v>
      </c>
      <c r="K307" s="44">
        <f t="shared" si="4"/>
        <v>27</v>
      </c>
      <c r="L307" s="68"/>
      <c r="M307" s="69"/>
      <c r="N307" s="44" t="str">
        <f t="shared" si="5"/>
        <v/>
      </c>
      <c r="O307" s="44" t="str">
        <f t="shared" si="6"/>
        <v/>
      </c>
      <c r="P307" s="70">
        <v>210.0</v>
      </c>
      <c r="Q307" s="71"/>
      <c r="R307" s="71"/>
      <c r="S307" s="31"/>
    </row>
    <row r="308">
      <c r="A308" s="37" t="s">
        <v>48</v>
      </c>
      <c r="B308" s="77" t="s">
        <v>125</v>
      </c>
      <c r="C308" s="44"/>
      <c r="D308" s="64">
        <v>45712.0</v>
      </c>
      <c r="E308" s="64">
        <f t="shared" si="89"/>
        <v>45719</v>
      </c>
      <c r="F308" s="64">
        <f t="shared" si="90"/>
        <v>45740</v>
      </c>
      <c r="G308" s="96" t="s">
        <v>131</v>
      </c>
      <c r="H308" s="68"/>
      <c r="I308" s="69"/>
      <c r="J308" s="44" t="str">
        <f t="shared" si="3"/>
        <v/>
      </c>
      <c r="K308" s="44" t="str">
        <f t="shared" si="4"/>
        <v/>
      </c>
      <c r="L308" s="68">
        <v>62.0</v>
      </c>
      <c r="M308" s="69">
        <v>106.0</v>
      </c>
      <c r="N308" s="44">
        <f t="shared" si="5"/>
        <v>23</v>
      </c>
      <c r="O308" s="44">
        <f t="shared" si="6"/>
        <v>23</v>
      </c>
      <c r="P308" s="70">
        <v>211.0</v>
      </c>
      <c r="Q308" s="71"/>
      <c r="R308" s="71"/>
      <c r="S308" s="31"/>
    </row>
    <row r="309">
      <c r="A309" s="37" t="s">
        <v>48</v>
      </c>
      <c r="B309" s="77" t="s">
        <v>125</v>
      </c>
      <c r="C309" s="44"/>
      <c r="D309" s="64">
        <v>45712.0</v>
      </c>
      <c r="E309" s="64">
        <f t="shared" si="89"/>
        <v>45719</v>
      </c>
      <c r="F309" s="64">
        <f t="shared" si="90"/>
        <v>45740</v>
      </c>
      <c r="G309" s="96" t="s">
        <v>131</v>
      </c>
      <c r="H309" s="68"/>
      <c r="I309" s="69"/>
      <c r="J309" s="44" t="str">
        <f t="shared" si="3"/>
        <v/>
      </c>
      <c r="K309" s="44" t="str">
        <f t="shared" si="4"/>
        <v/>
      </c>
      <c r="L309" s="68">
        <v>110.0</v>
      </c>
      <c r="M309" s="69">
        <v>150.0</v>
      </c>
      <c r="N309" s="44">
        <f t="shared" si="5"/>
        <v>21</v>
      </c>
      <c r="O309" s="44">
        <f t="shared" si="6"/>
        <v>21</v>
      </c>
      <c r="P309" s="70">
        <v>211.0</v>
      </c>
      <c r="Q309" s="71"/>
      <c r="R309" s="71"/>
      <c r="S309" s="31"/>
    </row>
    <row r="310">
      <c r="A310" s="37" t="s">
        <v>48</v>
      </c>
      <c r="B310" s="77" t="s">
        <v>125</v>
      </c>
      <c r="C310" s="44"/>
      <c r="D310" s="64">
        <v>45712.0</v>
      </c>
      <c r="E310" s="64">
        <f t="shared" si="89"/>
        <v>45719</v>
      </c>
      <c r="F310" s="64">
        <f t="shared" si="90"/>
        <v>45740</v>
      </c>
      <c r="G310" s="96" t="s">
        <v>131</v>
      </c>
      <c r="H310" s="68"/>
      <c r="I310" s="69"/>
      <c r="J310" s="44" t="str">
        <f t="shared" si="3"/>
        <v/>
      </c>
      <c r="K310" s="44" t="str">
        <f t="shared" si="4"/>
        <v/>
      </c>
      <c r="L310" s="68">
        <v>222.0</v>
      </c>
      <c r="M310" s="69">
        <v>222.0</v>
      </c>
      <c r="N310" s="44">
        <f t="shared" si="5"/>
        <v>1</v>
      </c>
      <c r="O310" s="44">
        <f t="shared" si="6"/>
        <v>1</v>
      </c>
      <c r="P310" s="70">
        <v>211.0</v>
      </c>
      <c r="Q310" s="71"/>
      <c r="R310" s="71"/>
      <c r="S310" s="31"/>
    </row>
    <row r="311">
      <c r="A311" s="37" t="s">
        <v>48</v>
      </c>
      <c r="B311" s="77" t="s">
        <v>125</v>
      </c>
      <c r="C311" s="44"/>
      <c r="D311" s="64">
        <v>45712.0</v>
      </c>
      <c r="E311" s="64">
        <f t="shared" ref="E311:E313" si="91">D311+7</f>
        <v>45719</v>
      </c>
      <c r="F311" s="66">
        <f t="shared" ref="F311:F313" si="92">D311+28</f>
        <v>45740</v>
      </c>
      <c r="G311" s="88" t="s">
        <v>16</v>
      </c>
      <c r="H311" s="68"/>
      <c r="I311" s="69"/>
      <c r="J311" s="44" t="str">
        <f t="shared" si="3"/>
        <v/>
      </c>
      <c r="K311" s="44" t="str">
        <f t="shared" si="4"/>
        <v/>
      </c>
      <c r="L311" s="68">
        <v>1140.0</v>
      </c>
      <c r="M311" s="69">
        <v>1270.0</v>
      </c>
      <c r="N311" s="44">
        <f t="shared" si="5"/>
        <v>66</v>
      </c>
      <c r="O311" s="44">
        <f t="shared" si="6"/>
        <v>66</v>
      </c>
      <c r="P311" s="70">
        <v>208.0</v>
      </c>
      <c r="Q311" s="71"/>
      <c r="R311" s="71"/>
      <c r="S311" s="31"/>
    </row>
    <row r="312">
      <c r="A312" s="37" t="s">
        <v>48</v>
      </c>
      <c r="B312" s="77" t="s">
        <v>125</v>
      </c>
      <c r="C312" s="44"/>
      <c r="D312" s="64">
        <v>45712.0</v>
      </c>
      <c r="E312" s="64">
        <f t="shared" si="91"/>
        <v>45719</v>
      </c>
      <c r="F312" s="66">
        <f t="shared" si="92"/>
        <v>45740</v>
      </c>
      <c r="G312" s="88" t="s">
        <v>16</v>
      </c>
      <c r="H312" s="68"/>
      <c r="I312" s="69"/>
      <c r="J312" s="44" t="str">
        <f t="shared" si="3"/>
        <v/>
      </c>
      <c r="K312" s="44" t="str">
        <f t="shared" si="4"/>
        <v/>
      </c>
      <c r="L312" s="68">
        <v>1272.0</v>
      </c>
      <c r="M312" s="69">
        <v>1328.0</v>
      </c>
      <c r="N312" s="44">
        <f t="shared" si="5"/>
        <v>29</v>
      </c>
      <c r="O312" s="44">
        <f t="shared" si="6"/>
        <v>29</v>
      </c>
      <c r="P312" s="70" t="s">
        <v>132</v>
      </c>
      <c r="Q312" s="71"/>
      <c r="R312" s="71"/>
      <c r="S312" s="31"/>
    </row>
    <row r="313">
      <c r="A313" s="37" t="s">
        <v>48</v>
      </c>
      <c r="B313" s="81" t="s">
        <v>133</v>
      </c>
      <c r="C313" s="82" t="s">
        <v>134</v>
      </c>
      <c r="D313" s="64">
        <v>45712.0</v>
      </c>
      <c r="E313" s="64">
        <f t="shared" si="91"/>
        <v>45719</v>
      </c>
      <c r="F313" s="66">
        <f t="shared" si="92"/>
        <v>45740</v>
      </c>
      <c r="G313" s="88" t="s">
        <v>11</v>
      </c>
      <c r="H313" s="68">
        <v>773.0</v>
      </c>
      <c r="I313" s="69">
        <v>879.0</v>
      </c>
      <c r="J313" s="44">
        <f t="shared" si="3"/>
        <v>54</v>
      </c>
      <c r="K313" s="44">
        <f t="shared" si="4"/>
        <v>54</v>
      </c>
      <c r="L313" s="68">
        <v>626.0</v>
      </c>
      <c r="M313" s="69">
        <v>630.0</v>
      </c>
      <c r="N313" s="44">
        <f t="shared" si="5"/>
        <v>3</v>
      </c>
      <c r="O313" s="44">
        <f t="shared" si="6"/>
        <v>3</v>
      </c>
      <c r="P313" s="70">
        <v>209.0</v>
      </c>
      <c r="Q313" s="71"/>
      <c r="R313" s="71"/>
      <c r="S313" s="31"/>
    </row>
    <row r="314">
      <c r="A314" s="37" t="s">
        <v>48</v>
      </c>
      <c r="B314" s="77" t="s">
        <v>125</v>
      </c>
      <c r="C314" s="44"/>
      <c r="D314" s="64">
        <v>45713.0</v>
      </c>
      <c r="E314" s="64">
        <f t="shared" ref="E314:E317" si="93">D314+7</f>
        <v>45720</v>
      </c>
      <c r="F314" s="64">
        <f t="shared" ref="F314:F317" si="94">D314+28</f>
        <v>45741</v>
      </c>
      <c r="G314" s="96" t="s">
        <v>126</v>
      </c>
      <c r="H314" s="68">
        <v>73.0</v>
      </c>
      <c r="I314" s="69">
        <v>119.0</v>
      </c>
      <c r="J314" s="44">
        <f t="shared" si="3"/>
        <v>24</v>
      </c>
      <c r="K314" s="44">
        <f t="shared" si="4"/>
        <v>24</v>
      </c>
      <c r="L314" s="68">
        <v>292.0</v>
      </c>
      <c r="M314" s="69">
        <v>302.0</v>
      </c>
      <c r="N314" s="44">
        <f t="shared" si="5"/>
        <v>6</v>
      </c>
      <c r="O314" s="44">
        <f t="shared" si="6"/>
        <v>6</v>
      </c>
      <c r="P314" s="70">
        <v>212.0</v>
      </c>
      <c r="Q314" s="71"/>
      <c r="R314" s="71"/>
      <c r="S314" s="31"/>
    </row>
    <row r="315">
      <c r="A315" s="37" t="s">
        <v>48</v>
      </c>
      <c r="B315" s="77" t="s">
        <v>125</v>
      </c>
      <c r="C315" s="44"/>
      <c r="D315" s="64">
        <v>45713.0</v>
      </c>
      <c r="E315" s="64">
        <f t="shared" si="93"/>
        <v>45720</v>
      </c>
      <c r="F315" s="64">
        <f t="shared" si="94"/>
        <v>45741</v>
      </c>
      <c r="G315" s="96" t="s">
        <v>126</v>
      </c>
      <c r="H315" s="68">
        <v>141.0</v>
      </c>
      <c r="I315" s="69">
        <v>289.0</v>
      </c>
      <c r="J315" s="44">
        <f t="shared" si="3"/>
        <v>75</v>
      </c>
      <c r="K315" s="44">
        <f t="shared" si="4"/>
        <v>75</v>
      </c>
      <c r="L315" s="68"/>
      <c r="M315" s="69"/>
      <c r="N315" s="44" t="str">
        <f t="shared" si="5"/>
        <v/>
      </c>
      <c r="O315" s="44" t="str">
        <f t="shared" si="6"/>
        <v/>
      </c>
      <c r="P315" s="70">
        <v>212.0</v>
      </c>
      <c r="Q315" s="71"/>
      <c r="R315" s="71"/>
      <c r="S315" s="31"/>
    </row>
    <row r="316">
      <c r="A316" s="37" t="s">
        <v>48</v>
      </c>
      <c r="B316" s="77" t="s">
        <v>125</v>
      </c>
      <c r="C316" s="44"/>
      <c r="D316" s="64">
        <v>45713.0</v>
      </c>
      <c r="E316" s="64">
        <f t="shared" si="93"/>
        <v>45720</v>
      </c>
      <c r="F316" s="64">
        <f t="shared" si="94"/>
        <v>45741</v>
      </c>
      <c r="G316" s="96" t="s">
        <v>131</v>
      </c>
      <c r="H316" s="68">
        <v>227.0</v>
      </c>
      <c r="I316" s="69">
        <v>303.0</v>
      </c>
      <c r="J316" s="44">
        <f t="shared" si="3"/>
        <v>39</v>
      </c>
      <c r="K316" s="44">
        <f t="shared" si="4"/>
        <v>39</v>
      </c>
      <c r="L316" s="68"/>
      <c r="M316" s="69"/>
      <c r="N316" s="44" t="str">
        <f t="shared" si="5"/>
        <v/>
      </c>
      <c r="O316" s="44" t="str">
        <f t="shared" si="6"/>
        <v/>
      </c>
      <c r="P316" s="70">
        <v>213.0</v>
      </c>
      <c r="Q316" s="71"/>
      <c r="R316" s="71"/>
      <c r="S316" s="31"/>
    </row>
    <row r="317">
      <c r="A317" s="37" t="s">
        <v>48</v>
      </c>
      <c r="B317" s="77" t="s">
        <v>125</v>
      </c>
      <c r="C317" s="44"/>
      <c r="D317" s="64">
        <v>45713.0</v>
      </c>
      <c r="E317" s="64">
        <f t="shared" si="93"/>
        <v>45720</v>
      </c>
      <c r="F317" s="64">
        <f t="shared" si="94"/>
        <v>45741</v>
      </c>
      <c r="G317" s="96" t="s">
        <v>111</v>
      </c>
      <c r="H317" s="68">
        <v>215.0</v>
      </c>
      <c r="I317" s="69">
        <v>305.0</v>
      </c>
      <c r="J317" s="44">
        <f t="shared" si="3"/>
        <v>46</v>
      </c>
      <c r="K317" s="44">
        <f t="shared" si="4"/>
        <v>46</v>
      </c>
      <c r="L317" s="68">
        <v>188.0</v>
      </c>
      <c r="M317" s="69">
        <v>204.0</v>
      </c>
      <c r="N317" s="44">
        <f t="shared" si="5"/>
        <v>9</v>
      </c>
      <c r="O317" s="44">
        <f t="shared" si="6"/>
        <v>9</v>
      </c>
      <c r="P317" s="70">
        <v>213.0</v>
      </c>
      <c r="Q317" s="71"/>
      <c r="R317" s="71"/>
      <c r="S317" s="31"/>
    </row>
    <row r="318">
      <c r="A318" s="37" t="s">
        <v>48</v>
      </c>
      <c r="B318" s="77" t="s">
        <v>125</v>
      </c>
      <c r="C318" s="44"/>
      <c r="D318" s="64">
        <v>45713.0</v>
      </c>
      <c r="E318" s="64">
        <f t="shared" ref="E318:E319" si="95">D318+7</f>
        <v>45720</v>
      </c>
      <c r="F318" s="64">
        <f t="shared" ref="F318:F319" si="96">D318+28</f>
        <v>45741</v>
      </c>
      <c r="G318" s="104" t="s">
        <v>111</v>
      </c>
      <c r="H318" s="68"/>
      <c r="I318" s="69"/>
      <c r="J318" s="44" t="str">
        <f t="shared" si="3"/>
        <v/>
      </c>
      <c r="K318" s="44" t="str">
        <f t="shared" si="4"/>
        <v/>
      </c>
      <c r="L318" s="68">
        <v>208.0</v>
      </c>
      <c r="M318" s="69">
        <v>212.0</v>
      </c>
      <c r="N318" s="44">
        <f t="shared" si="5"/>
        <v>3</v>
      </c>
      <c r="O318" s="44">
        <f t="shared" si="6"/>
        <v>3</v>
      </c>
      <c r="P318" s="70">
        <v>213.0</v>
      </c>
      <c r="Q318" s="71"/>
      <c r="R318" s="71"/>
      <c r="S318" s="31"/>
    </row>
    <row r="319">
      <c r="A319" s="37" t="s">
        <v>48</v>
      </c>
      <c r="B319" s="77" t="s">
        <v>133</v>
      </c>
      <c r="C319" s="44"/>
      <c r="D319" s="64">
        <v>45713.0</v>
      </c>
      <c r="E319" s="64">
        <f t="shared" si="95"/>
        <v>45720</v>
      </c>
      <c r="F319" s="66">
        <f t="shared" si="96"/>
        <v>45741</v>
      </c>
      <c r="G319" s="88" t="s">
        <v>11</v>
      </c>
      <c r="H319" s="68">
        <v>881.0</v>
      </c>
      <c r="I319" s="69">
        <v>967.0</v>
      </c>
      <c r="J319" s="44">
        <f t="shared" si="3"/>
        <v>44</v>
      </c>
      <c r="K319" s="44">
        <f t="shared" si="4"/>
        <v>44</v>
      </c>
      <c r="L319" s="68"/>
      <c r="M319" s="69"/>
      <c r="N319" s="44" t="str">
        <f t="shared" si="5"/>
        <v/>
      </c>
      <c r="O319" s="44" t="str">
        <f t="shared" si="6"/>
        <v/>
      </c>
      <c r="P319" s="70">
        <v>214.0</v>
      </c>
      <c r="Q319" s="71"/>
      <c r="R319" s="71"/>
      <c r="S319" s="31"/>
    </row>
    <row r="320">
      <c r="A320" s="37" t="s">
        <v>48</v>
      </c>
      <c r="B320" s="77" t="s">
        <v>125</v>
      </c>
      <c r="C320" s="44"/>
      <c r="D320" s="64">
        <v>45714.0</v>
      </c>
      <c r="E320" s="64">
        <f t="shared" ref="E320:E331" si="97">D320+7</f>
        <v>45721</v>
      </c>
      <c r="F320" s="64">
        <f t="shared" ref="F320:F331" si="98">D320+28</f>
        <v>45742</v>
      </c>
      <c r="G320" s="96" t="s">
        <v>131</v>
      </c>
      <c r="H320" s="68">
        <v>135.0</v>
      </c>
      <c r="I320" s="69">
        <v>143.0</v>
      </c>
      <c r="J320" s="44">
        <f t="shared" si="3"/>
        <v>5</v>
      </c>
      <c r="K320" s="44">
        <f t="shared" si="4"/>
        <v>5</v>
      </c>
      <c r="L320" s="68"/>
      <c r="M320" s="69"/>
      <c r="N320" s="44" t="str">
        <f t="shared" si="5"/>
        <v/>
      </c>
      <c r="O320" s="44" t="str">
        <f t="shared" si="6"/>
        <v/>
      </c>
      <c r="P320" s="70">
        <v>217.0</v>
      </c>
      <c r="Q320" s="71"/>
      <c r="R320" s="71"/>
      <c r="S320" s="31"/>
    </row>
    <row r="321">
      <c r="A321" s="37" t="s">
        <v>48</v>
      </c>
      <c r="B321" s="77" t="s">
        <v>125</v>
      </c>
      <c r="C321" s="44"/>
      <c r="D321" s="64">
        <v>45714.0</v>
      </c>
      <c r="E321" s="64">
        <f t="shared" si="97"/>
        <v>45721</v>
      </c>
      <c r="F321" s="64">
        <f t="shared" si="98"/>
        <v>45742</v>
      </c>
      <c r="G321" s="96" t="s">
        <v>111</v>
      </c>
      <c r="H321" s="68">
        <v>307.0</v>
      </c>
      <c r="I321" s="69">
        <v>307.0</v>
      </c>
      <c r="J321" s="44">
        <f t="shared" si="3"/>
        <v>1</v>
      </c>
      <c r="K321" s="44">
        <f t="shared" si="4"/>
        <v>1</v>
      </c>
      <c r="L321" s="68">
        <v>214.0</v>
      </c>
      <c r="M321" s="69">
        <v>304.0</v>
      </c>
      <c r="N321" s="44">
        <f t="shared" si="5"/>
        <v>46</v>
      </c>
      <c r="O321" s="44">
        <f t="shared" si="6"/>
        <v>46</v>
      </c>
      <c r="P321" s="70">
        <v>217.0</v>
      </c>
      <c r="Q321" s="71"/>
      <c r="R321" s="71"/>
      <c r="S321" s="31"/>
    </row>
    <row r="322">
      <c r="A322" s="37" t="s">
        <v>130</v>
      </c>
      <c r="B322" s="77" t="s">
        <v>125</v>
      </c>
      <c r="C322" s="44"/>
      <c r="D322" s="64">
        <v>45714.0</v>
      </c>
      <c r="E322" s="64">
        <f t="shared" si="97"/>
        <v>45721</v>
      </c>
      <c r="F322" s="64">
        <f t="shared" si="98"/>
        <v>45742</v>
      </c>
      <c r="G322" s="96" t="s">
        <v>126</v>
      </c>
      <c r="H322" s="68">
        <v>3.0</v>
      </c>
      <c r="I322" s="69">
        <v>5.0</v>
      </c>
      <c r="J322" s="44">
        <f t="shared" si="3"/>
        <v>2</v>
      </c>
      <c r="K322" s="44">
        <f t="shared" si="4"/>
        <v>2</v>
      </c>
      <c r="L322" s="68">
        <v>8.0</v>
      </c>
      <c r="M322" s="69">
        <v>56.0</v>
      </c>
      <c r="N322" s="44">
        <f t="shared" si="5"/>
        <v>25</v>
      </c>
      <c r="O322" s="44">
        <f t="shared" si="6"/>
        <v>25</v>
      </c>
      <c r="P322" s="70">
        <v>219.0</v>
      </c>
      <c r="Q322" s="71"/>
      <c r="R322" s="71"/>
      <c r="S322" s="31"/>
    </row>
    <row r="323">
      <c r="A323" s="37" t="s">
        <v>130</v>
      </c>
      <c r="B323" s="77" t="s">
        <v>125</v>
      </c>
      <c r="C323" s="44"/>
      <c r="D323" s="64">
        <v>45714.0</v>
      </c>
      <c r="E323" s="64">
        <f t="shared" si="97"/>
        <v>45721</v>
      </c>
      <c r="F323" s="64">
        <f t="shared" si="98"/>
        <v>45742</v>
      </c>
      <c r="G323" s="96" t="s">
        <v>126</v>
      </c>
      <c r="H323" s="68"/>
      <c r="I323" s="69"/>
      <c r="J323" s="44" t="str">
        <f t="shared" si="3"/>
        <v/>
      </c>
      <c r="K323" s="44" t="str">
        <f t="shared" si="4"/>
        <v/>
      </c>
      <c r="L323" s="68">
        <v>110.0</v>
      </c>
      <c r="M323" s="69">
        <v>118.0</v>
      </c>
      <c r="N323" s="44">
        <f t="shared" si="5"/>
        <v>5</v>
      </c>
      <c r="O323" s="44">
        <f t="shared" si="6"/>
        <v>5</v>
      </c>
      <c r="P323" s="70">
        <v>219.0</v>
      </c>
      <c r="Q323" s="71"/>
      <c r="R323" s="71"/>
      <c r="S323" s="31"/>
    </row>
    <row r="324">
      <c r="A324" s="37" t="s">
        <v>130</v>
      </c>
      <c r="B324" s="77" t="s">
        <v>125</v>
      </c>
      <c r="C324" s="44"/>
      <c r="D324" s="64">
        <v>45714.0</v>
      </c>
      <c r="E324" s="64">
        <f t="shared" si="97"/>
        <v>45721</v>
      </c>
      <c r="F324" s="64">
        <f t="shared" si="98"/>
        <v>45742</v>
      </c>
      <c r="G324" s="96" t="s">
        <v>126</v>
      </c>
      <c r="H324" s="68"/>
      <c r="I324" s="69"/>
      <c r="J324" s="44" t="str">
        <f t="shared" si="3"/>
        <v/>
      </c>
      <c r="K324" s="44" t="str">
        <f t="shared" si="4"/>
        <v/>
      </c>
      <c r="L324" s="68">
        <v>142.0</v>
      </c>
      <c r="M324" s="69">
        <v>156.0</v>
      </c>
      <c r="N324" s="44">
        <f t="shared" si="5"/>
        <v>8</v>
      </c>
      <c r="O324" s="44">
        <f t="shared" si="6"/>
        <v>8</v>
      </c>
      <c r="P324" s="70">
        <v>219.0</v>
      </c>
      <c r="Q324" s="71"/>
      <c r="R324" s="71"/>
      <c r="S324" s="31"/>
    </row>
    <row r="325">
      <c r="A325" s="37" t="s">
        <v>130</v>
      </c>
      <c r="B325" s="77" t="s">
        <v>125</v>
      </c>
      <c r="C325" s="44"/>
      <c r="D325" s="64">
        <v>45714.0</v>
      </c>
      <c r="E325" s="64">
        <f t="shared" si="97"/>
        <v>45721</v>
      </c>
      <c r="F325" s="64">
        <f t="shared" si="98"/>
        <v>45742</v>
      </c>
      <c r="G325" s="96" t="s">
        <v>126</v>
      </c>
      <c r="H325" s="68"/>
      <c r="I325" s="69"/>
      <c r="J325" s="44" t="str">
        <f t="shared" si="3"/>
        <v/>
      </c>
      <c r="K325" s="44" t="str">
        <f t="shared" si="4"/>
        <v/>
      </c>
      <c r="L325" s="68">
        <v>160.0</v>
      </c>
      <c r="M325" s="69">
        <v>206.0</v>
      </c>
      <c r="N325" s="44">
        <f t="shared" si="5"/>
        <v>24</v>
      </c>
      <c r="O325" s="44">
        <f t="shared" si="6"/>
        <v>24</v>
      </c>
      <c r="P325" s="70">
        <v>219.0</v>
      </c>
      <c r="Q325" s="71"/>
      <c r="R325" s="71"/>
      <c r="S325" s="31"/>
    </row>
    <row r="326">
      <c r="A326" s="37" t="s">
        <v>130</v>
      </c>
      <c r="B326" s="77" t="s">
        <v>125</v>
      </c>
      <c r="C326" s="44"/>
      <c r="D326" s="64">
        <v>45714.0</v>
      </c>
      <c r="E326" s="64">
        <f t="shared" si="97"/>
        <v>45721</v>
      </c>
      <c r="F326" s="64">
        <f t="shared" si="98"/>
        <v>45742</v>
      </c>
      <c r="G326" s="96" t="s">
        <v>126</v>
      </c>
      <c r="H326" s="68"/>
      <c r="I326" s="69"/>
      <c r="J326" s="44" t="str">
        <f t="shared" si="3"/>
        <v/>
      </c>
      <c r="K326" s="44" t="str">
        <f t="shared" si="4"/>
        <v/>
      </c>
      <c r="L326" s="68">
        <v>210.0</v>
      </c>
      <c r="M326" s="69">
        <v>256.0</v>
      </c>
      <c r="N326" s="44">
        <f t="shared" si="5"/>
        <v>24</v>
      </c>
      <c r="O326" s="44">
        <f t="shared" si="6"/>
        <v>24</v>
      </c>
      <c r="P326" s="70">
        <v>219.0</v>
      </c>
      <c r="Q326" s="71"/>
      <c r="R326" s="71"/>
      <c r="S326" s="31"/>
    </row>
    <row r="327">
      <c r="A327" s="37" t="s">
        <v>130</v>
      </c>
      <c r="B327" s="77" t="s">
        <v>125</v>
      </c>
      <c r="C327" s="44"/>
      <c r="D327" s="64">
        <v>45714.0</v>
      </c>
      <c r="E327" s="64">
        <f t="shared" si="97"/>
        <v>45721</v>
      </c>
      <c r="F327" s="64">
        <f t="shared" si="98"/>
        <v>45742</v>
      </c>
      <c r="G327" s="96" t="s">
        <v>126</v>
      </c>
      <c r="H327" s="68"/>
      <c r="I327" s="69"/>
      <c r="J327" s="44" t="str">
        <f t="shared" si="3"/>
        <v/>
      </c>
      <c r="K327" s="44" t="str">
        <f t="shared" si="4"/>
        <v/>
      </c>
      <c r="L327" s="68">
        <v>60.0</v>
      </c>
      <c r="M327" s="69">
        <v>106.0</v>
      </c>
      <c r="N327" s="44">
        <f t="shared" si="5"/>
        <v>24</v>
      </c>
      <c r="O327" s="44">
        <f t="shared" si="6"/>
        <v>24</v>
      </c>
      <c r="P327" s="70">
        <v>219.0</v>
      </c>
      <c r="Q327" s="71"/>
      <c r="R327" s="71"/>
      <c r="S327" s="31"/>
    </row>
    <row r="328">
      <c r="A328" s="37" t="s">
        <v>130</v>
      </c>
      <c r="B328" s="77" t="s">
        <v>125</v>
      </c>
      <c r="C328" s="44"/>
      <c r="D328" s="64">
        <v>45714.0</v>
      </c>
      <c r="E328" s="64">
        <f t="shared" si="97"/>
        <v>45721</v>
      </c>
      <c r="F328" s="64">
        <f t="shared" si="98"/>
        <v>45742</v>
      </c>
      <c r="G328" s="96" t="s">
        <v>126</v>
      </c>
      <c r="H328" s="68"/>
      <c r="I328" s="69"/>
      <c r="J328" s="44" t="str">
        <f t="shared" si="3"/>
        <v/>
      </c>
      <c r="K328" s="44" t="str">
        <f t="shared" si="4"/>
        <v/>
      </c>
      <c r="L328" s="68">
        <v>260.0</v>
      </c>
      <c r="M328" s="69">
        <v>266.0</v>
      </c>
      <c r="N328" s="44">
        <f t="shared" si="5"/>
        <v>4</v>
      </c>
      <c r="O328" s="44">
        <f t="shared" si="6"/>
        <v>4</v>
      </c>
      <c r="P328" s="70">
        <v>219.0</v>
      </c>
      <c r="Q328" s="71"/>
      <c r="R328" s="71"/>
      <c r="S328" s="31"/>
    </row>
    <row r="329">
      <c r="A329" s="37" t="s">
        <v>48</v>
      </c>
      <c r="B329" s="77" t="s">
        <v>125</v>
      </c>
      <c r="C329" s="44"/>
      <c r="D329" s="64">
        <v>45714.0</v>
      </c>
      <c r="E329" s="64">
        <f t="shared" si="97"/>
        <v>45721</v>
      </c>
      <c r="F329" s="64">
        <f t="shared" si="98"/>
        <v>45742</v>
      </c>
      <c r="G329" s="96" t="s">
        <v>129</v>
      </c>
      <c r="H329" s="68">
        <v>251.0</v>
      </c>
      <c r="I329" s="69">
        <v>253.0</v>
      </c>
      <c r="J329" s="44">
        <f t="shared" si="3"/>
        <v>2</v>
      </c>
      <c r="K329" s="44">
        <f t="shared" si="4"/>
        <v>2</v>
      </c>
      <c r="L329" s="68">
        <v>176.0</v>
      </c>
      <c r="M329" s="69">
        <v>248.0</v>
      </c>
      <c r="N329" s="44">
        <f t="shared" si="5"/>
        <v>37</v>
      </c>
      <c r="O329" s="44">
        <f t="shared" si="6"/>
        <v>37</v>
      </c>
      <c r="P329" s="70">
        <v>220.0</v>
      </c>
      <c r="Q329" s="71"/>
      <c r="R329" s="71"/>
      <c r="S329" s="31"/>
    </row>
    <row r="330">
      <c r="A330" s="37" t="s">
        <v>48</v>
      </c>
      <c r="B330" s="77" t="s">
        <v>125</v>
      </c>
      <c r="C330" s="44"/>
      <c r="D330" s="64">
        <v>45714.0</v>
      </c>
      <c r="E330" s="64">
        <f t="shared" si="97"/>
        <v>45721</v>
      </c>
      <c r="F330" s="64">
        <f t="shared" si="98"/>
        <v>45742</v>
      </c>
      <c r="G330" s="96" t="s">
        <v>129</v>
      </c>
      <c r="H330" s="68"/>
      <c r="I330" s="69"/>
      <c r="J330" s="44" t="str">
        <f t="shared" si="3"/>
        <v/>
      </c>
      <c r="K330" s="44" t="str">
        <f t="shared" si="4"/>
        <v/>
      </c>
      <c r="L330" s="68">
        <v>254.0</v>
      </c>
      <c r="M330" s="69">
        <v>308.0</v>
      </c>
      <c r="N330" s="44">
        <f t="shared" si="5"/>
        <v>28</v>
      </c>
      <c r="O330" s="44">
        <f t="shared" si="6"/>
        <v>28</v>
      </c>
      <c r="P330" s="70">
        <v>220.0</v>
      </c>
      <c r="Q330" s="71"/>
      <c r="R330" s="71"/>
      <c r="S330" s="31"/>
    </row>
    <row r="331">
      <c r="A331" s="37" t="s">
        <v>48</v>
      </c>
      <c r="B331" s="77" t="s">
        <v>125</v>
      </c>
      <c r="C331" s="44"/>
      <c r="D331" s="64">
        <v>45714.0</v>
      </c>
      <c r="E331" s="64">
        <f t="shared" si="97"/>
        <v>45721</v>
      </c>
      <c r="F331" s="64">
        <f t="shared" si="98"/>
        <v>45742</v>
      </c>
      <c r="G331" s="96" t="s">
        <v>129</v>
      </c>
      <c r="H331" s="68"/>
      <c r="I331" s="69"/>
      <c r="J331" s="44" t="str">
        <f t="shared" si="3"/>
        <v/>
      </c>
      <c r="K331" s="44" t="str">
        <f t="shared" si="4"/>
        <v/>
      </c>
      <c r="L331" s="68">
        <v>250.0</v>
      </c>
      <c r="M331" s="69">
        <v>252.0</v>
      </c>
      <c r="N331" s="44">
        <f t="shared" si="5"/>
        <v>2</v>
      </c>
      <c r="O331" s="44">
        <f t="shared" si="6"/>
        <v>2</v>
      </c>
      <c r="P331" s="70">
        <v>220.0</v>
      </c>
      <c r="Q331" s="71"/>
      <c r="R331" s="71"/>
      <c r="S331" s="31"/>
    </row>
    <row r="332">
      <c r="A332" s="37" t="s">
        <v>48</v>
      </c>
      <c r="B332" s="77" t="s">
        <v>125</v>
      </c>
      <c r="C332" s="44"/>
      <c r="D332" s="64">
        <v>45714.0</v>
      </c>
      <c r="E332" s="64">
        <f t="shared" ref="E332:E334" si="99">D332+7</f>
        <v>45721</v>
      </c>
      <c r="F332" s="64">
        <f t="shared" ref="F332:F334" si="100">D332+28</f>
        <v>45742</v>
      </c>
      <c r="G332" s="67" t="s">
        <v>135</v>
      </c>
      <c r="H332" s="68">
        <v>1.0</v>
      </c>
      <c r="I332" s="69">
        <v>95.0</v>
      </c>
      <c r="J332" s="44">
        <f t="shared" si="3"/>
        <v>48</v>
      </c>
      <c r="K332" s="44">
        <f t="shared" si="4"/>
        <v>48</v>
      </c>
      <c r="L332" s="68"/>
      <c r="M332" s="69"/>
      <c r="N332" s="44" t="str">
        <f t="shared" si="5"/>
        <v/>
      </c>
      <c r="O332" s="44" t="str">
        <f t="shared" si="6"/>
        <v/>
      </c>
      <c r="P332" s="70">
        <v>221.0</v>
      </c>
      <c r="Q332" s="71"/>
      <c r="R332" s="71"/>
      <c r="S332" s="31"/>
    </row>
    <row r="333">
      <c r="A333" s="37" t="s">
        <v>48</v>
      </c>
      <c r="B333" s="77" t="s">
        <v>133</v>
      </c>
      <c r="C333" s="44"/>
      <c r="D333" s="64">
        <v>45714.0</v>
      </c>
      <c r="E333" s="64">
        <f t="shared" si="99"/>
        <v>45721</v>
      </c>
      <c r="F333" s="66">
        <f t="shared" si="100"/>
        <v>45742</v>
      </c>
      <c r="G333" s="88" t="s">
        <v>11</v>
      </c>
      <c r="H333" s="68"/>
      <c r="I333" s="69"/>
      <c r="J333" s="44" t="str">
        <f t="shared" si="3"/>
        <v/>
      </c>
      <c r="K333" s="44" t="str">
        <f t="shared" si="4"/>
        <v/>
      </c>
      <c r="L333" s="68">
        <v>632.0</v>
      </c>
      <c r="M333" s="69">
        <v>774.0</v>
      </c>
      <c r="N333" s="44">
        <f t="shared" si="5"/>
        <v>72</v>
      </c>
      <c r="O333" s="44">
        <f t="shared" si="6"/>
        <v>72</v>
      </c>
      <c r="P333" s="70">
        <v>216.0</v>
      </c>
      <c r="Q333" s="71"/>
      <c r="R333" s="71"/>
      <c r="S333" s="31"/>
    </row>
    <row r="334">
      <c r="A334" s="37" t="s">
        <v>48</v>
      </c>
      <c r="B334" s="81"/>
      <c r="C334" s="82" t="s">
        <v>136</v>
      </c>
      <c r="D334" s="64">
        <v>45715.0</v>
      </c>
      <c r="E334" s="64">
        <f t="shared" si="99"/>
        <v>45722</v>
      </c>
      <c r="F334" s="64">
        <f t="shared" si="100"/>
        <v>45743</v>
      </c>
      <c r="G334" s="78" t="s">
        <v>98</v>
      </c>
      <c r="H334" s="68">
        <v>5.0</v>
      </c>
      <c r="I334" s="69">
        <v>139.0</v>
      </c>
      <c r="J334" s="44">
        <f t="shared" si="3"/>
        <v>68</v>
      </c>
      <c r="K334" s="44">
        <f t="shared" si="4"/>
        <v>68</v>
      </c>
      <c r="L334" s="68"/>
      <c r="M334" s="69"/>
      <c r="N334" s="44" t="str">
        <f t="shared" si="5"/>
        <v/>
      </c>
      <c r="O334" s="44" t="str">
        <f t="shared" si="6"/>
        <v/>
      </c>
      <c r="P334" s="70">
        <v>227.0</v>
      </c>
      <c r="Q334" s="71"/>
      <c r="R334" s="71"/>
      <c r="S334" s="31"/>
    </row>
    <row r="335">
      <c r="A335" s="37" t="s">
        <v>130</v>
      </c>
      <c r="B335" s="77" t="s">
        <v>125</v>
      </c>
      <c r="C335" s="44"/>
      <c r="D335" s="64">
        <v>45715.0</v>
      </c>
      <c r="E335" s="64">
        <f t="shared" ref="E335:E339" si="101">D335+7</f>
        <v>45722</v>
      </c>
      <c r="F335" s="64">
        <f t="shared" ref="F335:F339" si="102">D335+28</f>
        <v>45743</v>
      </c>
      <c r="G335" s="78" t="s">
        <v>126</v>
      </c>
      <c r="H335" s="68">
        <v>291.0</v>
      </c>
      <c r="I335" s="69">
        <v>299.0</v>
      </c>
      <c r="J335" s="44">
        <f t="shared" si="3"/>
        <v>5</v>
      </c>
      <c r="K335" s="44">
        <f t="shared" si="4"/>
        <v>5</v>
      </c>
      <c r="L335" s="68">
        <v>268.0</v>
      </c>
      <c r="M335" s="69">
        <v>290.0</v>
      </c>
      <c r="N335" s="44">
        <f t="shared" si="5"/>
        <v>12</v>
      </c>
      <c r="O335" s="44">
        <f t="shared" si="6"/>
        <v>12</v>
      </c>
      <c r="P335" s="70">
        <v>223.0</v>
      </c>
      <c r="Q335" s="71"/>
      <c r="R335" s="71"/>
      <c r="S335" s="31"/>
    </row>
    <row r="336">
      <c r="A336" s="37" t="s">
        <v>130</v>
      </c>
      <c r="B336" s="77" t="s">
        <v>125</v>
      </c>
      <c r="C336" s="44"/>
      <c r="D336" s="64">
        <v>45715.0</v>
      </c>
      <c r="E336" s="64">
        <f t="shared" si="101"/>
        <v>45722</v>
      </c>
      <c r="F336" s="64">
        <f t="shared" si="102"/>
        <v>45743</v>
      </c>
      <c r="G336" s="78" t="s">
        <v>137</v>
      </c>
      <c r="H336" s="68"/>
      <c r="I336" s="69"/>
      <c r="J336" s="44" t="str">
        <f t="shared" si="3"/>
        <v/>
      </c>
      <c r="K336" s="44" t="str">
        <f t="shared" si="4"/>
        <v/>
      </c>
      <c r="L336" s="68">
        <v>2.0</v>
      </c>
      <c r="M336" s="69">
        <v>170.0</v>
      </c>
      <c r="N336" s="44">
        <f t="shared" si="5"/>
        <v>85</v>
      </c>
      <c r="O336" s="44">
        <f t="shared" si="6"/>
        <v>85</v>
      </c>
      <c r="P336" s="70">
        <v>224.0</v>
      </c>
      <c r="Q336" s="71"/>
      <c r="R336" s="71"/>
      <c r="S336" s="31"/>
    </row>
    <row r="337">
      <c r="A337" s="37" t="s">
        <v>48</v>
      </c>
      <c r="B337" s="77" t="s">
        <v>125</v>
      </c>
      <c r="C337" s="44"/>
      <c r="D337" s="64">
        <v>45715.0</v>
      </c>
      <c r="E337" s="64">
        <f t="shared" si="101"/>
        <v>45722</v>
      </c>
      <c r="F337" s="64">
        <f t="shared" si="102"/>
        <v>45743</v>
      </c>
      <c r="G337" s="78" t="s">
        <v>131</v>
      </c>
      <c r="H337" s="68">
        <v>151.0</v>
      </c>
      <c r="I337" s="69">
        <v>223.0</v>
      </c>
      <c r="J337" s="44">
        <f t="shared" si="3"/>
        <v>37</v>
      </c>
      <c r="K337" s="44">
        <f t="shared" si="4"/>
        <v>37</v>
      </c>
      <c r="L337" s="68">
        <v>226.0</v>
      </c>
      <c r="M337" s="69">
        <v>256.0</v>
      </c>
      <c r="N337" s="44">
        <f t="shared" si="5"/>
        <v>16</v>
      </c>
      <c r="O337" s="44">
        <f t="shared" si="6"/>
        <v>16</v>
      </c>
      <c r="P337" s="70">
        <v>226.0</v>
      </c>
      <c r="Q337" s="71"/>
      <c r="R337" s="71"/>
      <c r="S337" s="31"/>
    </row>
    <row r="338">
      <c r="A338" s="37" t="s">
        <v>48</v>
      </c>
      <c r="B338" s="77" t="s">
        <v>125</v>
      </c>
      <c r="C338" s="44"/>
      <c r="D338" s="64">
        <v>45715.0</v>
      </c>
      <c r="E338" s="64">
        <f t="shared" si="101"/>
        <v>45722</v>
      </c>
      <c r="F338" s="64">
        <f t="shared" si="102"/>
        <v>45743</v>
      </c>
      <c r="G338" s="78" t="s">
        <v>131</v>
      </c>
      <c r="H338" s="68"/>
      <c r="I338" s="69"/>
      <c r="J338" s="44" t="str">
        <f t="shared" si="3"/>
        <v/>
      </c>
      <c r="K338" s="44" t="str">
        <f t="shared" si="4"/>
        <v/>
      </c>
      <c r="L338" s="68">
        <v>260.0</v>
      </c>
      <c r="M338" s="69">
        <v>306.0</v>
      </c>
      <c r="N338" s="44">
        <f t="shared" si="5"/>
        <v>24</v>
      </c>
      <c r="O338" s="44">
        <f t="shared" si="6"/>
        <v>24</v>
      </c>
      <c r="P338" s="70">
        <v>226.0</v>
      </c>
      <c r="Q338" s="71"/>
      <c r="R338" s="71"/>
      <c r="S338" s="31"/>
    </row>
    <row r="339">
      <c r="A339" s="37" t="s">
        <v>48</v>
      </c>
      <c r="B339" s="77" t="s">
        <v>133</v>
      </c>
      <c r="C339" s="82" t="s">
        <v>136</v>
      </c>
      <c r="D339" s="64">
        <v>45715.0</v>
      </c>
      <c r="E339" s="64">
        <f t="shared" si="101"/>
        <v>45722</v>
      </c>
      <c r="F339" s="64">
        <f t="shared" si="102"/>
        <v>45743</v>
      </c>
      <c r="G339" s="96" t="s">
        <v>135</v>
      </c>
      <c r="H339" s="68">
        <v>97.0</v>
      </c>
      <c r="I339" s="69">
        <v>119.0</v>
      </c>
      <c r="J339" s="44">
        <f t="shared" si="3"/>
        <v>12</v>
      </c>
      <c r="K339" s="44">
        <f t="shared" si="4"/>
        <v>12</v>
      </c>
      <c r="L339" s="68">
        <v>2.0</v>
      </c>
      <c r="M339" s="69">
        <v>96.0</v>
      </c>
      <c r="N339" s="44">
        <f t="shared" si="5"/>
        <v>48</v>
      </c>
      <c r="O339" s="44">
        <f t="shared" si="6"/>
        <v>48</v>
      </c>
      <c r="P339" s="70">
        <v>228.0</v>
      </c>
      <c r="Q339" s="71"/>
      <c r="R339" s="71"/>
      <c r="S339" s="31"/>
    </row>
    <row r="340">
      <c r="A340" s="37" t="s">
        <v>48</v>
      </c>
      <c r="B340" s="77" t="s">
        <v>133</v>
      </c>
      <c r="C340" s="82" t="s">
        <v>138</v>
      </c>
      <c r="D340" s="64">
        <v>45715.0</v>
      </c>
      <c r="E340" s="64">
        <f t="shared" ref="E340:E341" si="103">D340+7</f>
        <v>45722</v>
      </c>
      <c r="F340" s="66">
        <f t="shared" ref="F340:F341" si="104">D340+28</f>
        <v>45743</v>
      </c>
      <c r="G340" s="88" t="s">
        <v>11</v>
      </c>
      <c r="H340" s="68"/>
      <c r="I340" s="69"/>
      <c r="J340" s="44" t="str">
        <f t="shared" si="3"/>
        <v/>
      </c>
      <c r="K340" s="44" t="str">
        <f t="shared" si="4"/>
        <v/>
      </c>
      <c r="L340" s="68"/>
      <c r="M340" s="69"/>
      <c r="N340" s="44" t="str">
        <f t="shared" si="5"/>
        <v/>
      </c>
      <c r="O340" s="44" t="str">
        <f t="shared" si="6"/>
        <v/>
      </c>
      <c r="P340" s="70"/>
      <c r="Q340" s="71"/>
      <c r="R340" s="71"/>
      <c r="S340" s="31"/>
    </row>
    <row r="341">
      <c r="A341" s="37" t="s">
        <v>48</v>
      </c>
      <c r="B341" s="77" t="s">
        <v>133</v>
      </c>
      <c r="C341" s="82" t="s">
        <v>138</v>
      </c>
      <c r="D341" s="64">
        <v>45715.0</v>
      </c>
      <c r="E341" s="64">
        <f t="shared" si="103"/>
        <v>45722</v>
      </c>
      <c r="F341" s="66">
        <f t="shared" si="104"/>
        <v>45743</v>
      </c>
      <c r="G341" s="88" t="s">
        <v>11</v>
      </c>
      <c r="H341" s="68">
        <v>969.0</v>
      </c>
      <c r="I341" s="69">
        <v>1039.0</v>
      </c>
      <c r="J341" s="44">
        <f t="shared" si="3"/>
        <v>36</v>
      </c>
      <c r="K341" s="44">
        <f t="shared" si="4"/>
        <v>36</v>
      </c>
      <c r="L341" s="68">
        <v>776.0</v>
      </c>
      <c r="M341" s="69">
        <v>860.0</v>
      </c>
      <c r="N341" s="44">
        <f t="shared" si="5"/>
        <v>43</v>
      </c>
      <c r="O341" s="44">
        <f t="shared" si="6"/>
        <v>43</v>
      </c>
      <c r="P341" s="70">
        <v>229.0</v>
      </c>
      <c r="Q341" s="71"/>
      <c r="R341" s="71"/>
      <c r="S341" s="31"/>
    </row>
    <row r="342">
      <c r="A342" s="37" t="s">
        <v>48</v>
      </c>
      <c r="B342" s="77" t="s">
        <v>125</v>
      </c>
      <c r="C342" s="44"/>
      <c r="D342" s="64">
        <v>45717.0</v>
      </c>
      <c r="E342" s="64">
        <f>D342+7</f>
        <v>45724</v>
      </c>
      <c r="F342" s="64">
        <f>D342+28</f>
        <v>45745</v>
      </c>
      <c r="G342" s="96" t="s">
        <v>135</v>
      </c>
      <c r="H342" s="68">
        <v>121.0</v>
      </c>
      <c r="I342" s="69">
        <v>307.0</v>
      </c>
      <c r="J342" s="44">
        <f t="shared" si="3"/>
        <v>94</v>
      </c>
      <c r="K342" s="44">
        <f t="shared" si="4"/>
        <v>94</v>
      </c>
      <c r="L342" s="68">
        <v>98.0</v>
      </c>
      <c r="M342" s="69">
        <v>118.0</v>
      </c>
      <c r="N342" s="44">
        <f t="shared" si="5"/>
        <v>11</v>
      </c>
      <c r="O342" s="44">
        <f t="shared" si="6"/>
        <v>11</v>
      </c>
      <c r="P342" s="70">
        <v>231.0</v>
      </c>
      <c r="Q342" s="71"/>
      <c r="R342" s="71"/>
      <c r="S342" s="31"/>
    </row>
    <row r="343">
      <c r="A343" s="37" t="s">
        <v>48</v>
      </c>
      <c r="B343" s="77" t="s">
        <v>133</v>
      </c>
      <c r="C343" s="82" t="s">
        <v>139</v>
      </c>
      <c r="D343" s="64">
        <v>45717.0</v>
      </c>
      <c r="E343" s="64">
        <f t="shared" ref="E343:E344" si="105">D343+7</f>
        <v>45724</v>
      </c>
      <c r="F343" s="66">
        <f t="shared" ref="F343:F344" si="106">D343+28</f>
        <v>45745</v>
      </c>
      <c r="G343" s="88" t="s">
        <v>11</v>
      </c>
      <c r="H343" s="68"/>
      <c r="I343" s="69"/>
      <c r="J343" s="44" t="str">
        <f t="shared" si="3"/>
        <v/>
      </c>
      <c r="K343" s="44" t="str">
        <f t="shared" si="4"/>
        <v/>
      </c>
      <c r="L343" s="68">
        <v>862.0</v>
      </c>
      <c r="M343" s="69">
        <v>968.0</v>
      </c>
      <c r="N343" s="44">
        <f t="shared" si="5"/>
        <v>54</v>
      </c>
      <c r="O343" s="44">
        <f t="shared" si="6"/>
        <v>54</v>
      </c>
      <c r="P343" s="70">
        <v>230.0</v>
      </c>
      <c r="Q343" s="71"/>
      <c r="R343" s="71"/>
      <c r="S343" s="31"/>
    </row>
    <row r="344">
      <c r="A344" s="37" t="s">
        <v>48</v>
      </c>
      <c r="B344" s="77" t="s">
        <v>133</v>
      </c>
      <c r="C344" s="82" t="s">
        <v>139</v>
      </c>
      <c r="D344" s="64">
        <v>45717.0</v>
      </c>
      <c r="E344" s="64">
        <f t="shared" si="105"/>
        <v>45724</v>
      </c>
      <c r="F344" s="66">
        <f t="shared" si="106"/>
        <v>45745</v>
      </c>
      <c r="G344" s="88" t="s">
        <v>11</v>
      </c>
      <c r="H344" s="68"/>
      <c r="I344" s="69"/>
      <c r="J344" s="44" t="str">
        <f t="shared" si="3"/>
        <v/>
      </c>
      <c r="K344" s="44" t="str">
        <f t="shared" si="4"/>
        <v/>
      </c>
      <c r="L344" s="68">
        <v>1042.0</v>
      </c>
      <c r="M344" s="69">
        <v>1094.0</v>
      </c>
      <c r="N344" s="44">
        <f t="shared" si="5"/>
        <v>27</v>
      </c>
      <c r="O344" s="44">
        <f t="shared" si="6"/>
        <v>27</v>
      </c>
      <c r="P344" s="70">
        <v>230.0</v>
      </c>
      <c r="Q344" s="71"/>
      <c r="R344" s="71"/>
      <c r="S344" s="31"/>
    </row>
    <row r="345">
      <c r="A345" s="37" t="s">
        <v>48</v>
      </c>
      <c r="B345" s="77" t="s">
        <v>125</v>
      </c>
      <c r="C345" s="44"/>
      <c r="D345" s="64">
        <v>45718.0</v>
      </c>
      <c r="E345" s="64">
        <f t="shared" ref="E345:E348" si="107">D345+7</f>
        <v>45725</v>
      </c>
      <c r="F345" s="64">
        <f t="shared" ref="F345:F348" si="108">D345+28</f>
        <v>45746</v>
      </c>
      <c r="G345" s="96" t="s">
        <v>135</v>
      </c>
      <c r="H345" s="68"/>
      <c r="I345" s="69"/>
      <c r="J345" s="44" t="str">
        <f t="shared" si="3"/>
        <v/>
      </c>
      <c r="K345" s="44" t="str">
        <f t="shared" si="4"/>
        <v/>
      </c>
      <c r="L345" s="68">
        <v>120.0</v>
      </c>
      <c r="M345" s="69">
        <v>308.0</v>
      </c>
      <c r="N345" s="44">
        <f t="shared" si="5"/>
        <v>95</v>
      </c>
      <c r="O345" s="44">
        <f t="shared" si="6"/>
        <v>95</v>
      </c>
      <c r="P345" s="70">
        <v>232.0</v>
      </c>
      <c r="Q345" s="71"/>
      <c r="R345" s="71"/>
      <c r="S345" s="31"/>
    </row>
    <row r="346">
      <c r="A346" s="37" t="s">
        <v>48</v>
      </c>
      <c r="B346" s="77" t="s">
        <v>125</v>
      </c>
      <c r="C346" s="44"/>
      <c r="D346" s="64">
        <v>45718.0</v>
      </c>
      <c r="E346" s="64">
        <f t="shared" si="107"/>
        <v>45725</v>
      </c>
      <c r="F346" s="64">
        <f t="shared" si="108"/>
        <v>45746</v>
      </c>
      <c r="G346" s="96" t="s">
        <v>131</v>
      </c>
      <c r="H346" s="68">
        <v>145.0</v>
      </c>
      <c r="I346" s="69">
        <v>149.0</v>
      </c>
      <c r="J346" s="44">
        <f t="shared" si="3"/>
        <v>3</v>
      </c>
      <c r="K346" s="44">
        <f t="shared" si="4"/>
        <v>3</v>
      </c>
      <c r="L346" s="68">
        <v>160.0</v>
      </c>
      <c r="M346" s="69">
        <v>208.0</v>
      </c>
      <c r="N346" s="44">
        <f t="shared" si="5"/>
        <v>25</v>
      </c>
      <c r="O346" s="44">
        <f t="shared" si="6"/>
        <v>25</v>
      </c>
      <c r="P346" s="70">
        <v>234.0</v>
      </c>
      <c r="Q346" s="71"/>
      <c r="R346" s="71"/>
      <c r="S346" s="31"/>
    </row>
    <row r="347">
      <c r="A347" s="37" t="s">
        <v>48</v>
      </c>
      <c r="B347" s="77" t="s">
        <v>125</v>
      </c>
      <c r="C347" s="44"/>
      <c r="D347" s="64">
        <v>45718.0</v>
      </c>
      <c r="E347" s="64">
        <f t="shared" si="107"/>
        <v>45725</v>
      </c>
      <c r="F347" s="64">
        <f t="shared" si="108"/>
        <v>45746</v>
      </c>
      <c r="G347" s="96" t="s">
        <v>131</v>
      </c>
      <c r="H347" s="68"/>
      <c r="I347" s="69"/>
      <c r="J347" s="44" t="str">
        <f t="shared" si="3"/>
        <v/>
      </c>
      <c r="K347" s="44" t="str">
        <f t="shared" si="4"/>
        <v/>
      </c>
      <c r="L347" s="68">
        <v>212.0</v>
      </c>
      <c r="M347" s="69">
        <v>224.0</v>
      </c>
      <c r="N347" s="44">
        <f t="shared" si="5"/>
        <v>7</v>
      </c>
      <c r="O347" s="44">
        <f t="shared" si="6"/>
        <v>7</v>
      </c>
      <c r="P347" s="70">
        <v>234.0</v>
      </c>
      <c r="Q347" s="71"/>
      <c r="R347" s="71"/>
      <c r="S347" s="31"/>
    </row>
    <row r="348">
      <c r="A348" s="37" t="s">
        <v>48</v>
      </c>
      <c r="B348" s="77" t="s">
        <v>125</v>
      </c>
      <c r="C348" s="44"/>
      <c r="D348" s="64">
        <v>45718.0</v>
      </c>
      <c r="E348" s="64">
        <f t="shared" si="107"/>
        <v>45725</v>
      </c>
      <c r="F348" s="64">
        <f t="shared" si="108"/>
        <v>45746</v>
      </c>
      <c r="G348" s="96" t="s">
        <v>140</v>
      </c>
      <c r="H348" s="68"/>
      <c r="I348" s="69"/>
      <c r="J348" s="44" t="str">
        <f t="shared" si="3"/>
        <v/>
      </c>
      <c r="K348" s="44" t="str">
        <f t="shared" si="4"/>
        <v/>
      </c>
      <c r="L348" s="68">
        <v>2.0</v>
      </c>
      <c r="M348" s="69">
        <v>98.0</v>
      </c>
      <c r="N348" s="44">
        <f t="shared" si="5"/>
        <v>49</v>
      </c>
      <c r="O348" s="44">
        <f t="shared" si="6"/>
        <v>49</v>
      </c>
      <c r="P348" s="70">
        <v>235.0</v>
      </c>
      <c r="Q348" s="71"/>
      <c r="R348" s="71"/>
      <c r="S348" s="31"/>
    </row>
    <row r="349">
      <c r="A349" s="37" t="s">
        <v>48</v>
      </c>
      <c r="B349" s="77" t="s">
        <v>125</v>
      </c>
      <c r="C349" s="44"/>
      <c r="D349" s="64">
        <v>45718.0</v>
      </c>
      <c r="E349" s="64">
        <f>D349+7</f>
        <v>45725</v>
      </c>
      <c r="F349" s="66">
        <f>D349+28</f>
        <v>45746</v>
      </c>
      <c r="G349" s="88" t="s">
        <v>11</v>
      </c>
      <c r="H349" s="68">
        <v>1041.0</v>
      </c>
      <c r="I349" s="69">
        <v>1095.0</v>
      </c>
      <c r="J349" s="44">
        <f t="shared" si="3"/>
        <v>28</v>
      </c>
      <c r="K349" s="44">
        <f t="shared" si="4"/>
        <v>28</v>
      </c>
      <c r="L349" s="68">
        <v>970.0</v>
      </c>
      <c r="M349" s="69">
        <v>1040.0</v>
      </c>
      <c r="N349" s="44">
        <f t="shared" si="5"/>
        <v>36</v>
      </c>
      <c r="O349" s="44">
        <f t="shared" si="6"/>
        <v>36</v>
      </c>
      <c r="P349" s="70">
        <v>233.0</v>
      </c>
      <c r="Q349" s="71"/>
      <c r="R349" s="71"/>
      <c r="S349" s="31"/>
    </row>
    <row r="350">
      <c r="A350" s="37" t="s">
        <v>48</v>
      </c>
      <c r="B350" s="77" t="s">
        <v>125</v>
      </c>
      <c r="C350" s="44"/>
      <c r="D350" s="64">
        <v>45719.0</v>
      </c>
      <c r="E350" s="64">
        <f t="shared" ref="E350:E370" si="109">D350+7</f>
        <v>45726</v>
      </c>
      <c r="F350" s="64">
        <f t="shared" ref="F350:F370" si="110">D350+28</f>
        <v>45747</v>
      </c>
      <c r="G350" s="96" t="s">
        <v>141</v>
      </c>
      <c r="H350" s="68">
        <v>1.0</v>
      </c>
      <c r="I350" s="69">
        <v>227.0</v>
      </c>
      <c r="J350" s="44">
        <f t="shared" si="3"/>
        <v>114</v>
      </c>
      <c r="K350" s="44">
        <f t="shared" si="4"/>
        <v>114</v>
      </c>
      <c r="L350" s="68"/>
      <c r="M350" s="69"/>
      <c r="N350" s="44" t="str">
        <f t="shared" si="5"/>
        <v/>
      </c>
      <c r="O350" s="44" t="str">
        <f t="shared" si="6"/>
        <v/>
      </c>
      <c r="P350" s="70">
        <v>236.0</v>
      </c>
      <c r="Q350" s="71"/>
      <c r="R350" s="71"/>
      <c r="S350" s="31"/>
    </row>
    <row r="351">
      <c r="A351" s="37" t="s">
        <v>48</v>
      </c>
      <c r="B351" s="77" t="s">
        <v>125</v>
      </c>
      <c r="C351" s="44"/>
      <c r="D351" s="64">
        <v>45719.0</v>
      </c>
      <c r="E351" s="64">
        <f t="shared" si="109"/>
        <v>45726</v>
      </c>
      <c r="F351" s="64">
        <f t="shared" si="110"/>
        <v>45747</v>
      </c>
      <c r="G351" s="96" t="s">
        <v>140</v>
      </c>
      <c r="H351" s="68">
        <v>3.0</v>
      </c>
      <c r="I351" s="69">
        <v>3.0</v>
      </c>
      <c r="J351" s="44">
        <f t="shared" si="3"/>
        <v>1</v>
      </c>
      <c r="K351" s="44">
        <f t="shared" si="4"/>
        <v>1</v>
      </c>
      <c r="L351" s="68">
        <v>100.0</v>
      </c>
      <c r="M351" s="69">
        <v>134.0</v>
      </c>
      <c r="N351" s="44">
        <f t="shared" si="5"/>
        <v>18</v>
      </c>
      <c r="O351" s="44">
        <f t="shared" si="6"/>
        <v>18</v>
      </c>
      <c r="P351" s="70">
        <v>237.0</v>
      </c>
      <c r="Q351" s="71"/>
      <c r="R351" s="71"/>
      <c r="S351" s="31"/>
    </row>
    <row r="352">
      <c r="A352" s="37" t="s">
        <v>48</v>
      </c>
      <c r="B352" s="77" t="s">
        <v>125</v>
      </c>
      <c r="C352" s="44"/>
      <c r="D352" s="64">
        <v>45719.0</v>
      </c>
      <c r="E352" s="64">
        <f t="shared" si="109"/>
        <v>45726</v>
      </c>
      <c r="F352" s="64">
        <f t="shared" si="110"/>
        <v>45747</v>
      </c>
      <c r="G352" s="96" t="s">
        <v>140</v>
      </c>
      <c r="H352" s="68">
        <v>9.0</v>
      </c>
      <c r="I352" s="69">
        <v>9.0</v>
      </c>
      <c r="J352" s="44">
        <f t="shared" si="3"/>
        <v>1</v>
      </c>
      <c r="K352" s="44">
        <f t="shared" si="4"/>
        <v>1</v>
      </c>
      <c r="L352" s="68">
        <v>144.0</v>
      </c>
      <c r="M352" s="69">
        <v>248.0</v>
      </c>
      <c r="N352" s="44">
        <f t="shared" si="5"/>
        <v>53</v>
      </c>
      <c r="O352" s="44">
        <f t="shared" si="6"/>
        <v>53</v>
      </c>
      <c r="P352" s="70">
        <v>237.0</v>
      </c>
      <c r="Q352" s="71"/>
      <c r="R352" s="71"/>
      <c r="S352" s="31"/>
    </row>
    <row r="353">
      <c r="A353" s="37" t="s">
        <v>48</v>
      </c>
      <c r="B353" s="77" t="s">
        <v>125</v>
      </c>
      <c r="C353" s="44"/>
      <c r="D353" s="64">
        <v>45719.0</v>
      </c>
      <c r="E353" s="64">
        <f t="shared" si="109"/>
        <v>45726</v>
      </c>
      <c r="F353" s="64">
        <f t="shared" si="110"/>
        <v>45747</v>
      </c>
      <c r="G353" s="96" t="s">
        <v>140</v>
      </c>
      <c r="H353" s="68">
        <v>11.0</v>
      </c>
      <c r="I353" s="69">
        <v>11.0</v>
      </c>
      <c r="J353" s="44">
        <f t="shared" si="3"/>
        <v>1</v>
      </c>
      <c r="K353" s="44">
        <f t="shared" si="4"/>
        <v>1</v>
      </c>
      <c r="L353" s="68"/>
      <c r="M353" s="69"/>
      <c r="N353" s="44" t="str">
        <f t="shared" si="5"/>
        <v/>
      </c>
      <c r="O353" s="44" t="str">
        <f t="shared" si="6"/>
        <v/>
      </c>
      <c r="P353" s="70">
        <v>237.0</v>
      </c>
      <c r="Q353" s="71"/>
      <c r="R353" s="71"/>
      <c r="S353" s="31"/>
    </row>
    <row r="354">
      <c r="A354" s="37" t="s">
        <v>48</v>
      </c>
      <c r="B354" s="77" t="s">
        <v>125</v>
      </c>
      <c r="C354" s="44"/>
      <c r="D354" s="64">
        <v>45720.0</v>
      </c>
      <c r="E354" s="64">
        <f t="shared" si="109"/>
        <v>45727</v>
      </c>
      <c r="F354" s="64">
        <f t="shared" si="110"/>
        <v>45748</v>
      </c>
      <c r="G354" s="78" t="s">
        <v>140</v>
      </c>
      <c r="H354" s="68">
        <v>7.0</v>
      </c>
      <c r="I354" s="69">
        <v>7.0</v>
      </c>
      <c r="J354" s="44">
        <f t="shared" si="3"/>
        <v>1</v>
      </c>
      <c r="K354" s="44">
        <f t="shared" si="4"/>
        <v>1</v>
      </c>
      <c r="L354" s="68"/>
      <c r="M354" s="69"/>
      <c r="N354" s="44" t="str">
        <f t="shared" si="5"/>
        <v/>
      </c>
      <c r="O354" s="44" t="str">
        <f t="shared" si="6"/>
        <v/>
      </c>
      <c r="P354" s="70">
        <v>238.0</v>
      </c>
      <c r="Q354" s="71"/>
      <c r="R354" s="71"/>
      <c r="S354" s="31"/>
    </row>
    <row r="355">
      <c r="A355" s="37" t="s">
        <v>48</v>
      </c>
      <c r="B355" s="77" t="s">
        <v>125</v>
      </c>
      <c r="C355" s="44"/>
      <c r="D355" s="64">
        <v>45720.0</v>
      </c>
      <c r="E355" s="64">
        <f t="shared" si="109"/>
        <v>45727</v>
      </c>
      <c r="F355" s="64">
        <f t="shared" si="110"/>
        <v>45748</v>
      </c>
      <c r="G355" s="78" t="s">
        <v>140</v>
      </c>
      <c r="H355" s="68">
        <v>13.0</v>
      </c>
      <c r="I355" s="69">
        <v>53.0</v>
      </c>
      <c r="J355" s="44">
        <f t="shared" si="3"/>
        <v>21</v>
      </c>
      <c r="K355" s="44">
        <f t="shared" si="4"/>
        <v>21</v>
      </c>
      <c r="L355" s="68"/>
      <c r="M355" s="69"/>
      <c r="N355" s="44" t="str">
        <f t="shared" si="5"/>
        <v/>
      </c>
      <c r="O355" s="44" t="str">
        <f t="shared" si="6"/>
        <v/>
      </c>
      <c r="P355" s="70">
        <v>238.0</v>
      </c>
      <c r="Q355" s="71"/>
      <c r="R355" s="71"/>
      <c r="S355" s="31"/>
    </row>
    <row r="356">
      <c r="A356" s="37" t="s">
        <v>48</v>
      </c>
      <c r="B356" s="77" t="s">
        <v>125</v>
      </c>
      <c r="C356" s="44"/>
      <c r="D356" s="64">
        <v>45720.0</v>
      </c>
      <c r="E356" s="64">
        <f t="shared" si="109"/>
        <v>45727</v>
      </c>
      <c r="F356" s="64">
        <f t="shared" si="110"/>
        <v>45748</v>
      </c>
      <c r="G356" s="78" t="s">
        <v>140</v>
      </c>
      <c r="H356" s="68">
        <v>57.0</v>
      </c>
      <c r="I356" s="69">
        <v>103.0</v>
      </c>
      <c r="J356" s="44">
        <f t="shared" si="3"/>
        <v>24</v>
      </c>
      <c r="K356" s="44">
        <f t="shared" si="4"/>
        <v>24</v>
      </c>
      <c r="L356" s="68"/>
      <c r="M356" s="69"/>
      <c r="N356" s="44" t="str">
        <f t="shared" si="5"/>
        <v/>
      </c>
      <c r="O356" s="44" t="str">
        <f t="shared" si="6"/>
        <v/>
      </c>
      <c r="P356" s="70">
        <v>238.0</v>
      </c>
      <c r="Q356" s="71"/>
      <c r="R356" s="71"/>
      <c r="S356" s="31"/>
    </row>
    <row r="357">
      <c r="A357" s="37" t="s">
        <v>48</v>
      </c>
      <c r="B357" s="77" t="s">
        <v>125</v>
      </c>
      <c r="C357" s="44"/>
      <c r="D357" s="64">
        <v>45720.0</v>
      </c>
      <c r="E357" s="64">
        <f t="shared" si="109"/>
        <v>45727</v>
      </c>
      <c r="F357" s="64">
        <f t="shared" si="110"/>
        <v>45748</v>
      </c>
      <c r="G357" s="78" t="s">
        <v>140</v>
      </c>
      <c r="H357" s="68">
        <v>107.0</v>
      </c>
      <c r="I357" s="69">
        <v>133.0</v>
      </c>
      <c r="J357" s="44">
        <f t="shared" si="3"/>
        <v>14</v>
      </c>
      <c r="K357" s="44">
        <f t="shared" si="4"/>
        <v>14</v>
      </c>
      <c r="L357" s="68"/>
      <c r="M357" s="69"/>
      <c r="N357" s="44" t="str">
        <f t="shared" si="5"/>
        <v/>
      </c>
      <c r="O357" s="44" t="str">
        <f t="shared" si="6"/>
        <v/>
      </c>
      <c r="P357" s="70">
        <v>238.0</v>
      </c>
      <c r="Q357" s="71"/>
      <c r="R357" s="71"/>
      <c r="S357" s="31"/>
    </row>
    <row r="358">
      <c r="A358" s="37" t="s">
        <v>48</v>
      </c>
      <c r="B358" s="77" t="s">
        <v>125</v>
      </c>
      <c r="C358" s="44"/>
      <c r="D358" s="64">
        <v>45720.0</v>
      </c>
      <c r="E358" s="64">
        <f t="shared" si="109"/>
        <v>45727</v>
      </c>
      <c r="F358" s="64">
        <f t="shared" si="110"/>
        <v>45748</v>
      </c>
      <c r="G358" s="78" t="s">
        <v>140</v>
      </c>
      <c r="H358" s="68">
        <v>145.0</v>
      </c>
      <c r="I358" s="69">
        <v>151.0</v>
      </c>
      <c r="J358" s="44">
        <f t="shared" si="3"/>
        <v>4</v>
      </c>
      <c r="K358" s="44">
        <f t="shared" si="4"/>
        <v>4</v>
      </c>
      <c r="L358" s="68"/>
      <c r="M358" s="69"/>
      <c r="N358" s="44" t="str">
        <f t="shared" si="5"/>
        <v/>
      </c>
      <c r="O358" s="44" t="str">
        <f t="shared" si="6"/>
        <v/>
      </c>
      <c r="P358" s="70">
        <v>238.0</v>
      </c>
      <c r="Q358" s="71"/>
      <c r="R358" s="71"/>
      <c r="S358" s="31"/>
    </row>
    <row r="359">
      <c r="A359" s="37" t="s">
        <v>48</v>
      </c>
      <c r="B359" s="77" t="s">
        <v>125</v>
      </c>
      <c r="C359" s="44"/>
      <c r="D359" s="64">
        <v>45720.0</v>
      </c>
      <c r="E359" s="64">
        <f t="shared" si="109"/>
        <v>45727</v>
      </c>
      <c r="F359" s="64">
        <f t="shared" si="110"/>
        <v>45748</v>
      </c>
      <c r="G359" s="78" t="s">
        <v>140</v>
      </c>
      <c r="H359" s="68">
        <v>155.0</v>
      </c>
      <c r="I359" s="69">
        <v>201.0</v>
      </c>
      <c r="J359" s="44">
        <f t="shared" si="3"/>
        <v>24</v>
      </c>
      <c r="K359" s="44">
        <f t="shared" si="4"/>
        <v>24</v>
      </c>
      <c r="L359" s="68"/>
      <c r="M359" s="69"/>
      <c r="N359" s="44" t="str">
        <f t="shared" si="5"/>
        <v/>
      </c>
      <c r="O359" s="44" t="str">
        <f t="shared" si="6"/>
        <v/>
      </c>
      <c r="P359" s="70">
        <v>238.0</v>
      </c>
      <c r="Q359" s="71"/>
      <c r="R359" s="71"/>
      <c r="S359" s="31"/>
    </row>
    <row r="360">
      <c r="A360" s="37" t="s">
        <v>48</v>
      </c>
      <c r="B360" s="77" t="s">
        <v>125</v>
      </c>
      <c r="C360" s="44"/>
      <c r="D360" s="64">
        <v>45720.0</v>
      </c>
      <c r="E360" s="64">
        <f t="shared" si="109"/>
        <v>45727</v>
      </c>
      <c r="F360" s="64">
        <f t="shared" si="110"/>
        <v>45748</v>
      </c>
      <c r="G360" s="78" t="s">
        <v>140</v>
      </c>
      <c r="H360" s="68">
        <v>205.0</v>
      </c>
      <c r="I360" s="69">
        <v>211.0</v>
      </c>
      <c r="J360" s="44">
        <f t="shared" si="3"/>
        <v>4</v>
      </c>
      <c r="K360" s="44">
        <f t="shared" si="4"/>
        <v>4</v>
      </c>
      <c r="L360" s="68"/>
      <c r="M360" s="69"/>
      <c r="N360" s="44" t="str">
        <f t="shared" si="5"/>
        <v/>
      </c>
      <c r="O360" s="44" t="str">
        <f t="shared" si="6"/>
        <v/>
      </c>
      <c r="P360" s="70">
        <v>238.0</v>
      </c>
      <c r="Q360" s="71"/>
      <c r="R360" s="71"/>
      <c r="S360" s="31"/>
    </row>
    <row r="361">
      <c r="A361" s="37" t="s">
        <v>48</v>
      </c>
      <c r="B361" s="77" t="s">
        <v>125</v>
      </c>
      <c r="C361" s="44"/>
      <c r="D361" s="64">
        <v>45720.0</v>
      </c>
      <c r="E361" s="64">
        <f t="shared" si="109"/>
        <v>45727</v>
      </c>
      <c r="F361" s="64">
        <f t="shared" si="110"/>
        <v>45748</v>
      </c>
      <c r="G361" s="96" t="s">
        <v>141</v>
      </c>
      <c r="H361" s="68">
        <v>229.0</v>
      </c>
      <c r="I361" s="69">
        <v>249.0</v>
      </c>
      <c r="J361" s="44">
        <f t="shared" si="3"/>
        <v>11</v>
      </c>
      <c r="K361" s="44">
        <f t="shared" si="4"/>
        <v>11</v>
      </c>
      <c r="L361" s="68">
        <v>2.0</v>
      </c>
      <c r="M361" s="69">
        <v>226.0</v>
      </c>
      <c r="N361" s="44">
        <f t="shared" si="5"/>
        <v>113</v>
      </c>
      <c r="O361" s="44">
        <f t="shared" si="6"/>
        <v>113</v>
      </c>
      <c r="P361" s="70">
        <v>239.0</v>
      </c>
      <c r="Q361" s="71"/>
      <c r="R361" s="71"/>
      <c r="S361" s="31"/>
    </row>
    <row r="362">
      <c r="A362" s="37" t="s">
        <v>48</v>
      </c>
      <c r="B362" s="77" t="s">
        <v>125</v>
      </c>
      <c r="C362" s="44"/>
      <c r="D362" s="64">
        <v>45721.0</v>
      </c>
      <c r="E362" s="64">
        <f t="shared" si="109"/>
        <v>45728</v>
      </c>
      <c r="F362" s="64">
        <f t="shared" si="110"/>
        <v>45749</v>
      </c>
      <c r="G362" s="96" t="s">
        <v>141</v>
      </c>
      <c r="H362" s="68">
        <v>251.0</v>
      </c>
      <c r="I362" s="69">
        <v>307.0</v>
      </c>
      <c r="J362" s="44">
        <f t="shared" si="3"/>
        <v>29</v>
      </c>
      <c r="K362" s="44">
        <f t="shared" si="4"/>
        <v>29</v>
      </c>
      <c r="L362" s="68">
        <v>228.0</v>
      </c>
      <c r="M362" s="69">
        <v>248.0</v>
      </c>
      <c r="N362" s="44">
        <f t="shared" si="5"/>
        <v>11</v>
      </c>
      <c r="O362" s="44">
        <f t="shared" si="6"/>
        <v>11</v>
      </c>
      <c r="P362" s="70">
        <v>240.0</v>
      </c>
      <c r="Q362" s="71"/>
      <c r="R362" s="71"/>
      <c r="S362" s="31"/>
    </row>
    <row r="363">
      <c r="A363" s="37" t="s">
        <v>48</v>
      </c>
      <c r="B363" s="77" t="s">
        <v>125</v>
      </c>
      <c r="C363" s="44"/>
      <c r="D363" s="64">
        <v>45721.0</v>
      </c>
      <c r="E363" s="64">
        <f t="shared" si="109"/>
        <v>45728</v>
      </c>
      <c r="F363" s="64">
        <f t="shared" si="110"/>
        <v>45749</v>
      </c>
      <c r="G363" s="96" t="s">
        <v>142</v>
      </c>
      <c r="H363" s="68"/>
      <c r="I363" s="69"/>
      <c r="J363" s="44" t="str">
        <f t="shared" si="3"/>
        <v/>
      </c>
      <c r="K363" s="44" t="str">
        <f t="shared" si="4"/>
        <v/>
      </c>
      <c r="L363" s="68"/>
      <c r="M363" s="69"/>
      <c r="N363" s="44" t="str">
        <f t="shared" si="5"/>
        <v/>
      </c>
      <c r="O363" s="44" t="str">
        <f t="shared" si="6"/>
        <v/>
      </c>
      <c r="P363" s="70"/>
      <c r="Q363" s="71"/>
      <c r="R363" s="71"/>
      <c r="S363" s="31"/>
    </row>
    <row r="364">
      <c r="A364" s="37" t="s">
        <v>130</v>
      </c>
      <c r="B364" s="77"/>
      <c r="C364" s="44"/>
      <c r="D364" s="64">
        <v>45721.0</v>
      </c>
      <c r="E364" s="64">
        <f t="shared" si="109"/>
        <v>45728</v>
      </c>
      <c r="F364" s="64">
        <f t="shared" si="110"/>
        <v>45749</v>
      </c>
      <c r="G364" s="96" t="s">
        <v>140</v>
      </c>
      <c r="H364" s="68">
        <v>213.0</v>
      </c>
      <c r="I364" s="69">
        <v>249.0</v>
      </c>
      <c r="J364" s="44"/>
      <c r="K364" s="44"/>
      <c r="L364" s="68">
        <v>252.0</v>
      </c>
      <c r="M364" s="69">
        <v>252.0</v>
      </c>
      <c r="N364" s="44"/>
      <c r="O364" s="44"/>
      <c r="P364" s="70">
        <v>241.0</v>
      </c>
      <c r="Q364" s="71"/>
      <c r="R364" s="71"/>
      <c r="S364" s="31"/>
    </row>
    <row r="365">
      <c r="A365" s="37" t="s">
        <v>130</v>
      </c>
      <c r="B365" s="77"/>
      <c r="C365" s="44"/>
      <c r="D365" s="64">
        <v>45721.0</v>
      </c>
      <c r="E365" s="64">
        <f t="shared" si="109"/>
        <v>45728</v>
      </c>
      <c r="F365" s="64">
        <f t="shared" si="110"/>
        <v>45749</v>
      </c>
      <c r="G365" s="96" t="s">
        <v>140</v>
      </c>
      <c r="H365" s="68">
        <v>251.0</v>
      </c>
      <c r="I365" s="69">
        <v>251.0</v>
      </c>
      <c r="J365" s="44"/>
      <c r="K365" s="44"/>
      <c r="L365" s="68"/>
      <c r="M365" s="69"/>
      <c r="N365" s="44" t="str">
        <f t="shared" ref="N365:N1054" si="111">if(ISBLANK(L365),"",(((M365-L365)/2)+1))</f>
        <v/>
      </c>
      <c r="O365" s="44" t="str">
        <f t="shared" ref="O365:O666" si="112">if($D365&lt;=$L$3,N365,0)</f>
        <v/>
      </c>
      <c r="P365" s="70">
        <v>241.0</v>
      </c>
      <c r="Q365" s="71"/>
      <c r="R365" s="71"/>
      <c r="S365" s="31"/>
    </row>
    <row r="366">
      <c r="A366" s="37" t="s">
        <v>130</v>
      </c>
      <c r="B366" s="77"/>
      <c r="C366" s="44"/>
      <c r="D366" s="64">
        <v>45721.0</v>
      </c>
      <c r="E366" s="64">
        <f t="shared" si="109"/>
        <v>45728</v>
      </c>
      <c r="F366" s="64">
        <f t="shared" si="110"/>
        <v>45749</v>
      </c>
      <c r="G366" s="96" t="s">
        <v>142</v>
      </c>
      <c r="H366" s="68">
        <v>1.0</v>
      </c>
      <c r="I366" s="69">
        <v>39.0</v>
      </c>
      <c r="J366" s="44"/>
      <c r="K366" s="44"/>
      <c r="L366" s="68"/>
      <c r="M366" s="69"/>
      <c r="N366" s="44" t="str">
        <f t="shared" si="111"/>
        <v/>
      </c>
      <c r="O366" s="44" t="str">
        <f t="shared" si="112"/>
        <v/>
      </c>
      <c r="P366" s="70">
        <v>242.0</v>
      </c>
      <c r="Q366" s="71"/>
      <c r="R366" s="71"/>
      <c r="S366" s="31"/>
    </row>
    <row r="367">
      <c r="A367" s="37" t="s">
        <v>48</v>
      </c>
      <c r="B367" s="77" t="s">
        <v>125</v>
      </c>
      <c r="C367" s="82" t="s">
        <v>143</v>
      </c>
      <c r="D367" s="64">
        <v>45733.0</v>
      </c>
      <c r="E367" s="64">
        <f t="shared" si="109"/>
        <v>45740</v>
      </c>
      <c r="F367" s="64">
        <f t="shared" si="110"/>
        <v>45761</v>
      </c>
      <c r="G367" s="96" t="s">
        <v>144</v>
      </c>
      <c r="H367" s="68">
        <v>2.0</v>
      </c>
      <c r="I367" s="69">
        <v>116.0</v>
      </c>
      <c r="J367" s="44">
        <f t="shared" ref="J367:J890" si="113">if(ISBLANK(H367),"",(((I367-H367)/2)+1))</f>
        <v>58</v>
      </c>
      <c r="K367" s="44">
        <f t="shared" ref="K367:K663" si="114">if($D367&lt;=$L$3,J367,0)</f>
        <v>58</v>
      </c>
      <c r="L367" s="68"/>
      <c r="M367" s="69"/>
      <c r="N367" s="44" t="str">
        <f t="shared" si="111"/>
        <v/>
      </c>
      <c r="O367" s="44" t="str">
        <f t="shared" si="112"/>
        <v/>
      </c>
      <c r="P367" s="70">
        <v>243.0</v>
      </c>
      <c r="Q367" s="71"/>
      <c r="R367" s="71"/>
      <c r="S367" s="31"/>
    </row>
    <row r="368">
      <c r="A368" s="37" t="s">
        <v>48</v>
      </c>
      <c r="B368" s="77" t="s">
        <v>125</v>
      </c>
      <c r="C368" s="44"/>
      <c r="D368" s="64">
        <v>45733.0</v>
      </c>
      <c r="E368" s="64">
        <f t="shared" si="109"/>
        <v>45740</v>
      </c>
      <c r="F368" s="64">
        <f t="shared" si="110"/>
        <v>45761</v>
      </c>
      <c r="G368" s="67" t="s">
        <v>137</v>
      </c>
      <c r="H368" s="68">
        <v>3.0</v>
      </c>
      <c r="I368" s="69">
        <v>3.0</v>
      </c>
      <c r="J368" s="44">
        <f t="shared" si="113"/>
        <v>1</v>
      </c>
      <c r="K368" s="44">
        <f t="shared" si="114"/>
        <v>1</v>
      </c>
      <c r="L368" s="68">
        <v>172.0</v>
      </c>
      <c r="M368" s="69">
        <v>300.0</v>
      </c>
      <c r="N368" s="44">
        <f t="shared" si="111"/>
        <v>65</v>
      </c>
      <c r="O368" s="44">
        <f t="shared" si="112"/>
        <v>65</v>
      </c>
      <c r="P368" s="70">
        <v>245.0</v>
      </c>
      <c r="Q368" s="71"/>
      <c r="R368" s="71"/>
      <c r="S368" s="31"/>
    </row>
    <row r="369">
      <c r="A369" s="37" t="s">
        <v>48</v>
      </c>
      <c r="B369" s="77" t="s">
        <v>125</v>
      </c>
      <c r="C369" s="44"/>
      <c r="D369" s="64">
        <v>45733.0</v>
      </c>
      <c r="E369" s="64">
        <f t="shared" si="109"/>
        <v>45740</v>
      </c>
      <c r="F369" s="64">
        <f t="shared" si="110"/>
        <v>45761</v>
      </c>
      <c r="G369" s="67" t="s">
        <v>137</v>
      </c>
      <c r="H369" s="68">
        <v>7.0</v>
      </c>
      <c r="I369" s="69">
        <v>53.0</v>
      </c>
      <c r="J369" s="44">
        <f t="shared" si="113"/>
        <v>24</v>
      </c>
      <c r="K369" s="44">
        <f t="shared" si="114"/>
        <v>24</v>
      </c>
      <c r="L369" s="68"/>
      <c r="M369" s="69"/>
      <c r="N369" s="44" t="str">
        <f t="shared" si="111"/>
        <v/>
      </c>
      <c r="O369" s="44" t="str">
        <f t="shared" si="112"/>
        <v/>
      </c>
      <c r="P369" s="70">
        <v>245.0</v>
      </c>
      <c r="Q369" s="71"/>
      <c r="R369" s="71"/>
      <c r="S369" s="31"/>
    </row>
    <row r="370">
      <c r="A370" s="37" t="s">
        <v>48</v>
      </c>
      <c r="B370" s="77" t="s">
        <v>125</v>
      </c>
      <c r="C370" s="44"/>
      <c r="D370" s="64">
        <v>45733.0</v>
      </c>
      <c r="E370" s="64">
        <f t="shared" si="109"/>
        <v>45740</v>
      </c>
      <c r="F370" s="64">
        <f t="shared" si="110"/>
        <v>45761</v>
      </c>
      <c r="G370" s="67" t="s">
        <v>137</v>
      </c>
      <c r="H370" s="68">
        <v>57.0</v>
      </c>
      <c r="I370" s="69">
        <v>83.0</v>
      </c>
      <c r="J370" s="44">
        <f t="shared" si="113"/>
        <v>14</v>
      </c>
      <c r="K370" s="44">
        <f t="shared" si="114"/>
        <v>14</v>
      </c>
      <c r="L370" s="68"/>
      <c r="M370" s="69"/>
      <c r="N370" s="44" t="str">
        <f t="shared" si="111"/>
        <v/>
      </c>
      <c r="O370" s="44" t="str">
        <f t="shared" si="112"/>
        <v/>
      </c>
      <c r="P370" s="70">
        <v>245.0</v>
      </c>
      <c r="Q370" s="71"/>
      <c r="R370" s="71"/>
      <c r="S370" s="31"/>
    </row>
    <row r="371">
      <c r="A371" s="37" t="s">
        <v>48</v>
      </c>
      <c r="B371" s="87" t="s">
        <v>125</v>
      </c>
      <c r="C371" s="88"/>
      <c r="D371" s="64">
        <v>45733.0</v>
      </c>
      <c r="E371" s="64">
        <f>D371+7</f>
        <v>45740</v>
      </c>
      <c r="F371" s="66">
        <f>D371+28</f>
        <v>45761</v>
      </c>
      <c r="G371" s="80" t="s">
        <v>15</v>
      </c>
      <c r="H371" s="68">
        <v>5.0</v>
      </c>
      <c r="I371" s="69">
        <v>131.0</v>
      </c>
      <c r="J371" s="44">
        <f t="shared" si="113"/>
        <v>64</v>
      </c>
      <c r="K371" s="44">
        <f t="shared" si="114"/>
        <v>64</v>
      </c>
      <c r="L371" s="68"/>
      <c r="M371" s="69"/>
      <c r="N371" s="44" t="str">
        <f t="shared" si="111"/>
        <v/>
      </c>
      <c r="O371" s="44" t="str">
        <f t="shared" si="112"/>
        <v/>
      </c>
      <c r="P371" s="70">
        <v>244.0</v>
      </c>
      <c r="Q371" s="71"/>
      <c r="R371" s="71"/>
      <c r="S371" s="31"/>
    </row>
    <row r="372">
      <c r="A372" s="37" t="s">
        <v>48</v>
      </c>
      <c r="B372" s="77" t="s">
        <v>125</v>
      </c>
      <c r="C372" s="44"/>
      <c r="D372" s="64">
        <v>45734.0</v>
      </c>
      <c r="E372" s="64">
        <f t="shared" ref="E372:E376" si="115">D372+7</f>
        <v>45741</v>
      </c>
      <c r="F372" s="64">
        <f t="shared" ref="F372:F376" si="116">D372+28</f>
        <v>45762</v>
      </c>
      <c r="G372" s="67" t="s">
        <v>137</v>
      </c>
      <c r="H372" s="68">
        <v>85.0</v>
      </c>
      <c r="I372" s="69">
        <v>103.0</v>
      </c>
      <c r="J372" s="44">
        <f t="shared" si="113"/>
        <v>10</v>
      </c>
      <c r="K372" s="44">
        <f t="shared" si="114"/>
        <v>10</v>
      </c>
      <c r="L372" s="68">
        <v>302.0</v>
      </c>
      <c r="M372" s="69">
        <v>306.0</v>
      </c>
      <c r="N372" s="44">
        <f t="shared" si="111"/>
        <v>3</v>
      </c>
      <c r="O372" s="44">
        <f t="shared" si="112"/>
        <v>3</v>
      </c>
      <c r="P372" s="70">
        <v>246.0</v>
      </c>
      <c r="Q372" s="71"/>
      <c r="R372" s="71"/>
      <c r="S372" s="31"/>
    </row>
    <row r="373">
      <c r="A373" s="37" t="s">
        <v>48</v>
      </c>
      <c r="B373" s="77" t="s">
        <v>125</v>
      </c>
      <c r="C373" s="44"/>
      <c r="D373" s="64">
        <v>45734.0</v>
      </c>
      <c r="E373" s="64">
        <f t="shared" si="115"/>
        <v>45741</v>
      </c>
      <c r="F373" s="64">
        <f t="shared" si="116"/>
        <v>45762</v>
      </c>
      <c r="G373" s="67" t="s">
        <v>137</v>
      </c>
      <c r="H373" s="68">
        <v>107.0</v>
      </c>
      <c r="I373" s="69">
        <v>153.0</v>
      </c>
      <c r="J373" s="44">
        <f t="shared" si="113"/>
        <v>24</v>
      </c>
      <c r="K373" s="44">
        <f t="shared" si="114"/>
        <v>24</v>
      </c>
      <c r="L373" s="68"/>
      <c r="M373" s="69"/>
      <c r="N373" s="44" t="str">
        <f t="shared" si="111"/>
        <v/>
      </c>
      <c r="O373" s="44" t="str">
        <f t="shared" si="112"/>
        <v/>
      </c>
      <c r="P373" s="70">
        <v>246.0</v>
      </c>
      <c r="Q373" s="71"/>
      <c r="R373" s="71"/>
      <c r="S373" s="31"/>
    </row>
    <row r="374">
      <c r="A374" s="37" t="s">
        <v>48</v>
      </c>
      <c r="B374" s="77" t="s">
        <v>125</v>
      </c>
      <c r="C374" s="44"/>
      <c r="D374" s="64">
        <v>45734.0</v>
      </c>
      <c r="E374" s="64">
        <f t="shared" si="115"/>
        <v>45741</v>
      </c>
      <c r="F374" s="64">
        <f t="shared" si="116"/>
        <v>45762</v>
      </c>
      <c r="G374" s="67" t="s">
        <v>137</v>
      </c>
      <c r="H374" s="68">
        <v>157.0</v>
      </c>
      <c r="I374" s="69">
        <v>299.0</v>
      </c>
      <c r="J374" s="44">
        <f t="shared" si="113"/>
        <v>72</v>
      </c>
      <c r="K374" s="44">
        <f t="shared" si="114"/>
        <v>72</v>
      </c>
      <c r="L374" s="68"/>
      <c r="M374" s="69"/>
      <c r="N374" s="44" t="str">
        <f t="shared" si="111"/>
        <v/>
      </c>
      <c r="O374" s="44" t="str">
        <f t="shared" si="112"/>
        <v/>
      </c>
      <c r="P374" s="70">
        <v>246.0</v>
      </c>
      <c r="Q374" s="71"/>
      <c r="R374" s="71"/>
      <c r="S374" s="31"/>
    </row>
    <row r="375">
      <c r="A375" s="37" t="s">
        <v>48</v>
      </c>
      <c r="B375" s="77" t="s">
        <v>125</v>
      </c>
      <c r="C375" s="44"/>
      <c r="D375" s="64">
        <v>45734.0</v>
      </c>
      <c r="E375" s="64">
        <f t="shared" si="115"/>
        <v>45741</v>
      </c>
      <c r="F375" s="64">
        <f t="shared" si="116"/>
        <v>45762</v>
      </c>
      <c r="G375" s="78" t="s">
        <v>145</v>
      </c>
      <c r="H375" s="68">
        <v>21.0</v>
      </c>
      <c r="I375" s="69">
        <v>45.0</v>
      </c>
      <c r="J375" s="44">
        <f t="shared" si="113"/>
        <v>13</v>
      </c>
      <c r="K375" s="44">
        <f t="shared" si="114"/>
        <v>13</v>
      </c>
      <c r="L375" s="68">
        <v>2.0</v>
      </c>
      <c r="M375" s="69">
        <v>18.0</v>
      </c>
      <c r="N375" s="44">
        <f t="shared" si="111"/>
        <v>9</v>
      </c>
      <c r="O375" s="44">
        <f t="shared" si="112"/>
        <v>9</v>
      </c>
      <c r="P375" s="70">
        <v>249.0</v>
      </c>
      <c r="Q375" s="71"/>
      <c r="R375" s="71"/>
      <c r="S375" s="31"/>
    </row>
    <row r="376">
      <c r="A376" s="37" t="s">
        <v>48</v>
      </c>
      <c r="B376" s="77" t="s">
        <v>125</v>
      </c>
      <c r="C376" s="44"/>
      <c r="D376" s="64">
        <v>45734.0</v>
      </c>
      <c r="E376" s="64">
        <f t="shared" si="115"/>
        <v>45741</v>
      </c>
      <c r="F376" s="64">
        <f t="shared" si="116"/>
        <v>45762</v>
      </c>
      <c r="G376" s="78" t="s">
        <v>145</v>
      </c>
      <c r="H376" s="68">
        <v>47.0</v>
      </c>
      <c r="I376" s="69">
        <v>213.0</v>
      </c>
      <c r="J376" s="44">
        <f t="shared" si="113"/>
        <v>84</v>
      </c>
      <c r="K376" s="44">
        <f t="shared" si="114"/>
        <v>84</v>
      </c>
      <c r="L376" s="68"/>
      <c r="M376" s="69"/>
      <c r="N376" s="44" t="str">
        <f t="shared" si="111"/>
        <v/>
      </c>
      <c r="O376" s="44" t="str">
        <f t="shared" si="112"/>
        <v/>
      </c>
      <c r="P376" s="70">
        <v>249.0</v>
      </c>
      <c r="Q376" s="71"/>
      <c r="R376" s="71"/>
      <c r="S376" s="31"/>
    </row>
    <row r="377">
      <c r="A377" s="37" t="s">
        <v>48</v>
      </c>
      <c r="B377" s="87" t="s">
        <v>125</v>
      </c>
      <c r="C377" s="88"/>
      <c r="D377" s="64">
        <v>45734.0</v>
      </c>
      <c r="E377" s="64">
        <f>D377+7</f>
        <v>45741</v>
      </c>
      <c r="F377" s="66">
        <f>D377+28</f>
        <v>45762</v>
      </c>
      <c r="G377" s="80" t="s">
        <v>15</v>
      </c>
      <c r="H377" s="68">
        <v>133.0</v>
      </c>
      <c r="I377" s="69">
        <v>259.0</v>
      </c>
      <c r="J377" s="44">
        <f t="shared" si="113"/>
        <v>64</v>
      </c>
      <c r="K377" s="44">
        <f t="shared" si="114"/>
        <v>64</v>
      </c>
      <c r="L377" s="68"/>
      <c r="M377" s="69"/>
      <c r="N377" s="44" t="str">
        <f t="shared" si="111"/>
        <v/>
      </c>
      <c r="O377" s="44" t="str">
        <f t="shared" si="112"/>
        <v/>
      </c>
      <c r="P377" s="70">
        <v>247.0</v>
      </c>
      <c r="Q377" s="71"/>
      <c r="R377" s="71"/>
      <c r="S377" s="31"/>
    </row>
    <row r="378">
      <c r="A378" s="37" t="s">
        <v>48</v>
      </c>
      <c r="B378" s="77" t="s">
        <v>133</v>
      </c>
      <c r="C378" s="82" t="s">
        <v>146</v>
      </c>
      <c r="D378" s="64">
        <v>45735.0</v>
      </c>
      <c r="E378" s="64">
        <f t="shared" ref="E378:E383" si="117">D378+7</f>
        <v>45742</v>
      </c>
      <c r="F378" s="64">
        <f t="shared" ref="F378:F383" si="118">D378+28</f>
        <v>45763</v>
      </c>
      <c r="G378" s="78" t="s">
        <v>145</v>
      </c>
      <c r="H378" s="68">
        <v>215.0</v>
      </c>
      <c r="I378" s="69">
        <v>223.0</v>
      </c>
      <c r="J378" s="44">
        <f t="shared" si="113"/>
        <v>5</v>
      </c>
      <c r="K378" s="44">
        <f t="shared" si="114"/>
        <v>5</v>
      </c>
      <c r="L378" s="68">
        <v>50.0</v>
      </c>
      <c r="M378" s="69">
        <v>52.0</v>
      </c>
      <c r="N378" s="44">
        <f t="shared" si="111"/>
        <v>2</v>
      </c>
      <c r="O378" s="44">
        <f t="shared" si="112"/>
        <v>2</v>
      </c>
      <c r="P378" s="70">
        <v>250.0</v>
      </c>
      <c r="Q378" s="71"/>
      <c r="R378" s="71"/>
      <c r="S378" s="31"/>
    </row>
    <row r="379">
      <c r="A379" s="37" t="s">
        <v>48</v>
      </c>
      <c r="B379" s="77" t="s">
        <v>133</v>
      </c>
      <c r="C379" s="82" t="s">
        <v>146</v>
      </c>
      <c r="D379" s="64">
        <v>45735.0</v>
      </c>
      <c r="E379" s="64">
        <f t="shared" si="117"/>
        <v>45742</v>
      </c>
      <c r="F379" s="64">
        <f t="shared" si="118"/>
        <v>45763</v>
      </c>
      <c r="G379" s="78" t="s">
        <v>145</v>
      </c>
      <c r="H379" s="68"/>
      <c r="I379" s="69"/>
      <c r="J379" s="44" t="str">
        <f t="shared" si="113"/>
        <v/>
      </c>
      <c r="K379" s="44" t="str">
        <f t="shared" si="114"/>
        <v/>
      </c>
      <c r="L379" s="68">
        <v>54.0</v>
      </c>
      <c r="M379" s="69">
        <v>102.0</v>
      </c>
      <c r="N379" s="44">
        <f t="shared" si="111"/>
        <v>25</v>
      </c>
      <c r="O379" s="44">
        <f t="shared" si="112"/>
        <v>25</v>
      </c>
      <c r="P379" s="70">
        <v>250.0</v>
      </c>
      <c r="Q379" s="71"/>
      <c r="R379" s="71"/>
      <c r="S379" s="31"/>
    </row>
    <row r="380">
      <c r="A380" s="37" t="s">
        <v>48</v>
      </c>
      <c r="B380" s="77" t="s">
        <v>133</v>
      </c>
      <c r="C380" s="82" t="s">
        <v>146</v>
      </c>
      <c r="D380" s="64">
        <v>45735.0</v>
      </c>
      <c r="E380" s="64">
        <f t="shared" si="117"/>
        <v>45742</v>
      </c>
      <c r="F380" s="64">
        <f t="shared" si="118"/>
        <v>45763</v>
      </c>
      <c r="G380" s="78" t="s">
        <v>145</v>
      </c>
      <c r="H380" s="68"/>
      <c r="I380" s="69"/>
      <c r="J380" s="44" t="str">
        <f t="shared" si="113"/>
        <v/>
      </c>
      <c r="K380" s="44" t="str">
        <f t="shared" si="114"/>
        <v/>
      </c>
      <c r="L380" s="68">
        <v>106.0</v>
      </c>
      <c r="M380" s="69">
        <v>152.0</v>
      </c>
      <c r="N380" s="44">
        <f t="shared" si="111"/>
        <v>24</v>
      </c>
      <c r="O380" s="44">
        <f t="shared" si="112"/>
        <v>24</v>
      </c>
      <c r="P380" s="70">
        <v>250.0</v>
      </c>
      <c r="Q380" s="71"/>
      <c r="R380" s="71"/>
      <c r="S380" s="31"/>
    </row>
    <row r="381">
      <c r="A381" s="37" t="s">
        <v>48</v>
      </c>
      <c r="B381" s="77" t="s">
        <v>133</v>
      </c>
      <c r="C381" s="82" t="s">
        <v>146</v>
      </c>
      <c r="D381" s="64">
        <v>45735.0</v>
      </c>
      <c r="E381" s="64">
        <f t="shared" si="117"/>
        <v>45742</v>
      </c>
      <c r="F381" s="64">
        <f t="shared" si="118"/>
        <v>45763</v>
      </c>
      <c r="G381" s="78" t="s">
        <v>145</v>
      </c>
      <c r="H381" s="68"/>
      <c r="I381" s="69"/>
      <c r="J381" s="44" t="str">
        <f t="shared" si="113"/>
        <v/>
      </c>
      <c r="K381" s="44" t="str">
        <f t="shared" si="114"/>
        <v/>
      </c>
      <c r="L381" s="68">
        <v>156.0</v>
      </c>
      <c r="M381" s="69">
        <v>204.0</v>
      </c>
      <c r="N381" s="44">
        <f t="shared" si="111"/>
        <v>25</v>
      </c>
      <c r="O381" s="44">
        <f t="shared" si="112"/>
        <v>25</v>
      </c>
      <c r="P381" s="70">
        <v>250.0</v>
      </c>
      <c r="Q381" s="71"/>
      <c r="R381" s="71"/>
      <c r="S381" s="31"/>
    </row>
    <row r="382">
      <c r="A382" s="37" t="s">
        <v>48</v>
      </c>
      <c r="B382" s="77" t="s">
        <v>133</v>
      </c>
      <c r="C382" s="82" t="s">
        <v>146</v>
      </c>
      <c r="D382" s="64">
        <v>45735.0</v>
      </c>
      <c r="E382" s="64">
        <f t="shared" si="117"/>
        <v>45742</v>
      </c>
      <c r="F382" s="64">
        <f t="shared" si="118"/>
        <v>45763</v>
      </c>
      <c r="G382" s="78" t="s">
        <v>145</v>
      </c>
      <c r="H382" s="68"/>
      <c r="I382" s="69"/>
      <c r="J382" s="44" t="str">
        <f t="shared" si="113"/>
        <v/>
      </c>
      <c r="K382" s="44" t="str">
        <f t="shared" si="114"/>
        <v/>
      </c>
      <c r="L382" s="68">
        <v>208.0</v>
      </c>
      <c r="M382" s="69">
        <v>212.0</v>
      </c>
      <c r="N382" s="44">
        <f t="shared" si="111"/>
        <v>3</v>
      </c>
      <c r="O382" s="44">
        <f t="shared" si="112"/>
        <v>3</v>
      </c>
      <c r="P382" s="70">
        <v>250.0</v>
      </c>
      <c r="Q382" s="71"/>
      <c r="R382" s="71"/>
      <c r="S382" s="31"/>
    </row>
    <row r="383">
      <c r="A383" s="37" t="s">
        <v>48</v>
      </c>
      <c r="B383" s="77" t="s">
        <v>133</v>
      </c>
      <c r="C383" s="82" t="s">
        <v>147</v>
      </c>
      <c r="D383" s="64">
        <v>45735.0</v>
      </c>
      <c r="E383" s="64">
        <f t="shared" si="117"/>
        <v>45742</v>
      </c>
      <c r="F383" s="64">
        <f t="shared" si="118"/>
        <v>45763</v>
      </c>
      <c r="G383" s="67" t="s">
        <v>148</v>
      </c>
      <c r="H383" s="68">
        <v>153.0</v>
      </c>
      <c r="I383" s="69">
        <v>215.0</v>
      </c>
      <c r="J383" s="44">
        <f t="shared" si="113"/>
        <v>32</v>
      </c>
      <c r="K383" s="44">
        <f t="shared" si="114"/>
        <v>32</v>
      </c>
      <c r="L383" s="68">
        <v>2.0</v>
      </c>
      <c r="M383" s="69">
        <v>150.0</v>
      </c>
      <c r="N383" s="44">
        <f t="shared" si="111"/>
        <v>75</v>
      </c>
      <c r="O383" s="44">
        <f t="shared" si="112"/>
        <v>75</v>
      </c>
      <c r="P383" s="70">
        <v>251.0</v>
      </c>
      <c r="Q383" s="71"/>
      <c r="R383" s="71"/>
      <c r="S383" s="31"/>
    </row>
    <row r="384">
      <c r="A384" s="37" t="s">
        <v>48</v>
      </c>
      <c r="B384" s="105" t="s">
        <v>133</v>
      </c>
      <c r="C384" s="67" t="s">
        <v>149</v>
      </c>
      <c r="D384" s="64">
        <v>45735.0</v>
      </c>
      <c r="E384" s="64">
        <f>D384+7</f>
        <v>45742</v>
      </c>
      <c r="F384" s="66">
        <f>D384+28</f>
        <v>45763</v>
      </c>
      <c r="G384" s="80" t="s">
        <v>15</v>
      </c>
      <c r="H384" s="68">
        <v>261.0</v>
      </c>
      <c r="I384" s="69">
        <v>273.0</v>
      </c>
      <c r="J384" s="44">
        <f t="shared" si="113"/>
        <v>7</v>
      </c>
      <c r="K384" s="44">
        <f t="shared" si="114"/>
        <v>7</v>
      </c>
      <c r="L384" s="68">
        <v>6.0</v>
      </c>
      <c r="M384" s="69">
        <v>136.0</v>
      </c>
      <c r="N384" s="44">
        <f t="shared" si="111"/>
        <v>66</v>
      </c>
      <c r="O384" s="44">
        <f t="shared" si="112"/>
        <v>66</v>
      </c>
      <c r="P384" s="70">
        <v>252.0</v>
      </c>
      <c r="Q384" s="71"/>
      <c r="R384" s="71"/>
      <c r="S384" s="31"/>
    </row>
    <row r="385">
      <c r="A385" s="37" t="s">
        <v>48</v>
      </c>
      <c r="B385" s="77" t="s">
        <v>133</v>
      </c>
      <c r="C385" s="106" t="s">
        <v>150</v>
      </c>
      <c r="D385" s="64">
        <v>45736.0</v>
      </c>
      <c r="E385" s="64">
        <f t="shared" ref="E385:E395" si="119">D385+7</f>
        <v>45743</v>
      </c>
      <c r="F385" s="64">
        <f t="shared" ref="F385:F395" si="120">D385+28</f>
        <v>45764</v>
      </c>
      <c r="G385" s="78" t="s">
        <v>148</v>
      </c>
      <c r="H385" s="68">
        <v>3.0</v>
      </c>
      <c r="I385" s="69">
        <v>3.0</v>
      </c>
      <c r="J385" s="44">
        <f t="shared" si="113"/>
        <v>1</v>
      </c>
      <c r="K385" s="44">
        <f t="shared" si="114"/>
        <v>1</v>
      </c>
      <c r="L385" s="68"/>
      <c r="M385" s="69"/>
      <c r="N385" s="44" t="str">
        <f t="shared" si="111"/>
        <v/>
      </c>
      <c r="O385" s="44" t="str">
        <f t="shared" si="112"/>
        <v/>
      </c>
      <c r="P385" s="70">
        <v>254.0</v>
      </c>
      <c r="Q385" s="71"/>
      <c r="R385" s="71"/>
      <c r="S385" s="31"/>
    </row>
    <row r="386">
      <c r="A386" s="37" t="s">
        <v>48</v>
      </c>
      <c r="B386" s="77" t="s">
        <v>133</v>
      </c>
      <c r="C386" s="106" t="s">
        <v>150</v>
      </c>
      <c r="D386" s="64">
        <v>45736.0</v>
      </c>
      <c r="E386" s="64">
        <f t="shared" si="119"/>
        <v>45743</v>
      </c>
      <c r="F386" s="64">
        <f t="shared" si="120"/>
        <v>45764</v>
      </c>
      <c r="G386" s="96" t="s">
        <v>148</v>
      </c>
      <c r="H386" s="68">
        <v>7.0</v>
      </c>
      <c r="I386" s="69">
        <v>53.0</v>
      </c>
      <c r="J386" s="44">
        <f t="shared" si="113"/>
        <v>24</v>
      </c>
      <c r="K386" s="44">
        <f t="shared" si="114"/>
        <v>24</v>
      </c>
      <c r="L386" s="68">
        <v>154.0</v>
      </c>
      <c r="M386" s="69">
        <v>156.0</v>
      </c>
      <c r="N386" s="44">
        <f t="shared" si="111"/>
        <v>2</v>
      </c>
      <c r="O386" s="44">
        <f t="shared" si="112"/>
        <v>2</v>
      </c>
      <c r="P386" s="70">
        <v>254.0</v>
      </c>
      <c r="Q386" s="71"/>
      <c r="R386" s="71"/>
      <c r="S386" s="31"/>
    </row>
    <row r="387">
      <c r="A387" s="37" t="s">
        <v>48</v>
      </c>
      <c r="B387" s="77" t="s">
        <v>133</v>
      </c>
      <c r="C387" s="106" t="s">
        <v>150</v>
      </c>
      <c r="D387" s="64">
        <v>45736.0</v>
      </c>
      <c r="E387" s="64">
        <f t="shared" si="119"/>
        <v>45743</v>
      </c>
      <c r="F387" s="64">
        <f t="shared" si="120"/>
        <v>45764</v>
      </c>
      <c r="G387" s="96" t="s">
        <v>148</v>
      </c>
      <c r="H387" s="68">
        <v>57.0</v>
      </c>
      <c r="I387" s="69">
        <v>107.0</v>
      </c>
      <c r="J387" s="44">
        <f t="shared" si="113"/>
        <v>26</v>
      </c>
      <c r="K387" s="44">
        <f t="shared" si="114"/>
        <v>26</v>
      </c>
      <c r="L387" s="68"/>
      <c r="M387" s="69"/>
      <c r="N387" s="44" t="str">
        <f t="shared" si="111"/>
        <v/>
      </c>
      <c r="O387" s="44" t="str">
        <f t="shared" si="112"/>
        <v/>
      </c>
      <c r="P387" s="70">
        <v>254.0</v>
      </c>
      <c r="Q387" s="71"/>
      <c r="R387" s="71"/>
      <c r="S387" s="31"/>
    </row>
    <row r="388">
      <c r="A388" s="37" t="s">
        <v>48</v>
      </c>
      <c r="B388" s="77" t="s">
        <v>133</v>
      </c>
      <c r="C388" s="106" t="s">
        <v>150</v>
      </c>
      <c r="D388" s="64">
        <v>45736.0</v>
      </c>
      <c r="E388" s="64">
        <f t="shared" si="119"/>
        <v>45743</v>
      </c>
      <c r="F388" s="64">
        <f t="shared" si="120"/>
        <v>45764</v>
      </c>
      <c r="G388" s="96" t="s">
        <v>148</v>
      </c>
      <c r="H388" s="68">
        <v>111.0</v>
      </c>
      <c r="I388" s="69">
        <v>151.0</v>
      </c>
      <c r="J388" s="44">
        <f t="shared" si="113"/>
        <v>21</v>
      </c>
      <c r="K388" s="44">
        <f t="shared" si="114"/>
        <v>21</v>
      </c>
      <c r="L388" s="68"/>
      <c r="M388" s="69"/>
      <c r="N388" s="44" t="str">
        <f t="shared" si="111"/>
        <v/>
      </c>
      <c r="O388" s="44" t="str">
        <f t="shared" si="112"/>
        <v/>
      </c>
      <c r="P388" s="70">
        <v>254.0</v>
      </c>
      <c r="Q388" s="71"/>
      <c r="R388" s="71"/>
      <c r="S388" s="31"/>
    </row>
    <row r="389">
      <c r="A389" s="37" t="s">
        <v>48</v>
      </c>
      <c r="B389" s="77" t="s">
        <v>133</v>
      </c>
      <c r="C389" s="106" t="s">
        <v>150</v>
      </c>
      <c r="D389" s="64">
        <v>45736.0</v>
      </c>
      <c r="E389" s="64">
        <f t="shared" si="119"/>
        <v>45743</v>
      </c>
      <c r="F389" s="64">
        <f t="shared" si="120"/>
        <v>45764</v>
      </c>
      <c r="G389" s="96" t="s">
        <v>148</v>
      </c>
      <c r="H389" s="68">
        <v>217.0</v>
      </c>
      <c r="I389" s="69">
        <v>303.0</v>
      </c>
      <c r="J389" s="44">
        <f t="shared" si="113"/>
        <v>44</v>
      </c>
      <c r="K389" s="44">
        <f t="shared" si="114"/>
        <v>44</v>
      </c>
      <c r="L389" s="68"/>
      <c r="M389" s="69"/>
      <c r="N389" s="44" t="str">
        <f t="shared" si="111"/>
        <v/>
      </c>
      <c r="O389" s="44" t="str">
        <f t="shared" si="112"/>
        <v/>
      </c>
      <c r="P389" s="70">
        <v>254.0</v>
      </c>
      <c r="Q389" s="71"/>
      <c r="R389" s="71"/>
      <c r="S389" s="31"/>
    </row>
    <row r="390">
      <c r="A390" s="37" t="s">
        <v>48</v>
      </c>
      <c r="B390" s="77" t="s">
        <v>133</v>
      </c>
      <c r="C390" s="82" t="s">
        <v>151</v>
      </c>
      <c r="D390" s="64">
        <v>45736.0</v>
      </c>
      <c r="E390" s="64">
        <f t="shared" si="119"/>
        <v>45743</v>
      </c>
      <c r="F390" s="64">
        <f t="shared" si="120"/>
        <v>45764</v>
      </c>
      <c r="G390" s="67" t="s">
        <v>144</v>
      </c>
      <c r="H390" s="68">
        <v>3.0</v>
      </c>
      <c r="I390" s="69">
        <v>3.0</v>
      </c>
      <c r="J390" s="44">
        <f t="shared" si="113"/>
        <v>1</v>
      </c>
      <c r="K390" s="44">
        <f t="shared" si="114"/>
        <v>1</v>
      </c>
      <c r="L390" s="68"/>
      <c r="M390" s="69"/>
      <c r="N390" s="44" t="str">
        <f t="shared" si="111"/>
        <v/>
      </c>
      <c r="O390" s="44" t="str">
        <f t="shared" si="112"/>
        <v/>
      </c>
      <c r="P390" s="70">
        <v>255.0</v>
      </c>
      <c r="Q390" s="71"/>
      <c r="R390" s="71"/>
      <c r="S390" s="31"/>
    </row>
    <row r="391">
      <c r="A391" s="37" t="s">
        <v>48</v>
      </c>
      <c r="B391" s="77" t="s">
        <v>133</v>
      </c>
      <c r="C391" s="82" t="s">
        <v>151</v>
      </c>
      <c r="D391" s="64">
        <v>45736.0</v>
      </c>
      <c r="E391" s="64">
        <f t="shared" si="119"/>
        <v>45743</v>
      </c>
      <c r="F391" s="64">
        <f t="shared" si="120"/>
        <v>45764</v>
      </c>
      <c r="G391" s="67" t="s">
        <v>144</v>
      </c>
      <c r="H391" s="68">
        <v>7.0</v>
      </c>
      <c r="I391" s="69">
        <v>53.0</v>
      </c>
      <c r="J391" s="44">
        <f t="shared" si="113"/>
        <v>24</v>
      </c>
      <c r="K391" s="44">
        <f t="shared" si="114"/>
        <v>24</v>
      </c>
      <c r="L391" s="68"/>
      <c r="M391" s="69"/>
      <c r="N391" s="44" t="str">
        <f t="shared" si="111"/>
        <v/>
      </c>
      <c r="O391" s="44" t="str">
        <f t="shared" si="112"/>
        <v/>
      </c>
      <c r="P391" s="70">
        <v>255.0</v>
      </c>
      <c r="Q391" s="71"/>
      <c r="R391" s="71"/>
      <c r="S391" s="31"/>
    </row>
    <row r="392">
      <c r="A392" s="37" t="s">
        <v>48</v>
      </c>
      <c r="B392" s="77" t="s">
        <v>133</v>
      </c>
      <c r="C392" s="82" t="s">
        <v>151</v>
      </c>
      <c r="D392" s="64">
        <v>45736.0</v>
      </c>
      <c r="E392" s="64">
        <f t="shared" si="119"/>
        <v>45743</v>
      </c>
      <c r="F392" s="64">
        <f t="shared" si="120"/>
        <v>45764</v>
      </c>
      <c r="G392" s="67" t="s">
        <v>144</v>
      </c>
      <c r="H392" s="68">
        <v>57.0</v>
      </c>
      <c r="I392" s="69">
        <v>103.0</v>
      </c>
      <c r="J392" s="44">
        <f t="shared" si="113"/>
        <v>24</v>
      </c>
      <c r="K392" s="44">
        <f t="shared" si="114"/>
        <v>24</v>
      </c>
      <c r="L392" s="68"/>
      <c r="M392" s="69"/>
      <c r="N392" s="44" t="str">
        <f t="shared" si="111"/>
        <v/>
      </c>
      <c r="O392" s="44" t="str">
        <f t="shared" si="112"/>
        <v/>
      </c>
      <c r="P392" s="70">
        <v>255.0</v>
      </c>
      <c r="Q392" s="71"/>
      <c r="R392" s="71"/>
      <c r="S392" s="31"/>
    </row>
    <row r="393">
      <c r="A393" s="37" t="s">
        <v>48</v>
      </c>
      <c r="B393" s="77" t="s">
        <v>133</v>
      </c>
      <c r="C393" s="82" t="s">
        <v>151</v>
      </c>
      <c r="D393" s="64">
        <v>45736.0</v>
      </c>
      <c r="E393" s="64">
        <f t="shared" si="119"/>
        <v>45743</v>
      </c>
      <c r="F393" s="64">
        <f t="shared" si="120"/>
        <v>45764</v>
      </c>
      <c r="G393" s="67" t="s">
        <v>144</v>
      </c>
      <c r="H393" s="68">
        <v>107.0</v>
      </c>
      <c r="I393" s="69">
        <v>115.0</v>
      </c>
      <c r="J393" s="44">
        <f t="shared" si="113"/>
        <v>5</v>
      </c>
      <c r="K393" s="44">
        <f t="shared" si="114"/>
        <v>5</v>
      </c>
      <c r="L393" s="68"/>
      <c r="M393" s="69"/>
      <c r="N393" s="44" t="str">
        <f t="shared" si="111"/>
        <v/>
      </c>
      <c r="O393" s="44" t="str">
        <f t="shared" si="112"/>
        <v/>
      </c>
      <c r="P393" s="70">
        <v>255.0</v>
      </c>
      <c r="Q393" s="71"/>
      <c r="R393" s="71"/>
      <c r="S393" s="31"/>
    </row>
    <row r="394">
      <c r="A394" s="37" t="s">
        <v>48</v>
      </c>
      <c r="B394" s="77" t="s">
        <v>133</v>
      </c>
      <c r="C394" s="82" t="s">
        <v>151</v>
      </c>
      <c r="D394" s="64">
        <v>45736.0</v>
      </c>
      <c r="E394" s="64">
        <f t="shared" si="119"/>
        <v>45743</v>
      </c>
      <c r="F394" s="64">
        <f t="shared" si="120"/>
        <v>45764</v>
      </c>
      <c r="G394" s="67" t="s">
        <v>145</v>
      </c>
      <c r="H394" s="68">
        <v>1.0</v>
      </c>
      <c r="I394" s="69">
        <v>3.0</v>
      </c>
      <c r="J394" s="44">
        <f t="shared" si="113"/>
        <v>2</v>
      </c>
      <c r="K394" s="44">
        <f t="shared" si="114"/>
        <v>2</v>
      </c>
      <c r="L394" s="68">
        <v>20.0</v>
      </c>
      <c r="M394" s="69">
        <v>48.0</v>
      </c>
      <c r="N394" s="44">
        <f t="shared" si="111"/>
        <v>15</v>
      </c>
      <c r="O394" s="44">
        <f t="shared" si="112"/>
        <v>15</v>
      </c>
      <c r="P394" s="70">
        <v>255.0</v>
      </c>
      <c r="Q394" s="71"/>
      <c r="R394" s="71"/>
      <c r="S394" s="31"/>
    </row>
    <row r="395">
      <c r="A395" s="37" t="s">
        <v>48</v>
      </c>
      <c r="B395" s="77" t="s">
        <v>133</v>
      </c>
      <c r="C395" s="82" t="s">
        <v>151</v>
      </c>
      <c r="D395" s="64">
        <v>45736.0</v>
      </c>
      <c r="E395" s="64">
        <f t="shared" si="119"/>
        <v>45743</v>
      </c>
      <c r="F395" s="64">
        <f t="shared" si="120"/>
        <v>45764</v>
      </c>
      <c r="G395" s="67" t="s">
        <v>145</v>
      </c>
      <c r="H395" s="68">
        <v>7.0</v>
      </c>
      <c r="I395" s="69">
        <v>19.0</v>
      </c>
      <c r="J395" s="44">
        <f t="shared" si="113"/>
        <v>7</v>
      </c>
      <c r="K395" s="44">
        <f t="shared" si="114"/>
        <v>7</v>
      </c>
      <c r="L395" s="68">
        <v>214.0</v>
      </c>
      <c r="M395" s="69">
        <v>222.0</v>
      </c>
      <c r="N395" s="44">
        <f t="shared" si="111"/>
        <v>5</v>
      </c>
      <c r="O395" s="44">
        <f t="shared" si="112"/>
        <v>5</v>
      </c>
      <c r="P395" s="70">
        <v>255.0</v>
      </c>
      <c r="Q395" s="71"/>
      <c r="R395" s="71"/>
      <c r="S395" s="31"/>
    </row>
    <row r="396">
      <c r="A396" s="37" t="s">
        <v>48</v>
      </c>
      <c r="B396" s="105" t="s">
        <v>133</v>
      </c>
      <c r="C396" s="67" t="s">
        <v>152</v>
      </c>
      <c r="D396" s="64">
        <v>45736.0</v>
      </c>
      <c r="E396" s="64">
        <f>D396+7</f>
        <v>45743</v>
      </c>
      <c r="F396" s="64">
        <f>D396+28</f>
        <v>45764</v>
      </c>
      <c r="G396" s="80" t="s">
        <v>15</v>
      </c>
      <c r="H396" s="68"/>
      <c r="I396" s="69"/>
      <c r="J396" s="44" t="str">
        <f t="shared" si="113"/>
        <v/>
      </c>
      <c r="K396" s="44" t="str">
        <f t="shared" si="114"/>
        <v/>
      </c>
      <c r="L396" s="68">
        <v>138.0</v>
      </c>
      <c r="M396" s="69">
        <v>272.0</v>
      </c>
      <c r="N396" s="44">
        <f t="shared" si="111"/>
        <v>68</v>
      </c>
      <c r="O396" s="44">
        <f t="shared" si="112"/>
        <v>68</v>
      </c>
      <c r="P396" s="70">
        <v>253.0</v>
      </c>
      <c r="Q396" s="71"/>
      <c r="R396" s="71"/>
      <c r="S396" s="31"/>
    </row>
    <row r="397">
      <c r="A397" s="37" t="s">
        <v>48</v>
      </c>
      <c r="B397" s="77" t="s">
        <v>133</v>
      </c>
      <c r="C397" s="82" t="s">
        <v>153</v>
      </c>
      <c r="D397" s="64">
        <v>45739.0</v>
      </c>
      <c r="E397" s="64">
        <f t="shared" ref="E397:E403" si="121">D397+7</f>
        <v>45746</v>
      </c>
      <c r="F397" s="64">
        <f t="shared" ref="F397:F403" si="122">D397+28</f>
        <v>45767</v>
      </c>
      <c r="G397" s="67" t="s">
        <v>148</v>
      </c>
      <c r="H397" s="68"/>
      <c r="I397" s="69"/>
      <c r="J397" s="44" t="str">
        <f t="shared" si="113"/>
        <v/>
      </c>
      <c r="K397" s="44" t="str">
        <f t="shared" si="114"/>
        <v/>
      </c>
      <c r="L397" s="68">
        <v>152.0</v>
      </c>
      <c r="M397" s="69">
        <v>152.0</v>
      </c>
      <c r="N397" s="44">
        <f t="shared" si="111"/>
        <v>1</v>
      </c>
      <c r="O397" s="44">
        <f t="shared" si="112"/>
        <v>1</v>
      </c>
      <c r="P397" s="70">
        <v>256.0</v>
      </c>
      <c r="Q397" s="71"/>
      <c r="R397" s="71"/>
      <c r="S397" s="31"/>
    </row>
    <row r="398">
      <c r="A398" s="37" t="s">
        <v>48</v>
      </c>
      <c r="B398" s="77" t="s">
        <v>133</v>
      </c>
      <c r="C398" s="82" t="s">
        <v>153</v>
      </c>
      <c r="D398" s="64">
        <v>45739.0</v>
      </c>
      <c r="E398" s="64">
        <f t="shared" si="121"/>
        <v>45746</v>
      </c>
      <c r="F398" s="64">
        <f t="shared" si="122"/>
        <v>45767</v>
      </c>
      <c r="G398" s="67" t="s">
        <v>148</v>
      </c>
      <c r="H398" s="68"/>
      <c r="I398" s="69"/>
      <c r="J398" s="44" t="str">
        <f t="shared" si="113"/>
        <v/>
      </c>
      <c r="K398" s="44" t="str">
        <f t="shared" si="114"/>
        <v/>
      </c>
      <c r="L398" s="68">
        <v>160.0</v>
      </c>
      <c r="M398" s="69">
        <v>208.0</v>
      </c>
      <c r="N398" s="44">
        <f t="shared" si="111"/>
        <v>25</v>
      </c>
      <c r="O398" s="44">
        <f t="shared" si="112"/>
        <v>25</v>
      </c>
      <c r="P398" s="70">
        <v>256.0</v>
      </c>
      <c r="Q398" s="71"/>
      <c r="R398" s="71"/>
      <c r="S398" s="31"/>
    </row>
    <row r="399">
      <c r="A399" s="37" t="s">
        <v>48</v>
      </c>
      <c r="B399" s="77" t="s">
        <v>133</v>
      </c>
      <c r="C399" s="82" t="s">
        <v>153</v>
      </c>
      <c r="D399" s="64">
        <v>45739.0</v>
      </c>
      <c r="E399" s="64">
        <f t="shared" si="121"/>
        <v>45746</v>
      </c>
      <c r="F399" s="64">
        <f t="shared" si="122"/>
        <v>45767</v>
      </c>
      <c r="G399" s="67" t="s">
        <v>148</v>
      </c>
      <c r="H399" s="68"/>
      <c r="I399" s="69"/>
      <c r="J399" s="44" t="str">
        <f t="shared" si="113"/>
        <v/>
      </c>
      <c r="K399" s="44" t="str">
        <f t="shared" si="114"/>
        <v/>
      </c>
      <c r="L399" s="68">
        <v>212.0</v>
      </c>
      <c r="M399" s="69">
        <v>256.0</v>
      </c>
      <c r="N399" s="44">
        <f t="shared" si="111"/>
        <v>23</v>
      </c>
      <c r="O399" s="44">
        <f t="shared" si="112"/>
        <v>23</v>
      </c>
      <c r="P399" s="70">
        <v>256.0</v>
      </c>
      <c r="Q399" s="71"/>
      <c r="R399" s="71"/>
      <c r="S399" s="31"/>
    </row>
    <row r="400">
      <c r="A400" s="37" t="s">
        <v>48</v>
      </c>
      <c r="B400" s="77" t="s">
        <v>133</v>
      </c>
      <c r="C400" s="82" t="s">
        <v>153</v>
      </c>
      <c r="D400" s="64">
        <v>45739.0</v>
      </c>
      <c r="E400" s="64">
        <f t="shared" si="121"/>
        <v>45746</v>
      </c>
      <c r="F400" s="64">
        <f t="shared" si="122"/>
        <v>45767</v>
      </c>
      <c r="G400" s="67" t="s">
        <v>148</v>
      </c>
      <c r="H400" s="68"/>
      <c r="I400" s="69"/>
      <c r="J400" s="44" t="str">
        <f t="shared" si="113"/>
        <v/>
      </c>
      <c r="K400" s="44" t="str">
        <f t="shared" si="114"/>
        <v/>
      </c>
      <c r="L400" s="68">
        <v>260.0</v>
      </c>
      <c r="M400" s="69">
        <v>300.0</v>
      </c>
      <c r="N400" s="44">
        <f t="shared" si="111"/>
        <v>21</v>
      </c>
      <c r="O400" s="44">
        <f t="shared" si="112"/>
        <v>21</v>
      </c>
      <c r="P400" s="70">
        <v>256.0</v>
      </c>
      <c r="Q400" s="71"/>
      <c r="R400" s="71"/>
      <c r="S400" s="31"/>
    </row>
    <row r="401">
      <c r="A401" s="37" t="s">
        <v>48</v>
      </c>
      <c r="B401" s="77" t="s">
        <v>133</v>
      </c>
      <c r="C401" s="82" t="s">
        <v>153</v>
      </c>
      <c r="D401" s="64">
        <v>45739.0</v>
      </c>
      <c r="E401" s="64">
        <f t="shared" si="121"/>
        <v>45746</v>
      </c>
      <c r="F401" s="64">
        <f t="shared" si="122"/>
        <v>45767</v>
      </c>
      <c r="G401" s="67" t="s">
        <v>154</v>
      </c>
      <c r="H401" s="68"/>
      <c r="I401" s="69"/>
      <c r="J401" s="44" t="str">
        <f t="shared" si="113"/>
        <v/>
      </c>
      <c r="K401" s="44" t="str">
        <f t="shared" si="114"/>
        <v/>
      </c>
      <c r="L401" s="68">
        <v>2.0</v>
      </c>
      <c r="M401" s="69">
        <v>66.0</v>
      </c>
      <c r="N401" s="44">
        <f t="shared" si="111"/>
        <v>33</v>
      </c>
      <c r="O401" s="44">
        <f t="shared" si="112"/>
        <v>33</v>
      </c>
      <c r="P401" s="70">
        <v>256.0</v>
      </c>
      <c r="Q401" s="71"/>
      <c r="R401" s="71"/>
      <c r="S401" s="31"/>
    </row>
    <row r="402">
      <c r="A402" s="37" t="s">
        <v>48</v>
      </c>
      <c r="B402" s="77" t="s">
        <v>133</v>
      </c>
      <c r="C402" s="82" t="s">
        <v>155</v>
      </c>
      <c r="D402" s="64">
        <v>45739.0</v>
      </c>
      <c r="E402" s="64">
        <f t="shared" si="121"/>
        <v>45746</v>
      </c>
      <c r="F402" s="64">
        <f t="shared" si="122"/>
        <v>45767</v>
      </c>
      <c r="G402" s="67" t="s">
        <v>156</v>
      </c>
      <c r="H402" s="68"/>
      <c r="I402" s="69"/>
      <c r="J402" s="44" t="str">
        <f t="shared" si="113"/>
        <v/>
      </c>
      <c r="K402" s="44" t="str">
        <f t="shared" si="114"/>
        <v/>
      </c>
      <c r="L402" s="68">
        <v>2.0</v>
      </c>
      <c r="M402" s="69">
        <v>108.0</v>
      </c>
      <c r="N402" s="44">
        <f t="shared" si="111"/>
        <v>54</v>
      </c>
      <c r="O402" s="44">
        <f t="shared" si="112"/>
        <v>54</v>
      </c>
      <c r="P402" s="70">
        <v>257.0</v>
      </c>
      <c r="Q402" s="71"/>
      <c r="R402" s="71"/>
      <c r="S402" s="31"/>
    </row>
    <row r="403">
      <c r="A403" s="37" t="s">
        <v>48</v>
      </c>
      <c r="B403" s="77" t="s">
        <v>133</v>
      </c>
      <c r="C403" s="82" t="s">
        <v>155</v>
      </c>
      <c r="D403" s="64">
        <v>45739.0</v>
      </c>
      <c r="E403" s="64">
        <f t="shared" si="121"/>
        <v>45746</v>
      </c>
      <c r="F403" s="64">
        <f t="shared" si="122"/>
        <v>45767</v>
      </c>
      <c r="G403" s="67" t="s">
        <v>157</v>
      </c>
      <c r="H403" s="68">
        <v>7.0</v>
      </c>
      <c r="I403" s="69">
        <v>51.0</v>
      </c>
      <c r="J403" s="44">
        <f t="shared" si="113"/>
        <v>23</v>
      </c>
      <c r="K403" s="44">
        <f t="shared" si="114"/>
        <v>23</v>
      </c>
      <c r="L403" s="68">
        <v>2.0</v>
      </c>
      <c r="M403" s="69">
        <v>4.0</v>
      </c>
      <c r="N403" s="44">
        <f t="shared" si="111"/>
        <v>2</v>
      </c>
      <c r="O403" s="44">
        <f t="shared" si="112"/>
        <v>2</v>
      </c>
      <c r="P403" s="70">
        <v>257.0</v>
      </c>
      <c r="Q403" s="71"/>
      <c r="R403" s="71"/>
      <c r="S403" s="31"/>
    </row>
    <row r="404">
      <c r="A404" s="37" t="s">
        <v>48</v>
      </c>
      <c r="B404" s="105" t="s">
        <v>133</v>
      </c>
      <c r="C404" s="67" t="s">
        <v>158</v>
      </c>
      <c r="D404" s="64">
        <v>45739.0</v>
      </c>
      <c r="E404" s="64">
        <f t="shared" ref="E404:E414" si="123">D404+7</f>
        <v>45746</v>
      </c>
      <c r="F404" s="64">
        <f t="shared" ref="F404:F414" si="124">D404+28</f>
        <v>45767</v>
      </c>
      <c r="G404" s="80" t="s">
        <v>15</v>
      </c>
      <c r="H404" s="68">
        <v>291.0</v>
      </c>
      <c r="I404" s="69">
        <v>407.0</v>
      </c>
      <c r="J404" s="44">
        <f t="shared" si="113"/>
        <v>59</v>
      </c>
      <c r="K404" s="44">
        <f t="shared" si="114"/>
        <v>59</v>
      </c>
      <c r="L404" s="68"/>
      <c r="M404" s="69"/>
      <c r="N404" s="44" t="str">
        <f t="shared" si="111"/>
        <v/>
      </c>
      <c r="O404" s="44" t="str">
        <f t="shared" si="112"/>
        <v/>
      </c>
      <c r="P404" s="70">
        <v>258.0</v>
      </c>
      <c r="Q404" s="71"/>
      <c r="R404" s="71"/>
      <c r="S404" s="31"/>
    </row>
    <row r="405">
      <c r="A405" s="37" t="s">
        <v>48</v>
      </c>
      <c r="B405" s="77" t="s">
        <v>133</v>
      </c>
      <c r="C405" s="82" t="s">
        <v>159</v>
      </c>
      <c r="D405" s="64">
        <v>45740.0</v>
      </c>
      <c r="E405" s="64">
        <f t="shared" si="123"/>
        <v>45747</v>
      </c>
      <c r="F405" s="64">
        <f t="shared" si="124"/>
        <v>45768</v>
      </c>
      <c r="G405" s="67" t="s">
        <v>156</v>
      </c>
      <c r="H405" s="68">
        <v>1.0</v>
      </c>
      <c r="I405" s="69">
        <v>3.0</v>
      </c>
      <c r="J405" s="44">
        <f t="shared" si="113"/>
        <v>2</v>
      </c>
      <c r="K405" s="44">
        <f t="shared" si="114"/>
        <v>2</v>
      </c>
      <c r="L405" s="68"/>
      <c r="M405" s="69"/>
      <c r="N405" s="44" t="str">
        <f t="shared" si="111"/>
        <v/>
      </c>
      <c r="O405" s="44" t="str">
        <f t="shared" si="112"/>
        <v/>
      </c>
      <c r="P405" s="70">
        <v>260.0</v>
      </c>
      <c r="Q405" s="71"/>
      <c r="R405" s="71"/>
      <c r="S405" s="31"/>
    </row>
    <row r="406">
      <c r="A406" s="37" t="s">
        <v>48</v>
      </c>
      <c r="B406" s="77" t="s">
        <v>133</v>
      </c>
      <c r="C406" s="82" t="s">
        <v>159</v>
      </c>
      <c r="D406" s="64">
        <v>45740.0</v>
      </c>
      <c r="E406" s="64">
        <f t="shared" si="123"/>
        <v>45747</v>
      </c>
      <c r="F406" s="64">
        <f t="shared" si="124"/>
        <v>45768</v>
      </c>
      <c r="G406" s="67" t="s">
        <v>156</v>
      </c>
      <c r="H406" s="68">
        <v>7.0</v>
      </c>
      <c r="I406" s="69">
        <v>35.0</v>
      </c>
      <c r="J406" s="44">
        <f t="shared" si="113"/>
        <v>15</v>
      </c>
      <c r="K406" s="44">
        <f t="shared" si="114"/>
        <v>15</v>
      </c>
      <c r="L406" s="68"/>
      <c r="M406" s="69"/>
      <c r="N406" s="44" t="str">
        <f t="shared" si="111"/>
        <v/>
      </c>
      <c r="O406" s="44" t="str">
        <f t="shared" si="112"/>
        <v/>
      </c>
      <c r="P406" s="70">
        <v>260.0</v>
      </c>
      <c r="Q406" s="71"/>
      <c r="R406" s="71"/>
      <c r="S406" s="31"/>
    </row>
    <row r="407">
      <c r="A407" s="37" t="s">
        <v>48</v>
      </c>
      <c r="B407" s="77" t="s">
        <v>133</v>
      </c>
      <c r="C407" s="82" t="s">
        <v>159</v>
      </c>
      <c r="D407" s="64">
        <v>45740.0</v>
      </c>
      <c r="E407" s="64">
        <f t="shared" si="123"/>
        <v>45747</v>
      </c>
      <c r="F407" s="64">
        <f t="shared" si="124"/>
        <v>45768</v>
      </c>
      <c r="G407" s="67" t="s">
        <v>157</v>
      </c>
      <c r="H407" s="68">
        <v>1.0</v>
      </c>
      <c r="I407" s="69">
        <v>3.0</v>
      </c>
      <c r="J407" s="44">
        <f t="shared" si="113"/>
        <v>2</v>
      </c>
      <c r="K407" s="44">
        <f t="shared" si="114"/>
        <v>2</v>
      </c>
      <c r="L407" s="68">
        <v>6.0</v>
      </c>
      <c r="M407" s="69">
        <v>50.0</v>
      </c>
      <c r="N407" s="44">
        <f t="shared" si="111"/>
        <v>23</v>
      </c>
      <c r="O407" s="44">
        <f t="shared" si="112"/>
        <v>23</v>
      </c>
      <c r="P407" s="70">
        <v>260.0</v>
      </c>
      <c r="Q407" s="71"/>
      <c r="R407" s="71"/>
      <c r="S407" s="31"/>
    </row>
    <row r="408">
      <c r="A408" s="37" t="s">
        <v>48</v>
      </c>
      <c r="B408" s="77" t="s">
        <v>133</v>
      </c>
      <c r="C408" s="82" t="s">
        <v>159</v>
      </c>
      <c r="D408" s="64">
        <v>45740.0</v>
      </c>
      <c r="E408" s="64">
        <f t="shared" si="123"/>
        <v>45747</v>
      </c>
      <c r="F408" s="64">
        <f t="shared" si="124"/>
        <v>45768</v>
      </c>
      <c r="G408" s="67" t="s">
        <v>157</v>
      </c>
      <c r="H408" s="68">
        <v>53.0</v>
      </c>
      <c r="I408" s="69">
        <v>123.0</v>
      </c>
      <c r="J408" s="44">
        <f t="shared" si="113"/>
        <v>36</v>
      </c>
      <c r="K408" s="44">
        <f t="shared" si="114"/>
        <v>36</v>
      </c>
      <c r="L408" s="68"/>
      <c r="M408" s="69"/>
      <c r="N408" s="44" t="str">
        <f t="shared" si="111"/>
        <v/>
      </c>
      <c r="O408" s="44" t="str">
        <f t="shared" si="112"/>
        <v/>
      </c>
      <c r="P408" s="70">
        <v>260.0</v>
      </c>
      <c r="Q408" s="71"/>
      <c r="R408" s="71"/>
      <c r="S408" s="31"/>
    </row>
    <row r="409">
      <c r="A409" s="37" t="s">
        <v>48</v>
      </c>
      <c r="B409" s="77" t="s">
        <v>133</v>
      </c>
      <c r="C409" s="106" t="s">
        <v>160</v>
      </c>
      <c r="D409" s="64">
        <v>45740.0</v>
      </c>
      <c r="E409" s="64">
        <f t="shared" si="123"/>
        <v>45747</v>
      </c>
      <c r="F409" s="64">
        <f t="shared" si="124"/>
        <v>45768</v>
      </c>
      <c r="G409" s="67" t="s">
        <v>154</v>
      </c>
      <c r="H409" s="68"/>
      <c r="I409" s="69"/>
      <c r="J409" s="44" t="str">
        <f t="shared" si="113"/>
        <v/>
      </c>
      <c r="K409" s="44" t="str">
        <f t="shared" si="114"/>
        <v/>
      </c>
      <c r="L409" s="68">
        <v>68.0</v>
      </c>
      <c r="M409" s="69">
        <v>268.0</v>
      </c>
      <c r="N409" s="44">
        <f t="shared" si="111"/>
        <v>101</v>
      </c>
      <c r="O409" s="44">
        <f t="shared" si="112"/>
        <v>101</v>
      </c>
      <c r="P409" s="70">
        <v>261.0</v>
      </c>
      <c r="Q409" s="71"/>
      <c r="R409" s="71"/>
      <c r="S409" s="31"/>
    </row>
    <row r="410">
      <c r="A410" s="37" t="s">
        <v>48</v>
      </c>
      <c r="B410" s="105" t="s">
        <v>133</v>
      </c>
      <c r="C410" s="67" t="s">
        <v>161</v>
      </c>
      <c r="D410" s="64">
        <v>45740.0</v>
      </c>
      <c r="E410" s="64">
        <f t="shared" si="123"/>
        <v>45747</v>
      </c>
      <c r="F410" s="64">
        <f t="shared" si="124"/>
        <v>45768</v>
      </c>
      <c r="G410" s="80" t="s">
        <v>15</v>
      </c>
      <c r="H410" s="68">
        <v>409.0</v>
      </c>
      <c r="I410" s="69">
        <v>435.0</v>
      </c>
      <c r="J410" s="44">
        <f t="shared" si="113"/>
        <v>14</v>
      </c>
      <c r="K410" s="44">
        <f t="shared" si="114"/>
        <v>14</v>
      </c>
      <c r="L410" s="68">
        <v>290.0</v>
      </c>
      <c r="M410" s="69">
        <v>406.0</v>
      </c>
      <c r="N410" s="44">
        <f t="shared" si="111"/>
        <v>59</v>
      </c>
      <c r="O410" s="44">
        <f t="shared" si="112"/>
        <v>59</v>
      </c>
      <c r="P410" s="70">
        <v>259.0</v>
      </c>
      <c r="Q410" s="71"/>
      <c r="R410" s="71"/>
      <c r="S410" s="31"/>
    </row>
    <row r="411">
      <c r="A411" s="37" t="s">
        <v>48</v>
      </c>
      <c r="B411" s="77" t="s">
        <v>133</v>
      </c>
      <c r="C411" s="82" t="s">
        <v>162</v>
      </c>
      <c r="D411" s="64">
        <v>45741.0</v>
      </c>
      <c r="E411" s="64">
        <f t="shared" si="123"/>
        <v>45748</v>
      </c>
      <c r="F411" s="64">
        <f t="shared" si="124"/>
        <v>45769</v>
      </c>
      <c r="G411" s="67" t="s">
        <v>154</v>
      </c>
      <c r="H411" s="68">
        <v>3.0</v>
      </c>
      <c r="I411" s="69">
        <v>155.0</v>
      </c>
      <c r="J411" s="44">
        <f t="shared" si="113"/>
        <v>77</v>
      </c>
      <c r="K411" s="44">
        <f t="shared" si="114"/>
        <v>77</v>
      </c>
      <c r="L411" s="68"/>
      <c r="M411" s="69"/>
      <c r="N411" s="44" t="str">
        <f t="shared" si="111"/>
        <v/>
      </c>
      <c r="O411" s="44" t="str">
        <f t="shared" si="112"/>
        <v/>
      </c>
      <c r="P411" s="70">
        <v>263.0</v>
      </c>
      <c r="Q411" s="71"/>
      <c r="R411" s="71"/>
      <c r="S411" s="31"/>
    </row>
    <row r="412">
      <c r="A412" s="37" t="s">
        <v>48</v>
      </c>
      <c r="B412" s="77" t="s">
        <v>133</v>
      </c>
      <c r="C412" s="82" t="s">
        <v>162</v>
      </c>
      <c r="D412" s="64">
        <v>45741.0</v>
      </c>
      <c r="E412" s="64">
        <f t="shared" si="123"/>
        <v>45748</v>
      </c>
      <c r="F412" s="64">
        <f t="shared" si="124"/>
        <v>45769</v>
      </c>
      <c r="G412" s="67" t="s">
        <v>154</v>
      </c>
      <c r="H412" s="68">
        <v>159.0</v>
      </c>
      <c r="I412" s="69">
        <v>205.0</v>
      </c>
      <c r="J412" s="44">
        <f t="shared" si="113"/>
        <v>24</v>
      </c>
      <c r="K412" s="44">
        <f t="shared" si="114"/>
        <v>24</v>
      </c>
      <c r="L412" s="68"/>
      <c r="M412" s="69"/>
      <c r="N412" s="44" t="str">
        <f t="shared" si="111"/>
        <v/>
      </c>
      <c r="O412" s="44" t="str">
        <f t="shared" si="112"/>
        <v/>
      </c>
      <c r="P412" s="70">
        <v>263.0</v>
      </c>
      <c r="Q412" s="71"/>
      <c r="R412" s="71"/>
      <c r="S412" s="31"/>
    </row>
    <row r="413">
      <c r="A413" s="37" t="s">
        <v>48</v>
      </c>
      <c r="B413" s="77" t="s">
        <v>133</v>
      </c>
      <c r="C413" s="82" t="s">
        <v>162</v>
      </c>
      <c r="D413" s="64">
        <v>45741.0</v>
      </c>
      <c r="E413" s="64">
        <f t="shared" si="123"/>
        <v>45748</v>
      </c>
      <c r="F413" s="64">
        <f t="shared" si="124"/>
        <v>45769</v>
      </c>
      <c r="G413" s="67" t="s">
        <v>154</v>
      </c>
      <c r="H413" s="68">
        <v>209.0</v>
      </c>
      <c r="I413" s="69">
        <v>237.0</v>
      </c>
      <c r="J413" s="44">
        <f t="shared" si="113"/>
        <v>15</v>
      </c>
      <c r="K413" s="44">
        <f t="shared" si="114"/>
        <v>15</v>
      </c>
      <c r="L413" s="68"/>
      <c r="M413" s="69"/>
      <c r="N413" s="44" t="str">
        <f t="shared" si="111"/>
        <v/>
      </c>
      <c r="O413" s="44" t="str">
        <f t="shared" si="112"/>
        <v/>
      </c>
      <c r="P413" s="70">
        <v>263.0</v>
      </c>
      <c r="Q413" s="71"/>
      <c r="R413" s="71"/>
      <c r="S413" s="31"/>
    </row>
    <row r="414">
      <c r="A414" s="37" t="s">
        <v>48</v>
      </c>
      <c r="B414" s="77" t="s">
        <v>133</v>
      </c>
      <c r="C414" s="82" t="s">
        <v>163</v>
      </c>
      <c r="D414" s="64">
        <v>45741.0</v>
      </c>
      <c r="E414" s="64">
        <f t="shared" si="123"/>
        <v>45748</v>
      </c>
      <c r="F414" s="64">
        <f t="shared" si="124"/>
        <v>45769</v>
      </c>
      <c r="G414" s="67" t="s">
        <v>157</v>
      </c>
      <c r="H414" s="68">
        <v>125.0</v>
      </c>
      <c r="I414" s="69">
        <v>151.0</v>
      </c>
      <c r="J414" s="44">
        <f t="shared" si="113"/>
        <v>14</v>
      </c>
      <c r="K414" s="44">
        <f t="shared" si="114"/>
        <v>14</v>
      </c>
      <c r="L414" s="68">
        <v>80.0</v>
      </c>
      <c r="M414" s="69">
        <v>102.0</v>
      </c>
      <c r="N414" s="44">
        <f t="shared" si="111"/>
        <v>12</v>
      </c>
      <c r="O414" s="44">
        <f t="shared" si="112"/>
        <v>12</v>
      </c>
      <c r="P414" s="70">
        <v>264.0</v>
      </c>
      <c r="Q414" s="71"/>
      <c r="R414" s="71"/>
      <c r="S414" s="31"/>
    </row>
    <row r="415">
      <c r="A415" s="37" t="s">
        <v>48</v>
      </c>
      <c r="B415" s="77" t="s">
        <v>133</v>
      </c>
      <c r="C415" s="82" t="s">
        <v>163</v>
      </c>
      <c r="D415" s="64">
        <v>45741.0</v>
      </c>
      <c r="E415" s="64">
        <f>D415+7</f>
        <v>45748</v>
      </c>
      <c r="F415" s="64">
        <f>D415+28</f>
        <v>45769</v>
      </c>
      <c r="G415" s="67" t="s">
        <v>157</v>
      </c>
      <c r="H415" s="68">
        <v>153.0</v>
      </c>
      <c r="I415" s="69">
        <v>173.0</v>
      </c>
      <c r="J415" s="44">
        <f t="shared" si="113"/>
        <v>11</v>
      </c>
      <c r="K415" s="44">
        <f t="shared" si="114"/>
        <v>11</v>
      </c>
      <c r="L415" s="68">
        <v>106.0</v>
      </c>
      <c r="M415" s="69">
        <v>120.0</v>
      </c>
      <c r="N415" s="44">
        <f t="shared" si="111"/>
        <v>8</v>
      </c>
      <c r="O415" s="44">
        <f t="shared" si="112"/>
        <v>8</v>
      </c>
      <c r="P415" s="70">
        <v>264.0</v>
      </c>
      <c r="Q415" s="71"/>
      <c r="R415" s="71"/>
      <c r="S415" s="31"/>
    </row>
    <row r="416">
      <c r="A416" s="37" t="s">
        <v>48</v>
      </c>
      <c r="B416" s="77" t="s">
        <v>133</v>
      </c>
      <c r="C416" s="82" t="s">
        <v>163</v>
      </c>
      <c r="D416" s="64">
        <v>45741.0</v>
      </c>
      <c r="E416" s="64">
        <f>D416+7</f>
        <v>45748</v>
      </c>
      <c r="F416" s="64">
        <f>D416+28</f>
        <v>45769</v>
      </c>
      <c r="G416" s="67" t="s">
        <v>156</v>
      </c>
      <c r="H416" s="68">
        <v>37.0</v>
      </c>
      <c r="I416" s="69">
        <v>53.0</v>
      </c>
      <c r="J416" s="44">
        <f t="shared" si="113"/>
        <v>9</v>
      </c>
      <c r="K416" s="44">
        <f t="shared" si="114"/>
        <v>9</v>
      </c>
      <c r="L416" s="68"/>
      <c r="M416" s="69"/>
      <c r="N416" s="44" t="str">
        <f t="shared" si="111"/>
        <v/>
      </c>
      <c r="O416" s="44" t="str">
        <f t="shared" si="112"/>
        <v/>
      </c>
      <c r="P416" s="70">
        <v>264.0</v>
      </c>
      <c r="Q416" s="71"/>
      <c r="R416" s="71"/>
      <c r="S416" s="31"/>
    </row>
    <row r="417">
      <c r="A417" s="37" t="s">
        <v>48</v>
      </c>
      <c r="B417" s="77" t="s">
        <v>133</v>
      </c>
      <c r="C417" s="82" t="s">
        <v>163</v>
      </c>
      <c r="D417" s="64">
        <v>45741.0</v>
      </c>
      <c r="E417" s="64">
        <f t="shared" ref="E417:E418" si="125">D417+7</f>
        <v>45748</v>
      </c>
      <c r="F417" s="64">
        <f t="shared" ref="F417:F418" si="126">D417+28</f>
        <v>45769</v>
      </c>
      <c r="G417" s="67" t="s">
        <v>156</v>
      </c>
      <c r="H417" s="68">
        <v>57.0</v>
      </c>
      <c r="I417" s="69">
        <v>105.0</v>
      </c>
      <c r="J417" s="44">
        <f t="shared" si="113"/>
        <v>25</v>
      </c>
      <c r="K417" s="44">
        <f t="shared" si="114"/>
        <v>25</v>
      </c>
      <c r="L417" s="68">
        <v>107.0</v>
      </c>
      <c r="M417" s="69">
        <v>107.0</v>
      </c>
      <c r="N417" s="44">
        <f t="shared" si="111"/>
        <v>1</v>
      </c>
      <c r="O417" s="44">
        <f t="shared" si="112"/>
        <v>1</v>
      </c>
      <c r="P417" s="70">
        <v>264.0</v>
      </c>
      <c r="Q417" s="71"/>
      <c r="R417" s="71"/>
      <c r="S417" s="31"/>
    </row>
    <row r="418">
      <c r="A418" s="37" t="s">
        <v>48</v>
      </c>
      <c r="B418" s="77" t="s">
        <v>133</v>
      </c>
      <c r="C418" s="82" t="s">
        <v>164</v>
      </c>
      <c r="D418" s="64">
        <v>45741.0</v>
      </c>
      <c r="E418" s="64">
        <f t="shared" si="125"/>
        <v>45748</v>
      </c>
      <c r="F418" s="64">
        <f t="shared" si="126"/>
        <v>45769</v>
      </c>
      <c r="G418" s="78" t="s">
        <v>165</v>
      </c>
      <c r="H418" s="68">
        <v>1.0</v>
      </c>
      <c r="I418" s="69">
        <v>205.0</v>
      </c>
      <c r="J418" s="44">
        <f t="shared" si="113"/>
        <v>103</v>
      </c>
      <c r="K418" s="44">
        <f t="shared" si="114"/>
        <v>103</v>
      </c>
      <c r="L418" s="68"/>
      <c r="M418" s="69"/>
      <c r="N418" s="44" t="str">
        <f t="shared" si="111"/>
        <v/>
      </c>
      <c r="O418" s="44" t="str">
        <f t="shared" si="112"/>
        <v/>
      </c>
      <c r="P418" s="70">
        <v>265.0</v>
      </c>
      <c r="Q418" s="71"/>
      <c r="R418" s="71"/>
      <c r="S418" s="31"/>
    </row>
    <row r="419">
      <c r="A419" s="37" t="s">
        <v>48</v>
      </c>
      <c r="B419" s="105" t="s">
        <v>133</v>
      </c>
      <c r="C419" s="67" t="s">
        <v>166</v>
      </c>
      <c r="D419" s="64">
        <v>45741.0</v>
      </c>
      <c r="E419" s="64">
        <f t="shared" ref="E419:E420" si="127">D419+7</f>
        <v>45748</v>
      </c>
      <c r="F419" s="64">
        <f t="shared" ref="F419:F420" si="128">D419+28</f>
        <v>45769</v>
      </c>
      <c r="G419" s="80" t="s">
        <v>15</v>
      </c>
      <c r="H419" s="68">
        <v>437.0</v>
      </c>
      <c r="I419" s="69">
        <v>523.0</v>
      </c>
      <c r="J419" s="44">
        <f t="shared" si="113"/>
        <v>44</v>
      </c>
      <c r="K419" s="44">
        <f t="shared" si="114"/>
        <v>44</v>
      </c>
      <c r="L419" s="68">
        <v>408.0</v>
      </c>
      <c r="M419" s="69">
        <v>462.0</v>
      </c>
      <c r="N419" s="44">
        <f t="shared" si="111"/>
        <v>28</v>
      </c>
      <c r="O419" s="44">
        <f t="shared" si="112"/>
        <v>28</v>
      </c>
      <c r="P419" s="70">
        <v>262.0</v>
      </c>
      <c r="Q419" s="71"/>
      <c r="R419" s="71"/>
      <c r="S419" s="31"/>
    </row>
    <row r="420">
      <c r="A420" s="37" t="s">
        <v>48</v>
      </c>
      <c r="B420" s="77" t="s">
        <v>133</v>
      </c>
      <c r="C420" s="82" t="s">
        <v>167</v>
      </c>
      <c r="D420" s="64">
        <v>45742.0</v>
      </c>
      <c r="E420" s="64">
        <f t="shared" si="127"/>
        <v>45749</v>
      </c>
      <c r="F420" s="64">
        <f t="shared" si="128"/>
        <v>45770</v>
      </c>
      <c r="G420" s="67" t="s">
        <v>154</v>
      </c>
      <c r="H420" s="68">
        <v>239.0</v>
      </c>
      <c r="I420" s="69">
        <v>255.0</v>
      </c>
      <c r="J420" s="44">
        <f t="shared" si="113"/>
        <v>9</v>
      </c>
      <c r="K420" s="44">
        <f t="shared" si="114"/>
        <v>9</v>
      </c>
      <c r="L420" s="68"/>
      <c r="M420" s="69"/>
      <c r="N420" s="44" t="str">
        <f t="shared" si="111"/>
        <v/>
      </c>
      <c r="O420" s="44" t="str">
        <f t="shared" si="112"/>
        <v/>
      </c>
      <c r="P420" s="70">
        <v>266.0</v>
      </c>
      <c r="Q420" s="71"/>
      <c r="R420" s="71"/>
      <c r="S420" s="31"/>
    </row>
    <row r="421">
      <c r="A421" s="37" t="s">
        <v>48</v>
      </c>
      <c r="B421" s="77" t="s">
        <v>133</v>
      </c>
      <c r="C421" s="82" t="s">
        <v>167</v>
      </c>
      <c r="D421" s="64">
        <v>45742.0</v>
      </c>
      <c r="E421" s="64">
        <f t="shared" ref="E421:E434" si="129">D421+7</f>
        <v>45749</v>
      </c>
      <c r="F421" s="64">
        <f t="shared" ref="F421:F434" si="130">D421+28</f>
        <v>45770</v>
      </c>
      <c r="G421" s="67" t="s">
        <v>154</v>
      </c>
      <c r="H421" s="68">
        <v>259.0</v>
      </c>
      <c r="I421" s="69">
        <v>267.0</v>
      </c>
      <c r="J421" s="44">
        <f t="shared" si="113"/>
        <v>5</v>
      </c>
      <c r="K421" s="44">
        <f t="shared" si="114"/>
        <v>5</v>
      </c>
      <c r="L421" s="68">
        <v>270.0</v>
      </c>
      <c r="M421" s="69">
        <v>446.0</v>
      </c>
      <c r="N421" s="44">
        <f t="shared" si="111"/>
        <v>89</v>
      </c>
      <c r="O421" s="44">
        <f t="shared" si="112"/>
        <v>89</v>
      </c>
      <c r="P421" s="70">
        <v>266.0</v>
      </c>
      <c r="Q421" s="71"/>
      <c r="R421" s="71"/>
      <c r="S421" s="31"/>
    </row>
    <row r="422">
      <c r="A422" s="37" t="s">
        <v>48</v>
      </c>
      <c r="B422" s="77" t="s">
        <v>133</v>
      </c>
      <c r="C422" s="106" t="s">
        <v>168</v>
      </c>
      <c r="D422" s="64">
        <v>45742.0</v>
      </c>
      <c r="E422" s="64">
        <f t="shared" si="129"/>
        <v>45749</v>
      </c>
      <c r="F422" s="64">
        <f t="shared" si="130"/>
        <v>45770</v>
      </c>
      <c r="G422" s="96" t="s">
        <v>157</v>
      </c>
      <c r="H422" s="68"/>
      <c r="I422" s="69"/>
      <c r="J422" s="44" t="str">
        <f t="shared" si="113"/>
        <v/>
      </c>
      <c r="K422" s="44" t="str">
        <f t="shared" si="114"/>
        <v/>
      </c>
      <c r="L422" s="68">
        <v>56.0</v>
      </c>
      <c r="M422" s="69">
        <v>78.0</v>
      </c>
      <c r="N422" s="44">
        <f t="shared" si="111"/>
        <v>12</v>
      </c>
      <c r="O422" s="44">
        <f t="shared" si="112"/>
        <v>12</v>
      </c>
      <c r="P422" s="70">
        <v>267.0</v>
      </c>
      <c r="Q422" s="71"/>
      <c r="R422" s="71"/>
      <c r="S422" s="31"/>
    </row>
    <row r="423">
      <c r="A423" s="37" t="s">
        <v>48</v>
      </c>
      <c r="B423" s="77" t="s">
        <v>133</v>
      </c>
      <c r="C423" s="106" t="s">
        <v>168</v>
      </c>
      <c r="D423" s="64">
        <v>45742.0</v>
      </c>
      <c r="E423" s="64">
        <f t="shared" si="129"/>
        <v>45749</v>
      </c>
      <c r="F423" s="64">
        <f t="shared" si="130"/>
        <v>45770</v>
      </c>
      <c r="G423" s="96" t="s">
        <v>157</v>
      </c>
      <c r="H423" s="68"/>
      <c r="I423" s="69"/>
      <c r="J423" s="44" t="str">
        <f t="shared" si="113"/>
        <v/>
      </c>
      <c r="K423" s="44" t="str">
        <f t="shared" si="114"/>
        <v/>
      </c>
      <c r="L423" s="68">
        <v>122.0</v>
      </c>
      <c r="M423" s="69">
        <v>150.0</v>
      </c>
      <c r="N423" s="44">
        <f t="shared" si="111"/>
        <v>15</v>
      </c>
      <c r="O423" s="44">
        <f t="shared" si="112"/>
        <v>15</v>
      </c>
      <c r="P423" s="70">
        <v>267.0</v>
      </c>
      <c r="Q423" s="71"/>
      <c r="R423" s="71"/>
      <c r="S423" s="31"/>
    </row>
    <row r="424">
      <c r="A424" s="37" t="s">
        <v>48</v>
      </c>
      <c r="B424" s="77" t="s">
        <v>133</v>
      </c>
      <c r="C424" s="106" t="s">
        <v>168</v>
      </c>
      <c r="D424" s="64">
        <v>45742.0</v>
      </c>
      <c r="E424" s="64">
        <f t="shared" si="129"/>
        <v>45749</v>
      </c>
      <c r="F424" s="64">
        <f t="shared" si="130"/>
        <v>45770</v>
      </c>
      <c r="G424" s="96" t="s">
        <v>157</v>
      </c>
      <c r="H424" s="68"/>
      <c r="I424" s="69"/>
      <c r="J424" s="44" t="str">
        <f t="shared" si="113"/>
        <v/>
      </c>
      <c r="K424" s="44" t="str">
        <f t="shared" si="114"/>
        <v/>
      </c>
      <c r="L424" s="68">
        <v>154.0</v>
      </c>
      <c r="M424" s="69">
        <v>172.0</v>
      </c>
      <c r="N424" s="44">
        <f t="shared" si="111"/>
        <v>10</v>
      </c>
      <c r="O424" s="44">
        <f t="shared" si="112"/>
        <v>10</v>
      </c>
      <c r="P424" s="70">
        <v>267.0</v>
      </c>
      <c r="Q424" s="71"/>
      <c r="R424" s="71"/>
      <c r="S424" s="31"/>
    </row>
    <row r="425">
      <c r="A425" s="37" t="s">
        <v>48</v>
      </c>
      <c r="B425" s="77" t="s">
        <v>133</v>
      </c>
      <c r="C425" s="106" t="s">
        <v>168</v>
      </c>
      <c r="D425" s="64">
        <v>45742.0</v>
      </c>
      <c r="E425" s="64">
        <f t="shared" si="129"/>
        <v>45749</v>
      </c>
      <c r="F425" s="64">
        <f t="shared" si="130"/>
        <v>45770</v>
      </c>
      <c r="G425" s="96" t="s">
        <v>157</v>
      </c>
      <c r="H425" s="68"/>
      <c r="I425" s="69"/>
      <c r="J425" s="44" t="str">
        <f t="shared" si="113"/>
        <v/>
      </c>
      <c r="K425" s="44" t="str">
        <f t="shared" si="114"/>
        <v/>
      </c>
      <c r="L425" s="68">
        <v>52.0</v>
      </c>
      <c r="M425" s="69">
        <v>52.0</v>
      </c>
      <c r="N425" s="44">
        <f t="shared" si="111"/>
        <v>1</v>
      </c>
      <c r="O425" s="44">
        <f t="shared" si="112"/>
        <v>1</v>
      </c>
      <c r="P425" s="70">
        <v>267.0</v>
      </c>
      <c r="Q425" s="71"/>
      <c r="R425" s="71"/>
      <c r="S425" s="31"/>
    </row>
    <row r="426">
      <c r="A426" s="37" t="s">
        <v>48</v>
      </c>
      <c r="B426" s="77" t="s">
        <v>133</v>
      </c>
      <c r="C426" s="82" t="s">
        <v>169</v>
      </c>
      <c r="D426" s="64">
        <v>45742.0</v>
      </c>
      <c r="E426" s="64">
        <f t="shared" si="129"/>
        <v>45749</v>
      </c>
      <c r="F426" s="64">
        <f t="shared" si="130"/>
        <v>45770</v>
      </c>
      <c r="G426" s="96" t="s">
        <v>165</v>
      </c>
      <c r="H426" s="68"/>
      <c r="I426" s="69"/>
      <c r="J426" s="44" t="str">
        <f t="shared" si="113"/>
        <v/>
      </c>
      <c r="K426" s="44" t="str">
        <f t="shared" si="114"/>
        <v/>
      </c>
      <c r="L426" s="68">
        <v>2.0</v>
      </c>
      <c r="M426" s="69">
        <v>204.0</v>
      </c>
      <c r="N426" s="44">
        <f t="shared" si="111"/>
        <v>102</v>
      </c>
      <c r="O426" s="44">
        <f t="shared" si="112"/>
        <v>102</v>
      </c>
      <c r="P426" s="70">
        <v>268.0</v>
      </c>
      <c r="Q426" s="71"/>
      <c r="R426" s="71"/>
      <c r="S426" s="31"/>
    </row>
    <row r="427">
      <c r="A427" s="37" t="s">
        <v>48</v>
      </c>
      <c r="B427" s="77" t="s">
        <v>133</v>
      </c>
      <c r="C427" s="82" t="s">
        <v>169</v>
      </c>
      <c r="D427" s="64">
        <v>45742.0</v>
      </c>
      <c r="E427" s="64">
        <f t="shared" si="129"/>
        <v>45749</v>
      </c>
      <c r="F427" s="64">
        <f t="shared" si="130"/>
        <v>45770</v>
      </c>
      <c r="G427" s="96" t="s">
        <v>142</v>
      </c>
      <c r="H427" s="68"/>
      <c r="I427" s="69"/>
      <c r="J427" s="44" t="str">
        <f t="shared" si="113"/>
        <v/>
      </c>
      <c r="K427" s="44" t="str">
        <f t="shared" si="114"/>
        <v/>
      </c>
      <c r="L427" s="68">
        <v>2.0</v>
      </c>
      <c r="M427" s="69">
        <v>38.0</v>
      </c>
      <c r="N427" s="44">
        <f t="shared" si="111"/>
        <v>19</v>
      </c>
      <c r="O427" s="44">
        <f t="shared" si="112"/>
        <v>19</v>
      </c>
      <c r="P427" s="70">
        <v>268.0</v>
      </c>
      <c r="Q427" s="71"/>
      <c r="R427" s="71"/>
      <c r="S427" s="31"/>
    </row>
    <row r="428">
      <c r="A428" s="37" t="s">
        <v>48</v>
      </c>
      <c r="B428" s="77" t="s">
        <v>133</v>
      </c>
      <c r="C428" s="106" t="s">
        <v>170</v>
      </c>
      <c r="D428" s="64">
        <v>45743.0</v>
      </c>
      <c r="E428" s="64">
        <f t="shared" si="129"/>
        <v>45750</v>
      </c>
      <c r="F428" s="64">
        <f t="shared" si="130"/>
        <v>45771</v>
      </c>
      <c r="G428" s="96" t="s">
        <v>154</v>
      </c>
      <c r="H428" s="68">
        <v>271.0</v>
      </c>
      <c r="I428" s="69">
        <v>305.0</v>
      </c>
      <c r="J428" s="44">
        <f t="shared" si="113"/>
        <v>18</v>
      </c>
      <c r="K428" s="44">
        <f t="shared" si="114"/>
        <v>18</v>
      </c>
      <c r="L428" s="68">
        <v>448.0</v>
      </c>
      <c r="M428" s="69">
        <v>452.0</v>
      </c>
      <c r="N428" s="44">
        <f t="shared" si="111"/>
        <v>3</v>
      </c>
      <c r="O428" s="44">
        <f t="shared" si="112"/>
        <v>3</v>
      </c>
      <c r="P428" s="70">
        <v>269.0</v>
      </c>
      <c r="Q428" s="71"/>
      <c r="R428" s="71"/>
      <c r="S428" s="31"/>
    </row>
    <row r="429">
      <c r="A429" s="37" t="s">
        <v>48</v>
      </c>
      <c r="B429" s="77" t="s">
        <v>133</v>
      </c>
      <c r="C429" s="106" t="s">
        <v>170</v>
      </c>
      <c r="D429" s="64">
        <v>45743.0</v>
      </c>
      <c r="E429" s="64">
        <f t="shared" si="129"/>
        <v>45750</v>
      </c>
      <c r="F429" s="64">
        <f t="shared" si="130"/>
        <v>45771</v>
      </c>
      <c r="G429" s="96" t="s">
        <v>154</v>
      </c>
      <c r="H429" s="68">
        <v>309.0</v>
      </c>
      <c r="I429" s="69">
        <v>355.0</v>
      </c>
      <c r="J429" s="44">
        <f t="shared" si="113"/>
        <v>24</v>
      </c>
      <c r="K429" s="44">
        <f t="shared" si="114"/>
        <v>24</v>
      </c>
      <c r="L429" s="68"/>
      <c r="M429" s="69"/>
      <c r="N429" s="44" t="str">
        <f t="shared" si="111"/>
        <v/>
      </c>
      <c r="O429" s="44" t="str">
        <f t="shared" si="112"/>
        <v/>
      </c>
      <c r="P429" s="70">
        <v>269.0</v>
      </c>
      <c r="Q429" s="71"/>
      <c r="R429" s="71"/>
      <c r="S429" s="31"/>
    </row>
    <row r="430">
      <c r="A430" s="37" t="s">
        <v>48</v>
      </c>
      <c r="B430" s="77" t="s">
        <v>133</v>
      </c>
      <c r="C430" s="106" t="s">
        <v>170</v>
      </c>
      <c r="D430" s="64">
        <v>45743.0</v>
      </c>
      <c r="E430" s="64">
        <f t="shared" si="129"/>
        <v>45750</v>
      </c>
      <c r="F430" s="64">
        <f t="shared" si="130"/>
        <v>45771</v>
      </c>
      <c r="G430" s="96" t="s">
        <v>154</v>
      </c>
      <c r="H430" s="68">
        <v>359.0</v>
      </c>
      <c r="I430" s="69">
        <v>405.0</v>
      </c>
      <c r="J430" s="44">
        <f t="shared" si="113"/>
        <v>24</v>
      </c>
      <c r="K430" s="44">
        <f t="shared" si="114"/>
        <v>24</v>
      </c>
      <c r="L430" s="68"/>
      <c r="M430" s="69"/>
      <c r="N430" s="44" t="str">
        <f t="shared" si="111"/>
        <v/>
      </c>
      <c r="O430" s="44" t="str">
        <f t="shared" si="112"/>
        <v/>
      </c>
      <c r="P430" s="70">
        <v>269.0</v>
      </c>
      <c r="Q430" s="71"/>
      <c r="R430" s="71"/>
      <c r="S430" s="31"/>
    </row>
    <row r="431">
      <c r="A431" s="37" t="s">
        <v>48</v>
      </c>
      <c r="B431" s="77" t="s">
        <v>133</v>
      </c>
      <c r="C431" s="106" t="s">
        <v>170</v>
      </c>
      <c r="D431" s="64">
        <v>45743.0</v>
      </c>
      <c r="E431" s="64">
        <f t="shared" si="129"/>
        <v>45750</v>
      </c>
      <c r="F431" s="64">
        <f t="shared" si="130"/>
        <v>45771</v>
      </c>
      <c r="G431" s="96" t="s">
        <v>154</v>
      </c>
      <c r="H431" s="68">
        <v>409.0</v>
      </c>
      <c r="I431" s="69">
        <v>451.0</v>
      </c>
      <c r="J431" s="44">
        <f t="shared" si="113"/>
        <v>22</v>
      </c>
      <c r="K431" s="44">
        <f t="shared" si="114"/>
        <v>22</v>
      </c>
      <c r="L431" s="68"/>
      <c r="M431" s="69"/>
      <c r="N431" s="44" t="str">
        <f t="shared" si="111"/>
        <v/>
      </c>
      <c r="O431" s="44" t="str">
        <f t="shared" si="112"/>
        <v/>
      </c>
      <c r="P431" s="70">
        <v>269.0</v>
      </c>
      <c r="Q431" s="71"/>
      <c r="R431" s="71"/>
      <c r="S431" s="31"/>
    </row>
    <row r="432">
      <c r="A432" s="37" t="s">
        <v>48</v>
      </c>
      <c r="B432" s="77" t="s">
        <v>133</v>
      </c>
      <c r="C432" s="82" t="s">
        <v>171</v>
      </c>
      <c r="D432" s="64">
        <v>45743.0</v>
      </c>
      <c r="E432" s="64">
        <f t="shared" si="129"/>
        <v>45750</v>
      </c>
      <c r="F432" s="64">
        <f t="shared" si="130"/>
        <v>45771</v>
      </c>
      <c r="G432" s="96" t="s">
        <v>165</v>
      </c>
      <c r="H432" s="68">
        <v>207.0</v>
      </c>
      <c r="I432" s="69">
        <v>307.0</v>
      </c>
      <c r="J432" s="44">
        <f t="shared" si="113"/>
        <v>51</v>
      </c>
      <c r="K432" s="44">
        <f t="shared" si="114"/>
        <v>51</v>
      </c>
      <c r="L432" s="68"/>
      <c r="M432" s="69"/>
      <c r="N432" s="44" t="str">
        <f t="shared" si="111"/>
        <v/>
      </c>
      <c r="O432" s="44" t="str">
        <f t="shared" si="112"/>
        <v/>
      </c>
      <c r="P432" s="70">
        <v>270.0</v>
      </c>
      <c r="Q432" s="71"/>
      <c r="R432" s="71"/>
      <c r="S432" s="31"/>
    </row>
    <row r="433">
      <c r="A433" s="37" t="s">
        <v>48</v>
      </c>
      <c r="B433" s="77" t="s">
        <v>133</v>
      </c>
      <c r="C433" s="82" t="s">
        <v>171</v>
      </c>
      <c r="D433" s="64">
        <v>45743.0</v>
      </c>
      <c r="E433" s="64">
        <f t="shared" si="129"/>
        <v>45750</v>
      </c>
      <c r="F433" s="64">
        <f t="shared" si="130"/>
        <v>45771</v>
      </c>
      <c r="G433" s="96" t="s">
        <v>142</v>
      </c>
      <c r="H433" s="68">
        <v>41.0</v>
      </c>
      <c r="I433" s="69">
        <v>69.0</v>
      </c>
      <c r="J433" s="44">
        <f t="shared" si="113"/>
        <v>15</v>
      </c>
      <c r="K433" s="44">
        <f t="shared" si="114"/>
        <v>15</v>
      </c>
      <c r="L433" s="68"/>
      <c r="M433" s="69"/>
      <c r="N433" s="44" t="str">
        <f t="shared" si="111"/>
        <v/>
      </c>
      <c r="O433" s="44" t="str">
        <f t="shared" si="112"/>
        <v/>
      </c>
      <c r="P433" s="70">
        <v>270.0</v>
      </c>
      <c r="Q433" s="71"/>
      <c r="R433" s="71"/>
      <c r="S433" s="31"/>
    </row>
    <row r="434">
      <c r="A434" s="37" t="s">
        <v>48</v>
      </c>
      <c r="B434" s="77" t="s">
        <v>133</v>
      </c>
      <c r="C434" s="82" t="s">
        <v>171</v>
      </c>
      <c r="D434" s="64">
        <v>45743.0</v>
      </c>
      <c r="E434" s="64">
        <f t="shared" si="129"/>
        <v>45750</v>
      </c>
      <c r="F434" s="64">
        <f t="shared" si="130"/>
        <v>45771</v>
      </c>
      <c r="G434" s="96" t="s">
        <v>141</v>
      </c>
      <c r="H434" s="68"/>
      <c r="I434" s="69"/>
      <c r="J434" s="44" t="str">
        <f t="shared" si="113"/>
        <v/>
      </c>
      <c r="K434" s="44" t="str">
        <f t="shared" si="114"/>
        <v/>
      </c>
      <c r="L434" s="68">
        <v>250.0</v>
      </c>
      <c r="M434" s="69">
        <v>308.0</v>
      </c>
      <c r="N434" s="44">
        <f t="shared" si="111"/>
        <v>30</v>
      </c>
      <c r="O434" s="44">
        <f t="shared" si="112"/>
        <v>30</v>
      </c>
      <c r="P434" s="70">
        <v>270.0</v>
      </c>
      <c r="Q434" s="71"/>
      <c r="R434" s="71"/>
      <c r="S434" s="31"/>
    </row>
    <row r="435">
      <c r="A435" s="37" t="s">
        <v>48</v>
      </c>
      <c r="B435" s="77" t="s">
        <v>133</v>
      </c>
      <c r="C435" s="44"/>
      <c r="D435" s="64">
        <v>45754.0</v>
      </c>
      <c r="E435" s="64">
        <f t="shared" ref="E435:E436" si="131">D435+7</f>
        <v>45761</v>
      </c>
      <c r="F435" s="64">
        <f t="shared" ref="F435:F436" si="132">D435+28</f>
        <v>45782</v>
      </c>
      <c r="G435" s="107" t="s">
        <v>99</v>
      </c>
      <c r="H435" s="68">
        <v>955.0</v>
      </c>
      <c r="I435" s="69">
        <v>1015.0</v>
      </c>
      <c r="J435" s="44">
        <f t="shared" si="113"/>
        <v>31</v>
      </c>
      <c r="K435" s="44">
        <f t="shared" si="114"/>
        <v>31</v>
      </c>
      <c r="L435" s="68"/>
      <c r="M435" s="69"/>
      <c r="N435" s="44" t="str">
        <f t="shared" si="111"/>
        <v/>
      </c>
      <c r="O435" s="44" t="str">
        <f t="shared" si="112"/>
        <v/>
      </c>
      <c r="P435" s="108">
        <v>272.0</v>
      </c>
      <c r="Q435" s="88"/>
      <c r="R435" s="88"/>
      <c r="S435" s="31"/>
    </row>
    <row r="436">
      <c r="A436" s="37" t="s">
        <v>48</v>
      </c>
      <c r="B436" s="77" t="s">
        <v>133</v>
      </c>
      <c r="C436" s="67" t="s">
        <v>172</v>
      </c>
      <c r="D436" s="64">
        <v>45754.0</v>
      </c>
      <c r="E436" s="64">
        <f t="shared" si="131"/>
        <v>45761</v>
      </c>
      <c r="F436" s="64">
        <f t="shared" si="132"/>
        <v>45782</v>
      </c>
      <c r="G436" s="80" t="s">
        <v>15</v>
      </c>
      <c r="H436" s="68">
        <v>525.0</v>
      </c>
      <c r="I436" s="69">
        <v>581.0</v>
      </c>
      <c r="J436" s="44">
        <f t="shared" si="113"/>
        <v>29</v>
      </c>
      <c r="K436" s="44">
        <f t="shared" si="114"/>
        <v>29</v>
      </c>
      <c r="L436" s="68">
        <v>464.0</v>
      </c>
      <c r="M436" s="69">
        <v>518.0</v>
      </c>
      <c r="N436" s="44">
        <f t="shared" si="111"/>
        <v>28</v>
      </c>
      <c r="O436" s="44">
        <f t="shared" si="112"/>
        <v>28</v>
      </c>
      <c r="P436" s="70">
        <v>271.0</v>
      </c>
      <c r="Q436" s="71"/>
      <c r="R436" s="71"/>
      <c r="S436" s="31"/>
    </row>
    <row r="437">
      <c r="A437" s="37" t="s">
        <v>48</v>
      </c>
      <c r="B437" s="77" t="s">
        <v>133</v>
      </c>
      <c r="C437" s="82" t="s">
        <v>173</v>
      </c>
      <c r="D437" s="64">
        <v>45755.0</v>
      </c>
      <c r="E437" s="64">
        <f>D437+7</f>
        <v>45762</v>
      </c>
      <c r="F437" s="64">
        <f>D437+28</f>
        <v>45783</v>
      </c>
      <c r="G437" s="96" t="s">
        <v>174</v>
      </c>
      <c r="H437" s="68"/>
      <c r="I437" s="69"/>
      <c r="J437" s="44" t="str">
        <f t="shared" si="113"/>
        <v/>
      </c>
      <c r="K437" s="44" t="str">
        <f t="shared" si="114"/>
        <v/>
      </c>
      <c r="L437" s="68">
        <v>2.0</v>
      </c>
      <c r="M437" s="69">
        <v>104.0</v>
      </c>
      <c r="N437" s="44">
        <f t="shared" si="111"/>
        <v>52</v>
      </c>
      <c r="O437" s="44">
        <f t="shared" si="112"/>
        <v>52</v>
      </c>
      <c r="P437" s="70">
        <v>273.0</v>
      </c>
      <c r="Q437" s="71"/>
      <c r="R437" s="71"/>
      <c r="S437" s="31"/>
    </row>
    <row r="438">
      <c r="A438" s="37" t="s">
        <v>48</v>
      </c>
      <c r="B438" s="87" t="s">
        <v>133</v>
      </c>
      <c r="C438" s="109" t="s">
        <v>175</v>
      </c>
      <c r="D438" s="64">
        <v>45755.0</v>
      </c>
      <c r="E438" s="64">
        <f>D438+7</f>
        <v>45762</v>
      </c>
      <c r="F438" s="64">
        <f>D438+28</f>
        <v>45783</v>
      </c>
      <c r="G438" s="80" t="s">
        <v>15</v>
      </c>
      <c r="H438" s="68"/>
      <c r="I438" s="69"/>
      <c r="J438" s="44" t="str">
        <f t="shared" si="113"/>
        <v/>
      </c>
      <c r="K438" s="44" t="str">
        <f t="shared" si="114"/>
        <v/>
      </c>
      <c r="L438" s="68">
        <v>520.0</v>
      </c>
      <c r="M438" s="69">
        <v>580.0</v>
      </c>
      <c r="N438" s="44">
        <f t="shared" si="111"/>
        <v>31</v>
      </c>
      <c r="O438" s="44">
        <f t="shared" si="112"/>
        <v>31</v>
      </c>
      <c r="P438" s="70">
        <v>274.0</v>
      </c>
      <c r="Q438" s="71"/>
      <c r="R438" s="71"/>
      <c r="S438" s="31"/>
    </row>
    <row r="439">
      <c r="A439" s="37" t="s">
        <v>48</v>
      </c>
      <c r="B439" s="77" t="s">
        <v>133</v>
      </c>
      <c r="C439" s="82" t="s">
        <v>176</v>
      </c>
      <c r="D439" s="64">
        <v>45757.0</v>
      </c>
      <c r="E439" s="64">
        <f t="shared" ref="E439:E440" si="133">D439+7</f>
        <v>45764</v>
      </c>
      <c r="F439" s="64">
        <f t="shared" ref="F439:F440" si="134">D439+28</f>
        <v>45785</v>
      </c>
      <c r="G439" s="96" t="s">
        <v>177</v>
      </c>
      <c r="H439" s="68"/>
      <c r="I439" s="69"/>
      <c r="J439" s="44" t="str">
        <f t="shared" si="113"/>
        <v/>
      </c>
      <c r="K439" s="44" t="str">
        <f t="shared" si="114"/>
        <v/>
      </c>
      <c r="L439" s="68">
        <v>2.0</v>
      </c>
      <c r="M439" s="69">
        <v>164.0</v>
      </c>
      <c r="N439" s="44">
        <f t="shared" si="111"/>
        <v>82</v>
      </c>
      <c r="O439" s="44">
        <f t="shared" si="112"/>
        <v>82</v>
      </c>
      <c r="P439" s="70">
        <v>275.0</v>
      </c>
      <c r="Q439" s="71"/>
      <c r="R439" s="71"/>
      <c r="S439" s="31"/>
    </row>
    <row r="440">
      <c r="A440" s="37" t="s">
        <v>48</v>
      </c>
      <c r="B440" s="77" t="s">
        <v>133</v>
      </c>
      <c r="C440" s="82" t="s">
        <v>176</v>
      </c>
      <c r="D440" s="64">
        <v>45757.0</v>
      </c>
      <c r="E440" s="64">
        <f t="shared" si="133"/>
        <v>45764</v>
      </c>
      <c r="F440" s="64">
        <f t="shared" si="134"/>
        <v>45785</v>
      </c>
      <c r="G440" s="96" t="s">
        <v>174</v>
      </c>
      <c r="H440" s="68">
        <v>3.0</v>
      </c>
      <c r="I440" s="69">
        <v>87.0</v>
      </c>
      <c r="J440" s="44">
        <f t="shared" si="113"/>
        <v>43</v>
      </c>
      <c r="K440" s="44">
        <f t="shared" si="114"/>
        <v>43</v>
      </c>
      <c r="L440" s="68"/>
      <c r="M440" s="69"/>
      <c r="N440" s="44" t="str">
        <f t="shared" si="111"/>
        <v/>
      </c>
      <c r="O440" s="44" t="str">
        <f t="shared" si="112"/>
        <v/>
      </c>
      <c r="P440" s="70">
        <v>275.0</v>
      </c>
      <c r="Q440" s="71"/>
      <c r="R440" s="71"/>
      <c r="S440" s="31"/>
    </row>
    <row r="441">
      <c r="A441" s="37" t="s">
        <v>48</v>
      </c>
      <c r="B441" s="87" t="s">
        <v>133</v>
      </c>
      <c r="C441" s="109" t="s">
        <v>178</v>
      </c>
      <c r="D441" s="64">
        <v>45757.0</v>
      </c>
      <c r="E441" s="64">
        <f>D441+7</f>
        <v>45764</v>
      </c>
      <c r="F441" s="64">
        <f>D441+28</f>
        <v>45785</v>
      </c>
      <c r="G441" s="80" t="s">
        <v>15</v>
      </c>
      <c r="H441" s="68">
        <v>591.0</v>
      </c>
      <c r="I441" s="69">
        <v>697.0</v>
      </c>
      <c r="J441" s="44">
        <f t="shared" si="113"/>
        <v>54</v>
      </c>
      <c r="K441" s="44">
        <f t="shared" si="114"/>
        <v>54</v>
      </c>
      <c r="L441" s="68"/>
      <c r="M441" s="69"/>
      <c r="N441" s="44" t="str">
        <f t="shared" si="111"/>
        <v/>
      </c>
      <c r="O441" s="44" t="str">
        <f t="shared" si="112"/>
        <v/>
      </c>
      <c r="P441" s="70">
        <v>276.0</v>
      </c>
      <c r="Q441" s="71"/>
      <c r="R441" s="71"/>
      <c r="S441" s="31"/>
    </row>
    <row r="442">
      <c r="A442" s="37" t="s">
        <v>48</v>
      </c>
      <c r="B442" s="77" t="s">
        <v>133</v>
      </c>
      <c r="C442" s="82" t="s">
        <v>179</v>
      </c>
      <c r="D442" s="64">
        <v>45759.0</v>
      </c>
      <c r="E442" s="64">
        <f t="shared" ref="E442:E449" si="135">D442+7</f>
        <v>45766</v>
      </c>
      <c r="F442" s="64">
        <f t="shared" ref="F442:F449" si="136">D442+28</f>
        <v>45787</v>
      </c>
      <c r="G442" s="96" t="s">
        <v>177</v>
      </c>
      <c r="H442" s="68">
        <v>3.0</v>
      </c>
      <c r="I442" s="69">
        <v>49.0</v>
      </c>
      <c r="J442" s="44">
        <f t="shared" si="113"/>
        <v>24</v>
      </c>
      <c r="K442" s="44">
        <f t="shared" si="114"/>
        <v>24</v>
      </c>
      <c r="L442" s="68"/>
      <c r="M442" s="69"/>
      <c r="N442" s="44" t="str">
        <f t="shared" si="111"/>
        <v/>
      </c>
      <c r="O442" s="44" t="str">
        <f t="shared" si="112"/>
        <v/>
      </c>
      <c r="P442" s="70">
        <v>278.0</v>
      </c>
      <c r="Q442" s="71"/>
      <c r="R442" s="71"/>
      <c r="S442" s="31"/>
    </row>
    <row r="443">
      <c r="A443" s="37" t="s">
        <v>48</v>
      </c>
      <c r="B443" s="77" t="s">
        <v>133</v>
      </c>
      <c r="C443" s="82" t="s">
        <v>179</v>
      </c>
      <c r="D443" s="64">
        <v>45759.0</v>
      </c>
      <c r="E443" s="64">
        <f t="shared" si="135"/>
        <v>45766</v>
      </c>
      <c r="F443" s="64">
        <f t="shared" si="136"/>
        <v>45787</v>
      </c>
      <c r="G443" s="96" t="s">
        <v>177</v>
      </c>
      <c r="H443" s="68">
        <v>53.0</v>
      </c>
      <c r="I443" s="69">
        <v>99.0</v>
      </c>
      <c r="J443" s="44">
        <f t="shared" si="113"/>
        <v>24</v>
      </c>
      <c r="K443" s="44">
        <f t="shared" si="114"/>
        <v>24</v>
      </c>
      <c r="L443" s="68"/>
      <c r="M443" s="69"/>
      <c r="N443" s="44" t="str">
        <f t="shared" si="111"/>
        <v/>
      </c>
      <c r="O443" s="44" t="str">
        <f t="shared" si="112"/>
        <v/>
      </c>
      <c r="P443" s="70">
        <v>278.0</v>
      </c>
      <c r="Q443" s="71"/>
      <c r="R443" s="71"/>
      <c r="S443" s="31"/>
    </row>
    <row r="444">
      <c r="A444" s="37" t="s">
        <v>48</v>
      </c>
      <c r="B444" s="77" t="s">
        <v>133</v>
      </c>
      <c r="C444" s="82" t="s">
        <v>179</v>
      </c>
      <c r="D444" s="64">
        <v>45759.0</v>
      </c>
      <c r="E444" s="64">
        <f t="shared" si="135"/>
        <v>45766</v>
      </c>
      <c r="F444" s="64">
        <f t="shared" si="136"/>
        <v>45787</v>
      </c>
      <c r="G444" s="96" t="s">
        <v>177</v>
      </c>
      <c r="H444" s="68">
        <v>103.0</v>
      </c>
      <c r="I444" s="69">
        <v>149.0</v>
      </c>
      <c r="J444" s="44">
        <f t="shared" si="113"/>
        <v>24</v>
      </c>
      <c r="K444" s="44">
        <f t="shared" si="114"/>
        <v>24</v>
      </c>
      <c r="L444" s="68"/>
      <c r="M444" s="69"/>
      <c r="N444" s="44" t="str">
        <f t="shared" si="111"/>
        <v/>
      </c>
      <c r="O444" s="44" t="str">
        <f t="shared" si="112"/>
        <v/>
      </c>
      <c r="P444" s="70">
        <v>278.0</v>
      </c>
      <c r="Q444" s="71"/>
      <c r="R444" s="71"/>
      <c r="S444" s="31"/>
    </row>
    <row r="445">
      <c r="A445" s="37" t="s">
        <v>48</v>
      </c>
      <c r="B445" s="77" t="s">
        <v>133</v>
      </c>
      <c r="C445" s="82" t="s">
        <v>179</v>
      </c>
      <c r="D445" s="64">
        <v>45759.0</v>
      </c>
      <c r="E445" s="64">
        <f t="shared" si="135"/>
        <v>45766</v>
      </c>
      <c r="F445" s="64">
        <f t="shared" si="136"/>
        <v>45787</v>
      </c>
      <c r="G445" s="96" t="s">
        <v>177</v>
      </c>
      <c r="H445" s="68">
        <v>153.0</v>
      </c>
      <c r="I445" s="69">
        <v>165.0</v>
      </c>
      <c r="J445" s="44">
        <f t="shared" si="113"/>
        <v>7</v>
      </c>
      <c r="K445" s="44">
        <f t="shared" si="114"/>
        <v>7</v>
      </c>
      <c r="L445" s="68"/>
      <c r="M445" s="69"/>
      <c r="N445" s="44" t="str">
        <f t="shared" si="111"/>
        <v/>
      </c>
      <c r="O445" s="44" t="str">
        <f t="shared" si="112"/>
        <v/>
      </c>
      <c r="P445" s="70">
        <v>278.0</v>
      </c>
      <c r="Q445" s="71"/>
      <c r="R445" s="71"/>
      <c r="S445" s="31"/>
    </row>
    <row r="446">
      <c r="A446" s="37" t="s">
        <v>48</v>
      </c>
      <c r="B446" s="77" t="s">
        <v>133</v>
      </c>
      <c r="C446" s="82" t="s">
        <v>179</v>
      </c>
      <c r="D446" s="64">
        <v>45759.0</v>
      </c>
      <c r="E446" s="64">
        <f t="shared" si="135"/>
        <v>45766</v>
      </c>
      <c r="F446" s="64">
        <f t="shared" si="136"/>
        <v>45787</v>
      </c>
      <c r="G446" s="96" t="s">
        <v>174</v>
      </c>
      <c r="H446" s="68">
        <v>89.0</v>
      </c>
      <c r="I446" s="69">
        <v>215.0</v>
      </c>
      <c r="J446" s="44">
        <f t="shared" si="113"/>
        <v>64</v>
      </c>
      <c r="K446" s="44">
        <f t="shared" si="114"/>
        <v>64</v>
      </c>
      <c r="L446" s="68"/>
      <c r="M446" s="69"/>
      <c r="N446" s="44" t="str">
        <f t="shared" si="111"/>
        <v/>
      </c>
      <c r="O446" s="44" t="str">
        <f t="shared" si="112"/>
        <v/>
      </c>
      <c r="P446" s="70">
        <v>278.0</v>
      </c>
      <c r="Q446" s="71"/>
      <c r="R446" s="71"/>
      <c r="S446" s="31"/>
    </row>
    <row r="447">
      <c r="A447" s="37" t="s">
        <v>48</v>
      </c>
      <c r="B447" s="77" t="s">
        <v>133</v>
      </c>
      <c r="C447" s="82" t="s">
        <v>180</v>
      </c>
      <c r="D447" s="64">
        <v>45759.0</v>
      </c>
      <c r="E447" s="64">
        <f t="shared" si="135"/>
        <v>45766</v>
      </c>
      <c r="F447" s="64">
        <f t="shared" si="136"/>
        <v>45787</v>
      </c>
      <c r="G447" s="96" t="s">
        <v>144</v>
      </c>
      <c r="H447" s="68">
        <v>203.0</v>
      </c>
      <c r="I447" s="69">
        <v>213.0</v>
      </c>
      <c r="J447" s="44">
        <f t="shared" si="113"/>
        <v>6</v>
      </c>
      <c r="K447" s="44">
        <f t="shared" si="114"/>
        <v>6</v>
      </c>
      <c r="L447" s="68">
        <v>170.0</v>
      </c>
      <c r="M447" s="69">
        <v>200.0</v>
      </c>
      <c r="N447" s="44">
        <f t="shared" si="111"/>
        <v>16</v>
      </c>
      <c r="O447" s="44">
        <f t="shared" si="112"/>
        <v>16</v>
      </c>
      <c r="P447" s="70">
        <v>281.0</v>
      </c>
      <c r="Q447" s="71"/>
      <c r="R447" s="71"/>
      <c r="S447" s="31"/>
    </row>
    <row r="448">
      <c r="A448" s="37" t="s">
        <v>48</v>
      </c>
      <c r="B448" s="77" t="s">
        <v>133</v>
      </c>
      <c r="C448" s="82" t="s">
        <v>180</v>
      </c>
      <c r="D448" s="64">
        <v>45759.0</v>
      </c>
      <c r="E448" s="64">
        <f t="shared" si="135"/>
        <v>45766</v>
      </c>
      <c r="F448" s="64">
        <f t="shared" si="136"/>
        <v>45787</v>
      </c>
      <c r="G448" s="96" t="s">
        <v>144</v>
      </c>
      <c r="H448" s="68"/>
      <c r="I448" s="69"/>
      <c r="J448" s="44" t="str">
        <f t="shared" si="113"/>
        <v/>
      </c>
      <c r="K448" s="44" t="str">
        <f t="shared" si="114"/>
        <v/>
      </c>
      <c r="L448" s="68">
        <v>216.0</v>
      </c>
      <c r="M448" s="69">
        <v>306.0</v>
      </c>
      <c r="N448" s="44">
        <f t="shared" si="111"/>
        <v>46</v>
      </c>
      <c r="O448" s="44">
        <f t="shared" si="112"/>
        <v>46</v>
      </c>
      <c r="P448" s="70">
        <v>281.0</v>
      </c>
      <c r="Q448" s="71"/>
      <c r="R448" s="71"/>
      <c r="S448" s="31"/>
    </row>
    <row r="449">
      <c r="A449" s="37" t="s">
        <v>48</v>
      </c>
      <c r="B449" s="77" t="s">
        <v>133</v>
      </c>
      <c r="C449" s="82" t="s">
        <v>180</v>
      </c>
      <c r="D449" s="64">
        <v>45759.0</v>
      </c>
      <c r="E449" s="64">
        <f t="shared" si="135"/>
        <v>45766</v>
      </c>
      <c r="F449" s="64">
        <f t="shared" si="136"/>
        <v>45787</v>
      </c>
      <c r="G449" s="96" t="s">
        <v>181</v>
      </c>
      <c r="H449" s="68">
        <v>127.0</v>
      </c>
      <c r="I449" s="69">
        <v>167.0</v>
      </c>
      <c r="J449" s="44">
        <f t="shared" si="113"/>
        <v>21</v>
      </c>
      <c r="K449" s="44">
        <f t="shared" si="114"/>
        <v>21</v>
      </c>
      <c r="L449" s="68"/>
      <c r="M449" s="69"/>
      <c r="N449" s="44" t="str">
        <f t="shared" si="111"/>
        <v/>
      </c>
      <c r="O449" s="44" t="str">
        <f t="shared" si="112"/>
        <v/>
      </c>
      <c r="P449" s="70">
        <v>282.0</v>
      </c>
      <c r="Q449" s="71"/>
      <c r="R449" s="71"/>
      <c r="S449" s="31"/>
    </row>
    <row r="450">
      <c r="A450" s="37" t="s">
        <v>48</v>
      </c>
      <c r="B450" s="79" t="s">
        <v>133</v>
      </c>
      <c r="C450" s="89" t="s">
        <v>182</v>
      </c>
      <c r="D450" s="64">
        <v>45759.0</v>
      </c>
      <c r="E450" s="64">
        <f>D450+7</f>
        <v>45766</v>
      </c>
      <c r="F450" s="64">
        <f>D450+28</f>
        <v>45787</v>
      </c>
      <c r="G450" s="80" t="s">
        <v>15</v>
      </c>
      <c r="H450" s="68">
        <v>699.0</v>
      </c>
      <c r="I450" s="69">
        <v>805.0</v>
      </c>
      <c r="J450" s="44">
        <f t="shared" si="113"/>
        <v>54</v>
      </c>
      <c r="K450" s="44">
        <f t="shared" si="114"/>
        <v>54</v>
      </c>
      <c r="L450" s="68">
        <v>592.0</v>
      </c>
      <c r="M450" s="69">
        <v>628.0</v>
      </c>
      <c r="N450" s="44">
        <f t="shared" si="111"/>
        <v>19</v>
      </c>
      <c r="O450" s="44">
        <f t="shared" si="112"/>
        <v>19</v>
      </c>
      <c r="P450" s="70">
        <v>280.0</v>
      </c>
      <c r="Q450" s="71"/>
      <c r="R450" s="71"/>
      <c r="S450" s="31"/>
    </row>
    <row r="451">
      <c r="A451" s="37" t="s">
        <v>48</v>
      </c>
      <c r="B451" s="77" t="s">
        <v>133</v>
      </c>
      <c r="C451" s="82" t="s">
        <v>183</v>
      </c>
      <c r="D451" s="64">
        <v>45760.0</v>
      </c>
      <c r="E451" s="64">
        <f t="shared" ref="E451:E454" si="137">D451+7</f>
        <v>45767</v>
      </c>
      <c r="F451" s="64">
        <f t="shared" ref="F451:F454" si="138">D451+28</f>
        <v>45788</v>
      </c>
      <c r="G451" s="96" t="s">
        <v>181</v>
      </c>
      <c r="H451" s="68">
        <v>169.0</v>
      </c>
      <c r="I451" s="69">
        <v>183.0</v>
      </c>
      <c r="J451" s="44">
        <f t="shared" si="113"/>
        <v>8</v>
      </c>
      <c r="K451" s="44">
        <f t="shared" si="114"/>
        <v>8</v>
      </c>
      <c r="L451" s="68">
        <v>128.0</v>
      </c>
      <c r="M451" s="69">
        <v>156.0</v>
      </c>
      <c r="N451" s="44">
        <f t="shared" si="111"/>
        <v>15</v>
      </c>
      <c r="O451" s="44">
        <f t="shared" si="112"/>
        <v>15</v>
      </c>
      <c r="P451" s="70">
        <v>285.0</v>
      </c>
      <c r="Q451" s="71"/>
      <c r="R451" s="71"/>
      <c r="S451" s="31"/>
    </row>
    <row r="452">
      <c r="A452" s="37" t="s">
        <v>48</v>
      </c>
      <c r="B452" s="77" t="s">
        <v>133</v>
      </c>
      <c r="C452" s="82" t="s">
        <v>183</v>
      </c>
      <c r="D452" s="64">
        <v>45760.0</v>
      </c>
      <c r="E452" s="64">
        <f t="shared" si="137"/>
        <v>45767</v>
      </c>
      <c r="F452" s="64">
        <f t="shared" si="138"/>
        <v>45788</v>
      </c>
      <c r="G452" s="96" t="s">
        <v>181</v>
      </c>
      <c r="H452" s="68"/>
      <c r="I452" s="69"/>
      <c r="J452" s="44" t="str">
        <f t="shared" si="113"/>
        <v/>
      </c>
      <c r="K452" s="44" t="str">
        <f t="shared" si="114"/>
        <v/>
      </c>
      <c r="L452" s="68">
        <v>160.0</v>
      </c>
      <c r="M452" s="69">
        <v>166.0</v>
      </c>
      <c r="N452" s="44">
        <f t="shared" si="111"/>
        <v>4</v>
      </c>
      <c r="O452" s="44">
        <f t="shared" si="112"/>
        <v>4</v>
      </c>
      <c r="P452" s="70">
        <v>285.0</v>
      </c>
      <c r="Q452" s="71"/>
      <c r="R452" s="71"/>
      <c r="S452" s="31"/>
    </row>
    <row r="453">
      <c r="A453" s="37" t="s">
        <v>48</v>
      </c>
      <c r="B453" s="77" t="s">
        <v>133</v>
      </c>
      <c r="C453" s="82" t="s">
        <v>183</v>
      </c>
      <c r="D453" s="64">
        <v>45760.0</v>
      </c>
      <c r="E453" s="64">
        <f t="shared" si="137"/>
        <v>45767</v>
      </c>
      <c r="F453" s="64">
        <f t="shared" si="138"/>
        <v>45788</v>
      </c>
      <c r="G453" s="96" t="s">
        <v>181</v>
      </c>
      <c r="H453" s="68"/>
      <c r="I453" s="69"/>
      <c r="J453" s="44" t="str">
        <f t="shared" si="113"/>
        <v/>
      </c>
      <c r="K453" s="44" t="str">
        <f t="shared" si="114"/>
        <v/>
      </c>
      <c r="L453" s="68">
        <v>186.0</v>
      </c>
      <c r="M453" s="69">
        <v>304.0</v>
      </c>
      <c r="N453" s="44">
        <f t="shared" si="111"/>
        <v>60</v>
      </c>
      <c r="O453" s="44">
        <f t="shared" si="112"/>
        <v>60</v>
      </c>
      <c r="P453" s="70">
        <v>285.0</v>
      </c>
      <c r="Q453" s="71"/>
      <c r="R453" s="71"/>
      <c r="S453" s="31"/>
    </row>
    <row r="454">
      <c r="A454" s="37" t="s">
        <v>48</v>
      </c>
      <c r="B454" s="77" t="s">
        <v>133</v>
      </c>
      <c r="C454" s="82" t="s">
        <v>184</v>
      </c>
      <c r="D454" s="64">
        <v>45760.0</v>
      </c>
      <c r="E454" s="64">
        <f t="shared" si="137"/>
        <v>45767</v>
      </c>
      <c r="F454" s="64">
        <f t="shared" si="138"/>
        <v>45788</v>
      </c>
      <c r="G454" s="96" t="s">
        <v>174</v>
      </c>
      <c r="H454" s="68">
        <v>217.0</v>
      </c>
      <c r="I454" s="69">
        <v>457.0</v>
      </c>
      <c r="J454" s="44">
        <f t="shared" si="113"/>
        <v>121</v>
      </c>
      <c r="K454" s="44">
        <f t="shared" si="114"/>
        <v>121</v>
      </c>
      <c r="L454" s="68"/>
      <c r="M454" s="69"/>
      <c r="N454" s="44" t="str">
        <f t="shared" si="111"/>
        <v/>
      </c>
      <c r="O454" s="44" t="str">
        <f t="shared" si="112"/>
        <v/>
      </c>
      <c r="P454" s="70">
        <v>286.0</v>
      </c>
      <c r="Q454" s="71"/>
      <c r="R454" s="71"/>
      <c r="S454" s="31"/>
    </row>
    <row r="455">
      <c r="A455" s="37" t="s">
        <v>48</v>
      </c>
      <c r="B455" s="87" t="s">
        <v>133</v>
      </c>
      <c r="C455" s="109" t="s">
        <v>185</v>
      </c>
      <c r="D455" s="64">
        <v>45760.0</v>
      </c>
      <c r="E455" s="64">
        <f>D455+7</f>
        <v>45767</v>
      </c>
      <c r="F455" s="64">
        <f>D455+28</f>
        <v>45788</v>
      </c>
      <c r="G455" s="80" t="s">
        <v>15</v>
      </c>
      <c r="H455" s="68">
        <v>807.0</v>
      </c>
      <c r="I455" s="69">
        <v>837.0</v>
      </c>
      <c r="J455" s="44">
        <f t="shared" si="113"/>
        <v>16</v>
      </c>
      <c r="K455" s="44">
        <f t="shared" si="114"/>
        <v>16</v>
      </c>
      <c r="L455" s="68">
        <v>630.0</v>
      </c>
      <c r="M455" s="69">
        <v>744.0</v>
      </c>
      <c r="N455" s="44">
        <f t="shared" si="111"/>
        <v>58</v>
      </c>
      <c r="O455" s="44">
        <f t="shared" si="112"/>
        <v>58</v>
      </c>
      <c r="P455" s="70">
        <v>284.0</v>
      </c>
      <c r="Q455" s="71"/>
      <c r="R455" s="71"/>
      <c r="S455" s="31"/>
    </row>
    <row r="456">
      <c r="A456" s="37" t="s">
        <v>48</v>
      </c>
      <c r="B456" s="77" t="s">
        <v>133</v>
      </c>
      <c r="C456" s="82" t="s">
        <v>186</v>
      </c>
      <c r="D456" s="64">
        <v>45761.0</v>
      </c>
      <c r="E456" s="64">
        <f t="shared" ref="E456:E465" si="139">D456+7</f>
        <v>45768</v>
      </c>
      <c r="F456" s="64">
        <f t="shared" ref="F456:F465" si="140">D456+28</f>
        <v>45789</v>
      </c>
      <c r="G456" s="96" t="s">
        <v>174</v>
      </c>
      <c r="H456" s="68"/>
      <c r="I456" s="69"/>
      <c r="J456" s="44" t="str">
        <f t="shared" si="113"/>
        <v/>
      </c>
      <c r="K456" s="44" t="str">
        <f t="shared" si="114"/>
        <v/>
      </c>
      <c r="L456" s="68">
        <v>106.0</v>
      </c>
      <c r="M456" s="69">
        <v>184.0</v>
      </c>
      <c r="N456" s="44">
        <f t="shared" si="111"/>
        <v>40</v>
      </c>
      <c r="O456" s="44">
        <f t="shared" si="112"/>
        <v>40</v>
      </c>
      <c r="P456" s="70">
        <v>287.0</v>
      </c>
      <c r="Q456" s="71"/>
      <c r="R456" s="71"/>
      <c r="S456" s="31"/>
    </row>
    <row r="457">
      <c r="A457" s="37" t="s">
        <v>48</v>
      </c>
      <c r="B457" s="77" t="s">
        <v>133</v>
      </c>
      <c r="C457" s="82" t="s">
        <v>186</v>
      </c>
      <c r="D457" s="64">
        <v>45761.0</v>
      </c>
      <c r="E457" s="64">
        <f t="shared" si="139"/>
        <v>45768</v>
      </c>
      <c r="F457" s="64">
        <f t="shared" si="140"/>
        <v>45789</v>
      </c>
      <c r="G457" s="96" t="s">
        <v>174</v>
      </c>
      <c r="H457" s="68"/>
      <c r="I457" s="69"/>
      <c r="J457" s="44" t="str">
        <f t="shared" si="113"/>
        <v/>
      </c>
      <c r="K457" s="44" t="str">
        <f t="shared" si="114"/>
        <v/>
      </c>
      <c r="L457" s="68">
        <v>188.0</v>
      </c>
      <c r="M457" s="69">
        <v>236.0</v>
      </c>
      <c r="N457" s="44">
        <f t="shared" si="111"/>
        <v>25</v>
      </c>
      <c r="O457" s="44">
        <f t="shared" si="112"/>
        <v>25</v>
      </c>
      <c r="P457" s="70">
        <v>287.0</v>
      </c>
      <c r="Q457" s="71"/>
      <c r="R457" s="71"/>
      <c r="S457" s="31"/>
    </row>
    <row r="458">
      <c r="A458" s="37" t="s">
        <v>48</v>
      </c>
      <c r="B458" s="77" t="s">
        <v>133</v>
      </c>
      <c r="C458" s="82" t="s">
        <v>186</v>
      </c>
      <c r="D458" s="64">
        <v>45761.0</v>
      </c>
      <c r="E458" s="64">
        <f t="shared" si="139"/>
        <v>45768</v>
      </c>
      <c r="F458" s="64">
        <f t="shared" si="140"/>
        <v>45789</v>
      </c>
      <c r="G458" s="96" t="s">
        <v>174</v>
      </c>
      <c r="H458" s="68"/>
      <c r="I458" s="69"/>
      <c r="J458" s="44" t="str">
        <f t="shared" si="113"/>
        <v/>
      </c>
      <c r="K458" s="44" t="str">
        <f t="shared" si="114"/>
        <v/>
      </c>
      <c r="L458" s="68">
        <v>240.0</v>
      </c>
      <c r="M458" s="69">
        <v>286.0</v>
      </c>
      <c r="N458" s="44">
        <f t="shared" si="111"/>
        <v>24</v>
      </c>
      <c r="O458" s="44">
        <f t="shared" si="112"/>
        <v>24</v>
      </c>
      <c r="P458" s="70">
        <v>287.0</v>
      </c>
      <c r="Q458" s="71"/>
      <c r="R458" s="71"/>
      <c r="S458" s="31"/>
    </row>
    <row r="459">
      <c r="A459" s="37" t="s">
        <v>48</v>
      </c>
      <c r="B459" s="77" t="s">
        <v>133</v>
      </c>
      <c r="C459" s="82" t="s">
        <v>186</v>
      </c>
      <c r="D459" s="64">
        <v>45761.0</v>
      </c>
      <c r="E459" s="64">
        <f t="shared" si="139"/>
        <v>45768</v>
      </c>
      <c r="F459" s="64">
        <f t="shared" si="140"/>
        <v>45789</v>
      </c>
      <c r="G459" s="96" t="s">
        <v>174</v>
      </c>
      <c r="H459" s="68"/>
      <c r="I459" s="69"/>
      <c r="J459" s="44" t="str">
        <f t="shared" si="113"/>
        <v/>
      </c>
      <c r="K459" s="44" t="str">
        <f t="shared" si="114"/>
        <v/>
      </c>
      <c r="L459" s="68">
        <v>290.0</v>
      </c>
      <c r="M459" s="69">
        <v>336.0</v>
      </c>
      <c r="N459" s="44">
        <f t="shared" si="111"/>
        <v>24</v>
      </c>
      <c r="O459" s="44">
        <f t="shared" si="112"/>
        <v>24</v>
      </c>
      <c r="P459" s="70">
        <v>287.0</v>
      </c>
      <c r="Q459" s="71"/>
      <c r="R459" s="71"/>
      <c r="S459" s="31"/>
    </row>
    <row r="460">
      <c r="A460" s="37" t="s">
        <v>48</v>
      </c>
      <c r="B460" s="77" t="s">
        <v>133</v>
      </c>
      <c r="C460" s="82" t="s">
        <v>186</v>
      </c>
      <c r="D460" s="64">
        <v>45761.0</v>
      </c>
      <c r="E460" s="64">
        <f t="shared" si="139"/>
        <v>45768</v>
      </c>
      <c r="F460" s="64">
        <f t="shared" si="140"/>
        <v>45789</v>
      </c>
      <c r="G460" s="96" t="s">
        <v>174</v>
      </c>
      <c r="H460" s="68"/>
      <c r="I460" s="69"/>
      <c r="J460" s="44" t="str">
        <f t="shared" si="113"/>
        <v/>
      </c>
      <c r="K460" s="44" t="str">
        <f t="shared" si="114"/>
        <v/>
      </c>
      <c r="L460" s="68">
        <v>340.0</v>
      </c>
      <c r="M460" s="69">
        <v>346.0</v>
      </c>
      <c r="N460" s="44">
        <f t="shared" si="111"/>
        <v>4</v>
      </c>
      <c r="O460" s="44">
        <f t="shared" si="112"/>
        <v>4</v>
      </c>
      <c r="P460" s="70">
        <v>287.0</v>
      </c>
      <c r="Q460" s="71"/>
      <c r="R460" s="71"/>
      <c r="S460" s="31"/>
    </row>
    <row r="461">
      <c r="A461" s="37" t="s">
        <v>48</v>
      </c>
      <c r="B461" s="77" t="s">
        <v>133</v>
      </c>
      <c r="C461" s="82" t="s">
        <v>187</v>
      </c>
      <c r="D461" s="64">
        <v>45761.0</v>
      </c>
      <c r="E461" s="64">
        <f t="shared" si="139"/>
        <v>45768</v>
      </c>
      <c r="F461" s="64">
        <f t="shared" si="140"/>
        <v>45789</v>
      </c>
      <c r="G461" s="96" t="s">
        <v>181</v>
      </c>
      <c r="H461" s="68">
        <v>185.0</v>
      </c>
      <c r="I461" s="69">
        <v>205.0</v>
      </c>
      <c r="J461" s="44">
        <f t="shared" si="113"/>
        <v>11</v>
      </c>
      <c r="K461" s="44">
        <f t="shared" si="114"/>
        <v>11</v>
      </c>
      <c r="L461" s="68">
        <v>168.0</v>
      </c>
      <c r="M461" s="69">
        <v>182.0</v>
      </c>
      <c r="N461" s="44">
        <f t="shared" si="111"/>
        <v>8</v>
      </c>
      <c r="O461" s="44">
        <f t="shared" si="112"/>
        <v>8</v>
      </c>
      <c r="P461" s="70">
        <v>288.0</v>
      </c>
      <c r="Q461" s="71"/>
      <c r="R461" s="71"/>
      <c r="S461" s="31"/>
    </row>
    <row r="462">
      <c r="A462" s="37" t="s">
        <v>48</v>
      </c>
      <c r="B462" s="77" t="s">
        <v>133</v>
      </c>
      <c r="C462" s="82" t="s">
        <v>187</v>
      </c>
      <c r="D462" s="64">
        <v>45761.0</v>
      </c>
      <c r="E462" s="64">
        <f t="shared" si="139"/>
        <v>45768</v>
      </c>
      <c r="F462" s="64">
        <f t="shared" si="140"/>
        <v>45789</v>
      </c>
      <c r="G462" s="96" t="s">
        <v>181</v>
      </c>
      <c r="H462" s="68">
        <v>209.0</v>
      </c>
      <c r="I462" s="69">
        <v>255.0</v>
      </c>
      <c r="J462" s="44">
        <f t="shared" si="113"/>
        <v>24</v>
      </c>
      <c r="K462" s="44">
        <f t="shared" si="114"/>
        <v>24</v>
      </c>
      <c r="L462" s="68">
        <v>184.0</v>
      </c>
      <c r="M462" s="69">
        <v>184.0</v>
      </c>
      <c r="N462" s="44">
        <f t="shared" si="111"/>
        <v>1</v>
      </c>
      <c r="O462" s="44">
        <f t="shared" si="112"/>
        <v>1</v>
      </c>
      <c r="P462" s="70">
        <v>288.0</v>
      </c>
      <c r="Q462" s="71"/>
      <c r="R462" s="71"/>
      <c r="S462" s="31"/>
    </row>
    <row r="463">
      <c r="A463" s="37" t="s">
        <v>48</v>
      </c>
      <c r="B463" s="77" t="s">
        <v>133</v>
      </c>
      <c r="C463" s="82" t="s">
        <v>187</v>
      </c>
      <c r="D463" s="64">
        <v>45761.0</v>
      </c>
      <c r="E463" s="64">
        <f t="shared" si="139"/>
        <v>45768</v>
      </c>
      <c r="F463" s="64">
        <f t="shared" si="140"/>
        <v>45789</v>
      </c>
      <c r="G463" s="96" t="s">
        <v>181</v>
      </c>
      <c r="H463" s="68">
        <v>259.0</v>
      </c>
      <c r="I463" s="69">
        <v>303.0</v>
      </c>
      <c r="J463" s="44">
        <f t="shared" si="113"/>
        <v>23</v>
      </c>
      <c r="K463" s="44">
        <f t="shared" si="114"/>
        <v>23</v>
      </c>
      <c r="L463" s="68">
        <v>304.0</v>
      </c>
      <c r="M463" s="69">
        <v>304.0</v>
      </c>
      <c r="N463" s="44">
        <f t="shared" si="111"/>
        <v>1</v>
      </c>
      <c r="O463" s="44">
        <f t="shared" si="112"/>
        <v>1</v>
      </c>
      <c r="P463" s="70">
        <v>288.0</v>
      </c>
      <c r="Q463" s="71"/>
      <c r="R463" s="71"/>
      <c r="S463" s="31"/>
    </row>
    <row r="464">
      <c r="A464" s="37" t="s">
        <v>48</v>
      </c>
      <c r="B464" s="77" t="s">
        <v>133</v>
      </c>
      <c r="C464" s="82" t="s">
        <v>187</v>
      </c>
      <c r="D464" s="64">
        <v>45761.0</v>
      </c>
      <c r="E464" s="64">
        <f t="shared" si="139"/>
        <v>45768</v>
      </c>
      <c r="F464" s="64">
        <f t="shared" si="140"/>
        <v>45789</v>
      </c>
      <c r="G464" s="96" t="s">
        <v>181</v>
      </c>
      <c r="H464" s="68">
        <v>305.0</v>
      </c>
      <c r="I464" s="69">
        <v>305.0</v>
      </c>
      <c r="J464" s="44">
        <f t="shared" si="113"/>
        <v>1</v>
      </c>
      <c r="K464" s="44">
        <f t="shared" si="114"/>
        <v>1</v>
      </c>
      <c r="L464" s="68">
        <v>306.0</v>
      </c>
      <c r="M464" s="69">
        <v>306.0</v>
      </c>
      <c r="N464" s="44">
        <f t="shared" si="111"/>
        <v>1</v>
      </c>
      <c r="O464" s="44">
        <f t="shared" si="112"/>
        <v>1</v>
      </c>
      <c r="P464" s="70">
        <v>288.0</v>
      </c>
      <c r="Q464" s="71"/>
      <c r="R464" s="71"/>
      <c r="S464" s="31"/>
    </row>
    <row r="465">
      <c r="A465" s="37" t="s">
        <v>48</v>
      </c>
      <c r="B465" s="77" t="s">
        <v>133</v>
      </c>
      <c r="C465" s="82" t="s">
        <v>187</v>
      </c>
      <c r="D465" s="64">
        <v>45761.0</v>
      </c>
      <c r="E465" s="64">
        <f t="shared" si="139"/>
        <v>45768</v>
      </c>
      <c r="F465" s="64">
        <f t="shared" si="140"/>
        <v>45789</v>
      </c>
      <c r="G465" s="96" t="s">
        <v>181</v>
      </c>
      <c r="H465" s="68">
        <v>307.0</v>
      </c>
      <c r="I465" s="69">
        <v>307.0</v>
      </c>
      <c r="J465" s="44">
        <f t="shared" si="113"/>
        <v>1</v>
      </c>
      <c r="K465" s="44">
        <f t="shared" si="114"/>
        <v>1</v>
      </c>
      <c r="L465" s="68">
        <v>308.0</v>
      </c>
      <c r="M465" s="69">
        <v>308.0</v>
      </c>
      <c r="N465" s="44">
        <f t="shared" si="111"/>
        <v>1</v>
      </c>
      <c r="O465" s="44">
        <f t="shared" si="112"/>
        <v>1</v>
      </c>
      <c r="P465" s="70">
        <v>288.0</v>
      </c>
      <c r="Q465" s="71"/>
      <c r="R465" s="71"/>
      <c r="S465" s="31"/>
    </row>
    <row r="466">
      <c r="A466" s="37" t="s">
        <v>48</v>
      </c>
      <c r="B466" s="87" t="s">
        <v>133</v>
      </c>
      <c r="C466" s="109" t="s">
        <v>188</v>
      </c>
      <c r="D466" s="64">
        <v>45761.0</v>
      </c>
      <c r="E466" s="64">
        <f>D466+7</f>
        <v>45768</v>
      </c>
      <c r="F466" s="64">
        <f>D466+28</f>
        <v>45789</v>
      </c>
      <c r="G466" s="80" t="s">
        <v>15</v>
      </c>
      <c r="H466" s="68">
        <v>839.0</v>
      </c>
      <c r="I466" s="69">
        <v>897.0</v>
      </c>
      <c r="J466" s="44">
        <f t="shared" si="113"/>
        <v>30</v>
      </c>
      <c r="K466" s="44">
        <f t="shared" si="114"/>
        <v>30</v>
      </c>
      <c r="L466" s="68">
        <v>746.0</v>
      </c>
      <c r="M466" s="69">
        <v>830.0</v>
      </c>
      <c r="N466" s="44">
        <f t="shared" si="111"/>
        <v>43</v>
      </c>
      <c r="O466" s="44">
        <f t="shared" si="112"/>
        <v>43</v>
      </c>
      <c r="P466" s="70">
        <v>289.0</v>
      </c>
      <c r="Q466" s="71"/>
      <c r="R466" s="71"/>
      <c r="S466" s="31"/>
    </row>
    <row r="467">
      <c r="A467" s="37" t="s">
        <v>48</v>
      </c>
      <c r="B467" s="77" t="s">
        <v>133</v>
      </c>
      <c r="C467" s="82" t="s">
        <v>189</v>
      </c>
      <c r="D467" s="64">
        <v>45762.0</v>
      </c>
      <c r="E467" s="64">
        <f t="shared" ref="E467:E471" si="141">D467+7</f>
        <v>45769</v>
      </c>
      <c r="F467" s="64">
        <f t="shared" ref="F467:F471" si="142">D467+28</f>
        <v>45790</v>
      </c>
      <c r="G467" s="96" t="s">
        <v>174</v>
      </c>
      <c r="H467" s="68">
        <v>459.0</v>
      </c>
      <c r="I467" s="69">
        <v>479.0</v>
      </c>
      <c r="J467" s="44">
        <f t="shared" si="113"/>
        <v>11</v>
      </c>
      <c r="K467" s="44">
        <f t="shared" si="114"/>
        <v>11</v>
      </c>
      <c r="L467" s="68">
        <v>348.0</v>
      </c>
      <c r="M467" s="69">
        <v>384.0</v>
      </c>
      <c r="N467" s="44">
        <f t="shared" si="111"/>
        <v>19</v>
      </c>
      <c r="O467" s="44">
        <f t="shared" si="112"/>
        <v>19</v>
      </c>
      <c r="P467" s="70">
        <v>290.0</v>
      </c>
      <c r="Q467" s="71"/>
      <c r="R467" s="71"/>
      <c r="S467" s="31"/>
    </row>
    <row r="468">
      <c r="A468" s="37" t="s">
        <v>48</v>
      </c>
      <c r="B468" s="77" t="s">
        <v>133</v>
      </c>
      <c r="C468" s="82" t="s">
        <v>189</v>
      </c>
      <c r="D468" s="64">
        <v>45762.0</v>
      </c>
      <c r="E468" s="64">
        <f t="shared" si="141"/>
        <v>45769</v>
      </c>
      <c r="F468" s="64">
        <f t="shared" si="142"/>
        <v>45790</v>
      </c>
      <c r="G468" s="96" t="s">
        <v>174</v>
      </c>
      <c r="H468" s="68"/>
      <c r="I468" s="69"/>
      <c r="J468" s="44" t="str">
        <f t="shared" si="113"/>
        <v/>
      </c>
      <c r="K468" s="44" t="str">
        <f t="shared" si="114"/>
        <v/>
      </c>
      <c r="L468" s="68">
        <v>388.0</v>
      </c>
      <c r="M468" s="69">
        <v>434.0</v>
      </c>
      <c r="N468" s="44">
        <f t="shared" si="111"/>
        <v>24</v>
      </c>
      <c r="O468" s="44">
        <f t="shared" si="112"/>
        <v>24</v>
      </c>
      <c r="P468" s="70">
        <v>290.0</v>
      </c>
      <c r="Q468" s="71"/>
      <c r="R468" s="71"/>
      <c r="S468" s="31"/>
    </row>
    <row r="469">
      <c r="A469" s="37" t="s">
        <v>48</v>
      </c>
      <c r="B469" s="77" t="s">
        <v>133</v>
      </c>
      <c r="C469" s="82" t="s">
        <v>189</v>
      </c>
      <c r="D469" s="64">
        <v>45762.0</v>
      </c>
      <c r="E469" s="64">
        <f t="shared" si="141"/>
        <v>45769</v>
      </c>
      <c r="F469" s="64">
        <f t="shared" si="142"/>
        <v>45790</v>
      </c>
      <c r="G469" s="96" t="s">
        <v>174</v>
      </c>
      <c r="H469" s="68"/>
      <c r="I469" s="69"/>
      <c r="J469" s="44" t="str">
        <f t="shared" si="113"/>
        <v/>
      </c>
      <c r="K469" s="44" t="str">
        <f t="shared" si="114"/>
        <v/>
      </c>
      <c r="L469" s="68">
        <v>438.0</v>
      </c>
      <c r="M469" s="69">
        <v>456.0</v>
      </c>
      <c r="N469" s="44">
        <f t="shared" si="111"/>
        <v>10</v>
      </c>
      <c r="O469" s="44">
        <f t="shared" si="112"/>
        <v>10</v>
      </c>
      <c r="P469" s="70">
        <v>290.0</v>
      </c>
      <c r="Q469" s="71"/>
      <c r="R469" s="71"/>
      <c r="S469" s="31"/>
    </row>
    <row r="470">
      <c r="A470" s="37" t="s">
        <v>48</v>
      </c>
      <c r="B470" s="77" t="s">
        <v>133</v>
      </c>
      <c r="C470" s="82" t="s">
        <v>190</v>
      </c>
      <c r="D470" s="64">
        <v>45762.0</v>
      </c>
      <c r="E470" s="64">
        <f t="shared" si="141"/>
        <v>45769</v>
      </c>
      <c r="F470" s="64">
        <f t="shared" si="142"/>
        <v>45790</v>
      </c>
      <c r="G470" s="96" t="s">
        <v>191</v>
      </c>
      <c r="H470" s="68">
        <v>1.0</v>
      </c>
      <c r="I470" s="69">
        <v>149.0</v>
      </c>
      <c r="J470" s="44">
        <f t="shared" si="113"/>
        <v>75</v>
      </c>
      <c r="K470" s="44">
        <f t="shared" si="114"/>
        <v>75</v>
      </c>
      <c r="L470" s="68"/>
      <c r="M470" s="69"/>
      <c r="N470" s="44" t="str">
        <f t="shared" si="111"/>
        <v/>
      </c>
      <c r="O470" s="44" t="str">
        <f t="shared" si="112"/>
        <v/>
      </c>
      <c r="P470" s="70">
        <v>291.0</v>
      </c>
      <c r="Q470" s="71"/>
      <c r="R470" s="71"/>
      <c r="S470" s="31"/>
    </row>
    <row r="471">
      <c r="A471" s="37" t="s">
        <v>48</v>
      </c>
      <c r="B471" s="77" t="s">
        <v>133</v>
      </c>
      <c r="C471" s="82" t="s">
        <v>192</v>
      </c>
      <c r="D471" s="64">
        <v>45762.0</v>
      </c>
      <c r="E471" s="64">
        <f t="shared" si="141"/>
        <v>45769</v>
      </c>
      <c r="F471" s="64">
        <f t="shared" si="142"/>
        <v>45790</v>
      </c>
      <c r="G471" s="96" t="s">
        <v>142</v>
      </c>
      <c r="H471" s="68">
        <v>71.0</v>
      </c>
      <c r="I471" s="69">
        <v>209.0</v>
      </c>
      <c r="J471" s="44">
        <f t="shared" si="113"/>
        <v>70</v>
      </c>
      <c r="K471" s="44">
        <f t="shared" si="114"/>
        <v>70</v>
      </c>
      <c r="L471" s="68"/>
      <c r="M471" s="69"/>
      <c r="N471" s="44" t="str">
        <f t="shared" si="111"/>
        <v/>
      </c>
      <c r="O471" s="44" t="str">
        <f t="shared" si="112"/>
        <v/>
      </c>
      <c r="P471" s="70">
        <v>294.0</v>
      </c>
      <c r="Q471" s="71"/>
      <c r="R471" s="71"/>
      <c r="S471" s="31"/>
    </row>
    <row r="472">
      <c r="A472" s="37" t="s">
        <v>48</v>
      </c>
      <c r="B472" s="87" t="s">
        <v>133</v>
      </c>
      <c r="C472" s="109" t="s">
        <v>193</v>
      </c>
      <c r="D472" s="64">
        <v>45762.0</v>
      </c>
      <c r="E472" s="64">
        <f>D472+7</f>
        <v>45769</v>
      </c>
      <c r="F472" s="64">
        <f>D472+28</f>
        <v>45790</v>
      </c>
      <c r="G472" s="80" t="s">
        <v>15</v>
      </c>
      <c r="H472" s="68"/>
      <c r="I472" s="69"/>
      <c r="J472" s="44" t="str">
        <f t="shared" si="113"/>
        <v/>
      </c>
      <c r="K472" s="44" t="str">
        <f t="shared" si="114"/>
        <v/>
      </c>
      <c r="L472" s="68">
        <v>832.0</v>
      </c>
      <c r="M472" s="69">
        <v>896.0</v>
      </c>
      <c r="N472" s="44">
        <f t="shared" si="111"/>
        <v>33</v>
      </c>
      <c r="O472" s="44">
        <f t="shared" si="112"/>
        <v>33</v>
      </c>
      <c r="P472" s="70">
        <v>292.0</v>
      </c>
      <c r="Q472" s="71"/>
      <c r="R472" s="71"/>
      <c r="S472" s="31"/>
    </row>
    <row r="473">
      <c r="A473" s="37" t="s">
        <v>48</v>
      </c>
      <c r="B473" s="77" t="s">
        <v>133</v>
      </c>
      <c r="C473" s="82" t="s">
        <v>194</v>
      </c>
      <c r="D473" s="64">
        <v>45763.0</v>
      </c>
      <c r="E473" s="64">
        <f t="shared" ref="E473:E475" si="143">D473+7</f>
        <v>45770</v>
      </c>
      <c r="F473" s="64">
        <f t="shared" ref="F473:F509" si="144">D473+28</f>
        <v>45791</v>
      </c>
      <c r="G473" s="96" t="s">
        <v>191</v>
      </c>
      <c r="H473" s="68">
        <v>151.0</v>
      </c>
      <c r="I473" s="69">
        <v>197.0</v>
      </c>
      <c r="J473" s="44">
        <f t="shared" si="113"/>
        <v>24</v>
      </c>
      <c r="K473" s="44">
        <f t="shared" si="114"/>
        <v>24</v>
      </c>
      <c r="L473" s="68">
        <v>210.0</v>
      </c>
      <c r="M473" s="69">
        <v>238.0</v>
      </c>
      <c r="N473" s="44">
        <f t="shared" si="111"/>
        <v>15</v>
      </c>
      <c r="O473" s="44">
        <f t="shared" si="112"/>
        <v>15</v>
      </c>
      <c r="P473" s="70">
        <v>293.0</v>
      </c>
      <c r="Q473" s="71"/>
      <c r="R473" s="71"/>
      <c r="S473" s="31"/>
    </row>
    <row r="474">
      <c r="A474" s="37" t="s">
        <v>48</v>
      </c>
      <c r="B474" s="77" t="s">
        <v>133</v>
      </c>
      <c r="C474" s="82" t="s">
        <v>194</v>
      </c>
      <c r="D474" s="64">
        <v>45763.0</v>
      </c>
      <c r="E474" s="64">
        <f t="shared" si="143"/>
        <v>45770</v>
      </c>
      <c r="F474" s="64">
        <f t="shared" si="144"/>
        <v>45791</v>
      </c>
      <c r="G474" s="96" t="s">
        <v>191</v>
      </c>
      <c r="H474" s="68"/>
      <c r="I474" s="69"/>
      <c r="J474" s="44" t="str">
        <f t="shared" si="113"/>
        <v/>
      </c>
      <c r="K474" s="44" t="str">
        <f t="shared" si="114"/>
        <v/>
      </c>
      <c r="L474" s="68">
        <v>106.0</v>
      </c>
      <c r="M474" s="69">
        <v>148.0</v>
      </c>
      <c r="N474" s="44">
        <f t="shared" si="111"/>
        <v>22</v>
      </c>
      <c r="O474" s="44">
        <f t="shared" si="112"/>
        <v>22</v>
      </c>
      <c r="P474" s="70">
        <v>293.0</v>
      </c>
      <c r="Q474" s="71"/>
      <c r="R474" s="71"/>
      <c r="S474" s="31"/>
    </row>
    <row r="475">
      <c r="A475" s="37" t="s">
        <v>48</v>
      </c>
      <c r="B475" s="77" t="s">
        <v>133</v>
      </c>
      <c r="C475" s="82" t="s">
        <v>194</v>
      </c>
      <c r="D475" s="64">
        <v>45763.0</v>
      </c>
      <c r="E475" s="64">
        <f t="shared" si="143"/>
        <v>45770</v>
      </c>
      <c r="F475" s="64">
        <f t="shared" si="144"/>
        <v>45791</v>
      </c>
      <c r="G475" s="96" t="s">
        <v>191</v>
      </c>
      <c r="H475" s="68"/>
      <c r="I475" s="69"/>
      <c r="J475" s="44" t="str">
        <f t="shared" si="113"/>
        <v/>
      </c>
      <c r="K475" s="44" t="str">
        <f t="shared" si="114"/>
        <v/>
      </c>
      <c r="L475" s="68">
        <v>62.0</v>
      </c>
      <c r="M475" s="69">
        <v>104.0</v>
      </c>
      <c r="N475" s="44">
        <f t="shared" si="111"/>
        <v>22</v>
      </c>
      <c r="O475" s="44">
        <f t="shared" si="112"/>
        <v>22</v>
      </c>
      <c r="P475" s="70">
        <v>293.0</v>
      </c>
      <c r="Q475" s="71"/>
      <c r="R475" s="71"/>
      <c r="S475" s="31"/>
    </row>
    <row r="476">
      <c r="A476" s="37" t="s">
        <v>48</v>
      </c>
      <c r="B476" s="77" t="s">
        <v>133</v>
      </c>
      <c r="C476" s="82" t="s">
        <v>195</v>
      </c>
      <c r="D476" s="64">
        <v>45763.0</v>
      </c>
      <c r="E476" s="64">
        <f t="shared" ref="E476:E478" si="145">D476+7</f>
        <v>45770</v>
      </c>
      <c r="F476" s="64">
        <f t="shared" si="144"/>
        <v>45791</v>
      </c>
      <c r="G476" s="96" t="s">
        <v>196</v>
      </c>
      <c r="H476" s="68">
        <v>3.0</v>
      </c>
      <c r="I476" s="69">
        <v>103.0</v>
      </c>
      <c r="J476" s="44">
        <f t="shared" si="113"/>
        <v>51</v>
      </c>
      <c r="K476" s="44">
        <f t="shared" si="114"/>
        <v>51</v>
      </c>
      <c r="L476" s="68">
        <v>2.0</v>
      </c>
      <c r="M476" s="103">
        <v>48.0</v>
      </c>
      <c r="N476" s="44">
        <f t="shared" si="111"/>
        <v>24</v>
      </c>
      <c r="O476" s="44">
        <f t="shared" si="112"/>
        <v>24</v>
      </c>
      <c r="P476" s="70">
        <v>295.0</v>
      </c>
      <c r="Q476" s="71"/>
      <c r="R476" s="71"/>
      <c r="S476" s="31"/>
    </row>
    <row r="477">
      <c r="A477" s="37" t="s">
        <v>48</v>
      </c>
      <c r="B477" s="77" t="s">
        <v>133</v>
      </c>
      <c r="C477" s="82" t="s">
        <v>195</v>
      </c>
      <c r="D477" s="64">
        <v>45763.0</v>
      </c>
      <c r="E477" s="64">
        <f t="shared" si="145"/>
        <v>45770</v>
      </c>
      <c r="F477" s="64">
        <f t="shared" si="144"/>
        <v>45791</v>
      </c>
      <c r="G477" s="96" t="s">
        <v>196</v>
      </c>
      <c r="H477" s="68">
        <v>125.0</v>
      </c>
      <c r="I477" s="69">
        <v>205.0</v>
      </c>
      <c r="J477" s="44">
        <f t="shared" si="113"/>
        <v>41</v>
      </c>
      <c r="K477" s="44">
        <f t="shared" si="114"/>
        <v>41</v>
      </c>
      <c r="L477" s="68">
        <v>104.0</v>
      </c>
      <c r="M477" s="69">
        <v>104.0</v>
      </c>
      <c r="N477" s="44">
        <f t="shared" si="111"/>
        <v>1</v>
      </c>
      <c r="O477" s="44">
        <f t="shared" si="112"/>
        <v>1</v>
      </c>
      <c r="P477" s="70">
        <v>295.0</v>
      </c>
      <c r="Q477" s="71"/>
      <c r="R477" s="71"/>
      <c r="S477" s="31"/>
    </row>
    <row r="478">
      <c r="A478" s="37" t="s">
        <v>48</v>
      </c>
      <c r="B478" s="77" t="s">
        <v>133</v>
      </c>
      <c r="C478" s="82" t="s">
        <v>195</v>
      </c>
      <c r="D478" s="64">
        <v>45763.0</v>
      </c>
      <c r="E478" s="64">
        <f t="shared" si="145"/>
        <v>45770</v>
      </c>
      <c r="F478" s="64">
        <f t="shared" si="144"/>
        <v>45791</v>
      </c>
      <c r="G478" s="96" t="s">
        <v>196</v>
      </c>
      <c r="H478" s="68"/>
      <c r="I478" s="69"/>
      <c r="J478" s="44" t="str">
        <f t="shared" si="113"/>
        <v/>
      </c>
      <c r="K478" s="44" t="str">
        <f t="shared" si="114"/>
        <v/>
      </c>
      <c r="L478" s="68">
        <v>52.0</v>
      </c>
      <c r="M478" s="69">
        <v>100.0</v>
      </c>
      <c r="N478" s="44">
        <f t="shared" si="111"/>
        <v>25</v>
      </c>
      <c r="O478" s="44">
        <f t="shared" si="112"/>
        <v>25</v>
      </c>
      <c r="P478" s="70">
        <v>295.0</v>
      </c>
      <c r="Q478" s="71"/>
      <c r="R478" s="71"/>
      <c r="S478" s="31"/>
    </row>
    <row r="479">
      <c r="A479" s="37" t="s">
        <v>48</v>
      </c>
      <c r="B479" s="77" t="s">
        <v>133</v>
      </c>
      <c r="C479" s="82" t="s">
        <v>195</v>
      </c>
      <c r="D479" s="64">
        <v>45763.0</v>
      </c>
      <c r="E479" s="64">
        <f t="shared" ref="E479:E488" si="146">D479+7</f>
        <v>45770</v>
      </c>
      <c r="F479" s="64">
        <f t="shared" si="144"/>
        <v>45791</v>
      </c>
      <c r="G479" s="96" t="s">
        <v>174</v>
      </c>
      <c r="H479" s="68"/>
      <c r="I479" s="69"/>
      <c r="J479" s="44" t="str">
        <f t="shared" si="113"/>
        <v/>
      </c>
      <c r="K479" s="44" t="str">
        <f t="shared" si="114"/>
        <v/>
      </c>
      <c r="L479" s="102">
        <v>458.0</v>
      </c>
      <c r="M479" s="69">
        <v>476.0</v>
      </c>
      <c r="N479" s="44">
        <f t="shared" si="111"/>
        <v>10</v>
      </c>
      <c r="O479" s="44">
        <f t="shared" si="112"/>
        <v>10</v>
      </c>
      <c r="P479" s="70">
        <v>295.0</v>
      </c>
      <c r="Q479" s="71"/>
      <c r="R479" s="71"/>
      <c r="S479" s="31"/>
    </row>
    <row r="480">
      <c r="A480" s="37" t="s">
        <v>48</v>
      </c>
      <c r="B480" s="77" t="s">
        <v>133</v>
      </c>
      <c r="C480" s="82" t="s">
        <v>197</v>
      </c>
      <c r="D480" s="64">
        <v>45763.0</v>
      </c>
      <c r="E480" s="64">
        <f t="shared" si="146"/>
        <v>45770</v>
      </c>
      <c r="F480" s="64">
        <f t="shared" si="144"/>
        <v>45791</v>
      </c>
      <c r="G480" s="96" t="s">
        <v>142</v>
      </c>
      <c r="H480" s="68">
        <v>211.0</v>
      </c>
      <c r="I480" s="69">
        <v>313.0</v>
      </c>
      <c r="J480" s="44">
        <f t="shared" si="113"/>
        <v>52</v>
      </c>
      <c r="K480" s="44">
        <f t="shared" si="114"/>
        <v>52</v>
      </c>
      <c r="L480" s="68">
        <v>42.0</v>
      </c>
      <c r="M480" s="69">
        <v>56.0</v>
      </c>
      <c r="N480" s="44">
        <f t="shared" si="111"/>
        <v>8</v>
      </c>
      <c r="O480" s="44">
        <f t="shared" si="112"/>
        <v>8</v>
      </c>
      <c r="P480" s="70">
        <v>296.0</v>
      </c>
      <c r="Q480" s="71"/>
      <c r="R480" s="71"/>
      <c r="S480" s="31"/>
    </row>
    <row r="481">
      <c r="A481" s="37" t="s">
        <v>48</v>
      </c>
      <c r="B481" s="77" t="s">
        <v>133</v>
      </c>
      <c r="C481" s="82" t="s">
        <v>197</v>
      </c>
      <c r="D481" s="64">
        <v>45763.0</v>
      </c>
      <c r="E481" s="64">
        <f t="shared" si="146"/>
        <v>45770</v>
      </c>
      <c r="F481" s="64">
        <f t="shared" si="144"/>
        <v>45791</v>
      </c>
      <c r="G481" s="96" t="s">
        <v>142</v>
      </c>
      <c r="H481" s="68"/>
      <c r="I481" s="69"/>
      <c r="J481" s="44" t="str">
        <f t="shared" si="113"/>
        <v/>
      </c>
      <c r="K481" s="44" t="str">
        <f t="shared" si="114"/>
        <v/>
      </c>
      <c r="L481" s="68">
        <v>60.0</v>
      </c>
      <c r="M481" s="69">
        <v>106.0</v>
      </c>
      <c r="N481" s="44">
        <f t="shared" si="111"/>
        <v>24</v>
      </c>
      <c r="O481" s="44">
        <f t="shared" si="112"/>
        <v>24</v>
      </c>
      <c r="P481" s="70">
        <v>296.0</v>
      </c>
      <c r="Q481" s="71"/>
      <c r="R481" s="71"/>
      <c r="S481" s="31"/>
    </row>
    <row r="482">
      <c r="A482" s="37" t="s">
        <v>48</v>
      </c>
      <c r="B482" s="77" t="s">
        <v>133</v>
      </c>
      <c r="C482" s="82" t="s">
        <v>197</v>
      </c>
      <c r="D482" s="64">
        <v>45763.0</v>
      </c>
      <c r="E482" s="64">
        <f t="shared" si="146"/>
        <v>45770</v>
      </c>
      <c r="F482" s="64">
        <f t="shared" si="144"/>
        <v>45791</v>
      </c>
      <c r="G482" s="96" t="s">
        <v>142</v>
      </c>
      <c r="H482" s="68"/>
      <c r="I482" s="69"/>
      <c r="J482" s="44" t="str">
        <f t="shared" si="113"/>
        <v/>
      </c>
      <c r="K482" s="44" t="str">
        <f t="shared" si="114"/>
        <v/>
      </c>
      <c r="L482" s="68">
        <v>110.0</v>
      </c>
      <c r="M482" s="69">
        <v>156.0</v>
      </c>
      <c r="N482" s="44">
        <f t="shared" si="111"/>
        <v>24</v>
      </c>
      <c r="O482" s="44">
        <f t="shared" si="112"/>
        <v>24</v>
      </c>
      <c r="P482" s="70">
        <v>296.0</v>
      </c>
      <c r="Q482" s="71"/>
      <c r="R482" s="71"/>
      <c r="S482" s="31"/>
    </row>
    <row r="483">
      <c r="A483" s="37" t="s">
        <v>48</v>
      </c>
      <c r="B483" s="77" t="s">
        <v>133</v>
      </c>
      <c r="C483" s="82" t="s">
        <v>197</v>
      </c>
      <c r="D483" s="64">
        <v>45763.0</v>
      </c>
      <c r="E483" s="64">
        <f t="shared" si="146"/>
        <v>45770</v>
      </c>
      <c r="F483" s="64">
        <f t="shared" si="144"/>
        <v>45791</v>
      </c>
      <c r="G483" s="96" t="s">
        <v>142</v>
      </c>
      <c r="H483" s="68"/>
      <c r="I483" s="69"/>
      <c r="J483" s="44" t="str">
        <f t="shared" si="113"/>
        <v/>
      </c>
      <c r="K483" s="44" t="str">
        <f t="shared" si="114"/>
        <v/>
      </c>
      <c r="L483" s="68">
        <v>160.0</v>
      </c>
      <c r="M483" s="69">
        <v>200.0</v>
      </c>
      <c r="N483" s="44">
        <f t="shared" si="111"/>
        <v>21</v>
      </c>
      <c r="O483" s="44">
        <f t="shared" si="112"/>
        <v>21</v>
      </c>
      <c r="P483" s="70">
        <v>296.0</v>
      </c>
      <c r="Q483" s="71"/>
      <c r="R483" s="71"/>
      <c r="S483" s="31"/>
    </row>
    <row r="484">
      <c r="A484" s="37" t="s">
        <v>48</v>
      </c>
      <c r="B484" s="77" t="s">
        <v>133</v>
      </c>
      <c r="C484" s="44"/>
      <c r="D484" s="64">
        <v>45764.0</v>
      </c>
      <c r="E484" s="64">
        <f t="shared" si="146"/>
        <v>45771</v>
      </c>
      <c r="F484" s="64">
        <f t="shared" si="144"/>
        <v>45792</v>
      </c>
      <c r="G484" s="96" t="s">
        <v>191</v>
      </c>
      <c r="H484" s="68"/>
      <c r="I484" s="69"/>
      <c r="J484" s="44" t="str">
        <f t="shared" si="113"/>
        <v/>
      </c>
      <c r="K484" s="44" t="str">
        <f t="shared" si="114"/>
        <v/>
      </c>
      <c r="L484" s="68">
        <v>2.0</v>
      </c>
      <c r="M484" s="69">
        <v>2.0</v>
      </c>
      <c r="N484" s="44">
        <f t="shared" si="111"/>
        <v>1</v>
      </c>
      <c r="O484" s="44">
        <f t="shared" si="112"/>
        <v>1</v>
      </c>
      <c r="P484" s="110">
        <v>297.0</v>
      </c>
      <c r="Q484" s="71"/>
      <c r="R484" s="71"/>
      <c r="S484" s="31"/>
    </row>
    <row r="485">
      <c r="A485" s="37" t="s">
        <v>48</v>
      </c>
      <c r="B485" s="77" t="s">
        <v>133</v>
      </c>
      <c r="C485" s="44"/>
      <c r="D485" s="64">
        <v>45764.0</v>
      </c>
      <c r="E485" s="64">
        <f t="shared" si="146"/>
        <v>45771</v>
      </c>
      <c r="F485" s="64">
        <f t="shared" si="144"/>
        <v>45792</v>
      </c>
      <c r="G485" s="96" t="s">
        <v>191</v>
      </c>
      <c r="H485" s="68">
        <v>211.0</v>
      </c>
      <c r="I485" s="69">
        <v>235.0</v>
      </c>
      <c r="J485" s="44">
        <f t="shared" si="113"/>
        <v>13</v>
      </c>
      <c r="K485" s="44">
        <f t="shared" si="114"/>
        <v>13</v>
      </c>
      <c r="L485" s="68">
        <v>6.0</v>
      </c>
      <c r="M485" s="69">
        <v>52.0</v>
      </c>
      <c r="N485" s="44">
        <f t="shared" si="111"/>
        <v>24</v>
      </c>
      <c r="O485" s="44">
        <f t="shared" si="112"/>
        <v>24</v>
      </c>
      <c r="P485" s="110">
        <v>297.0</v>
      </c>
      <c r="Q485" s="71"/>
      <c r="R485" s="71"/>
      <c r="S485" s="31"/>
    </row>
    <row r="486">
      <c r="A486" s="37" t="s">
        <v>48</v>
      </c>
      <c r="B486" s="77" t="s">
        <v>133</v>
      </c>
      <c r="C486" s="44"/>
      <c r="D486" s="64">
        <v>45764.0</v>
      </c>
      <c r="E486" s="64">
        <f t="shared" si="146"/>
        <v>45771</v>
      </c>
      <c r="F486" s="64">
        <f t="shared" si="144"/>
        <v>45792</v>
      </c>
      <c r="G486" s="96" t="s">
        <v>191</v>
      </c>
      <c r="H486" s="68">
        <v>239.0</v>
      </c>
      <c r="I486" s="69">
        <v>239.0</v>
      </c>
      <c r="J486" s="44">
        <f t="shared" si="113"/>
        <v>1</v>
      </c>
      <c r="K486" s="44">
        <f t="shared" si="114"/>
        <v>1</v>
      </c>
      <c r="L486" s="68">
        <v>56.0</v>
      </c>
      <c r="M486" s="69">
        <v>60.0</v>
      </c>
      <c r="N486" s="44">
        <f t="shared" si="111"/>
        <v>3</v>
      </c>
      <c r="O486" s="44">
        <f t="shared" si="112"/>
        <v>3</v>
      </c>
      <c r="P486" s="110">
        <v>297.0</v>
      </c>
      <c r="Q486" s="71"/>
      <c r="R486" s="71"/>
      <c r="S486" s="31"/>
    </row>
    <row r="487">
      <c r="A487" s="37" t="s">
        <v>48</v>
      </c>
      <c r="B487" s="77" t="s">
        <v>133</v>
      </c>
      <c r="C487" s="44"/>
      <c r="D487" s="64">
        <v>45764.0</v>
      </c>
      <c r="E487" s="64">
        <f t="shared" si="146"/>
        <v>45771</v>
      </c>
      <c r="F487" s="64">
        <f t="shared" si="144"/>
        <v>45792</v>
      </c>
      <c r="G487" s="96" t="s">
        <v>191</v>
      </c>
      <c r="H487" s="68"/>
      <c r="I487" s="69"/>
      <c r="J487" s="44" t="str">
        <f t="shared" si="113"/>
        <v/>
      </c>
      <c r="K487" s="44" t="str">
        <f t="shared" si="114"/>
        <v/>
      </c>
      <c r="L487" s="68">
        <v>150.0</v>
      </c>
      <c r="M487" s="69">
        <v>152.0</v>
      </c>
      <c r="N487" s="44">
        <f t="shared" si="111"/>
        <v>2</v>
      </c>
      <c r="O487" s="44">
        <f t="shared" si="112"/>
        <v>2</v>
      </c>
      <c r="P487" s="110">
        <v>297.0</v>
      </c>
      <c r="Q487" s="71"/>
      <c r="R487" s="71"/>
      <c r="S487" s="31"/>
    </row>
    <row r="488">
      <c r="A488" s="37" t="s">
        <v>48</v>
      </c>
      <c r="B488" s="77" t="s">
        <v>133</v>
      </c>
      <c r="C488" s="44"/>
      <c r="D488" s="64">
        <v>45764.0</v>
      </c>
      <c r="E488" s="64">
        <f t="shared" si="146"/>
        <v>45771</v>
      </c>
      <c r="F488" s="64">
        <f t="shared" si="144"/>
        <v>45792</v>
      </c>
      <c r="G488" s="96" t="s">
        <v>191</v>
      </c>
      <c r="H488" s="68"/>
      <c r="I488" s="69"/>
      <c r="J488" s="44" t="str">
        <f t="shared" si="113"/>
        <v/>
      </c>
      <c r="K488" s="44" t="str">
        <f t="shared" si="114"/>
        <v/>
      </c>
      <c r="L488" s="68">
        <v>156.0</v>
      </c>
      <c r="M488" s="69">
        <v>198.0</v>
      </c>
      <c r="N488" s="44">
        <f t="shared" si="111"/>
        <v>22</v>
      </c>
      <c r="O488" s="44">
        <f t="shared" si="112"/>
        <v>22</v>
      </c>
      <c r="P488" s="110">
        <v>297.0</v>
      </c>
      <c r="Q488" s="71"/>
      <c r="R488" s="71"/>
      <c r="S488" s="31"/>
    </row>
    <row r="489">
      <c r="A489" s="37" t="s">
        <v>48</v>
      </c>
      <c r="B489" s="77" t="s">
        <v>133</v>
      </c>
      <c r="C489" s="44"/>
      <c r="D489" s="64">
        <v>45764.0</v>
      </c>
      <c r="E489" s="64">
        <f t="shared" ref="E489:E491" si="147">D489+7</f>
        <v>45771</v>
      </c>
      <c r="F489" s="64">
        <f t="shared" si="144"/>
        <v>45792</v>
      </c>
      <c r="G489" s="96" t="s">
        <v>196</v>
      </c>
      <c r="H489" s="68">
        <v>207.0</v>
      </c>
      <c r="I489" s="69">
        <v>301.0</v>
      </c>
      <c r="J489" s="44">
        <f t="shared" si="113"/>
        <v>48</v>
      </c>
      <c r="K489" s="44">
        <f t="shared" si="114"/>
        <v>48</v>
      </c>
      <c r="L489" s="68">
        <v>126.0</v>
      </c>
      <c r="M489" s="69">
        <v>148.0</v>
      </c>
      <c r="N489" s="44">
        <f t="shared" si="111"/>
        <v>12</v>
      </c>
      <c r="O489" s="44">
        <f t="shared" si="112"/>
        <v>12</v>
      </c>
      <c r="P489" s="110">
        <v>298.0</v>
      </c>
      <c r="Q489" s="71"/>
      <c r="R489" s="71"/>
      <c r="S489" s="31"/>
    </row>
    <row r="490">
      <c r="A490" s="37" t="s">
        <v>48</v>
      </c>
      <c r="B490" s="77" t="s">
        <v>133</v>
      </c>
      <c r="C490" s="44"/>
      <c r="D490" s="64">
        <v>45764.0</v>
      </c>
      <c r="E490" s="64">
        <f t="shared" si="147"/>
        <v>45771</v>
      </c>
      <c r="F490" s="64">
        <f t="shared" si="144"/>
        <v>45792</v>
      </c>
      <c r="G490" s="96" t="s">
        <v>196</v>
      </c>
      <c r="H490" s="68"/>
      <c r="I490" s="69"/>
      <c r="J490" s="44" t="str">
        <f t="shared" si="113"/>
        <v/>
      </c>
      <c r="K490" s="44" t="str">
        <f t="shared" si="114"/>
        <v/>
      </c>
      <c r="L490" s="68">
        <v>152.0</v>
      </c>
      <c r="M490" s="69">
        <v>198.0</v>
      </c>
      <c r="N490" s="44">
        <f t="shared" si="111"/>
        <v>24</v>
      </c>
      <c r="O490" s="44">
        <f t="shared" si="112"/>
        <v>24</v>
      </c>
      <c r="P490" s="110">
        <v>298.0</v>
      </c>
      <c r="Q490" s="71"/>
      <c r="R490" s="71"/>
      <c r="S490" s="31"/>
    </row>
    <row r="491">
      <c r="A491" s="37" t="s">
        <v>48</v>
      </c>
      <c r="B491" s="77" t="s">
        <v>133</v>
      </c>
      <c r="C491" s="44"/>
      <c r="D491" s="64">
        <v>45764.0</v>
      </c>
      <c r="E491" s="64">
        <f t="shared" si="147"/>
        <v>45771</v>
      </c>
      <c r="F491" s="64">
        <f t="shared" si="144"/>
        <v>45792</v>
      </c>
      <c r="G491" s="96" t="s">
        <v>196</v>
      </c>
      <c r="H491" s="68"/>
      <c r="I491" s="69"/>
      <c r="J491" s="44" t="str">
        <f t="shared" si="113"/>
        <v/>
      </c>
      <c r="K491" s="44" t="str">
        <f t="shared" si="114"/>
        <v/>
      </c>
      <c r="L491" s="68">
        <v>202.0</v>
      </c>
      <c r="M491" s="69">
        <v>208.0</v>
      </c>
      <c r="N491" s="44">
        <f t="shared" si="111"/>
        <v>4</v>
      </c>
      <c r="O491" s="44">
        <f t="shared" si="112"/>
        <v>4</v>
      </c>
      <c r="P491" s="110">
        <v>298.0</v>
      </c>
      <c r="Q491" s="71"/>
      <c r="R491" s="71"/>
      <c r="S491" s="31"/>
    </row>
    <row r="492">
      <c r="A492" s="37" t="s">
        <v>48</v>
      </c>
      <c r="B492" s="77" t="s">
        <v>133</v>
      </c>
      <c r="C492" s="44"/>
      <c r="D492" s="64">
        <v>45764.0</v>
      </c>
      <c r="E492" s="64">
        <f t="shared" ref="E492:E493" si="148">D492+7</f>
        <v>45771</v>
      </c>
      <c r="F492" s="64">
        <f t="shared" si="144"/>
        <v>45792</v>
      </c>
      <c r="G492" s="96" t="s">
        <v>142</v>
      </c>
      <c r="H492" s="68"/>
      <c r="I492" s="69"/>
      <c r="J492" s="44" t="str">
        <f t="shared" si="113"/>
        <v/>
      </c>
      <c r="K492" s="44" t="str">
        <f t="shared" si="114"/>
        <v/>
      </c>
      <c r="L492" s="68">
        <v>202.0</v>
      </c>
      <c r="M492" s="69">
        <v>312.0</v>
      </c>
      <c r="N492" s="44">
        <f t="shared" si="111"/>
        <v>56</v>
      </c>
      <c r="O492" s="44">
        <f t="shared" si="112"/>
        <v>56</v>
      </c>
      <c r="P492" s="110">
        <v>299.0</v>
      </c>
      <c r="Q492" s="71"/>
      <c r="R492" s="71"/>
      <c r="S492" s="31"/>
    </row>
    <row r="493">
      <c r="A493" s="37" t="s">
        <v>48</v>
      </c>
      <c r="B493" s="77" t="s">
        <v>133</v>
      </c>
      <c r="C493" s="44"/>
      <c r="D493" s="64">
        <v>45764.0</v>
      </c>
      <c r="E493" s="64">
        <f t="shared" si="148"/>
        <v>45771</v>
      </c>
      <c r="F493" s="64">
        <f t="shared" si="144"/>
        <v>45792</v>
      </c>
      <c r="G493" s="96" t="s">
        <v>165</v>
      </c>
      <c r="H493" s="68"/>
      <c r="I493" s="69"/>
      <c r="J493" s="44" t="str">
        <f t="shared" si="113"/>
        <v/>
      </c>
      <c r="K493" s="44" t="str">
        <f t="shared" si="114"/>
        <v/>
      </c>
      <c r="L493" s="68">
        <v>206.0</v>
      </c>
      <c r="M493" s="69">
        <v>308.0</v>
      </c>
      <c r="N493" s="44">
        <f t="shared" si="111"/>
        <v>52</v>
      </c>
      <c r="O493" s="44">
        <f t="shared" si="112"/>
        <v>52</v>
      </c>
      <c r="P493" s="110">
        <v>299.0</v>
      </c>
      <c r="Q493" s="71"/>
      <c r="R493" s="71"/>
      <c r="S493" s="31"/>
    </row>
    <row r="494">
      <c r="A494" s="37" t="s">
        <v>48</v>
      </c>
      <c r="B494" s="77" t="s">
        <v>133</v>
      </c>
      <c r="C494" s="44"/>
      <c r="D494" s="64">
        <v>45766.0</v>
      </c>
      <c r="E494" s="64">
        <f t="shared" ref="E494:E560" si="149">D494+7</f>
        <v>45773</v>
      </c>
      <c r="F494" s="64">
        <f t="shared" si="144"/>
        <v>45794</v>
      </c>
      <c r="G494" s="96" t="s">
        <v>196</v>
      </c>
      <c r="H494" s="68"/>
      <c r="I494" s="69"/>
      <c r="J494" s="44" t="str">
        <f t="shared" si="113"/>
        <v/>
      </c>
      <c r="K494" s="44" t="str">
        <f t="shared" si="114"/>
        <v/>
      </c>
      <c r="L494" s="68">
        <v>210.0</v>
      </c>
      <c r="M494" s="69">
        <v>248.0</v>
      </c>
      <c r="N494" s="44">
        <f t="shared" si="111"/>
        <v>20</v>
      </c>
      <c r="O494" s="44">
        <f t="shared" si="112"/>
        <v>20</v>
      </c>
      <c r="P494" s="110">
        <v>300.0</v>
      </c>
      <c r="Q494" s="71"/>
      <c r="R494" s="71"/>
      <c r="S494" s="31"/>
    </row>
    <row r="495">
      <c r="A495" s="37" t="s">
        <v>48</v>
      </c>
      <c r="B495" s="81" t="s">
        <v>133</v>
      </c>
      <c r="C495" s="82"/>
      <c r="D495" s="64">
        <v>45766.0</v>
      </c>
      <c r="E495" s="64">
        <f t="shared" si="149"/>
        <v>45773</v>
      </c>
      <c r="F495" s="64">
        <f t="shared" si="144"/>
        <v>45794</v>
      </c>
      <c r="G495" s="96" t="s">
        <v>196</v>
      </c>
      <c r="H495" s="68"/>
      <c r="I495" s="69"/>
      <c r="J495" s="44" t="str">
        <f t="shared" si="113"/>
        <v/>
      </c>
      <c r="K495" s="44" t="str">
        <f t="shared" si="114"/>
        <v/>
      </c>
      <c r="L495" s="68">
        <v>252.0</v>
      </c>
      <c r="M495" s="69">
        <v>296.0</v>
      </c>
      <c r="N495" s="44">
        <f t="shared" si="111"/>
        <v>23</v>
      </c>
      <c r="O495" s="44">
        <f t="shared" si="112"/>
        <v>23</v>
      </c>
      <c r="P495" s="110">
        <v>300.0</v>
      </c>
      <c r="Q495" s="71"/>
      <c r="R495" s="71"/>
      <c r="S495" s="31"/>
    </row>
    <row r="496">
      <c r="A496" s="37" t="s">
        <v>48</v>
      </c>
      <c r="B496" s="77" t="s">
        <v>133</v>
      </c>
      <c r="C496" s="44"/>
      <c r="D496" s="64">
        <v>45766.0</v>
      </c>
      <c r="E496" s="64">
        <f t="shared" si="149"/>
        <v>45773</v>
      </c>
      <c r="F496" s="64">
        <f t="shared" si="144"/>
        <v>45794</v>
      </c>
      <c r="G496" s="96" t="s">
        <v>196</v>
      </c>
      <c r="H496" s="68"/>
      <c r="I496" s="69"/>
      <c r="J496" s="44" t="str">
        <f t="shared" si="113"/>
        <v/>
      </c>
      <c r="K496" s="44" t="str">
        <f t="shared" si="114"/>
        <v/>
      </c>
      <c r="L496" s="68">
        <v>300.0</v>
      </c>
      <c r="M496" s="69">
        <v>300.0</v>
      </c>
      <c r="N496" s="44">
        <f t="shared" si="111"/>
        <v>1</v>
      </c>
      <c r="O496" s="44">
        <f t="shared" si="112"/>
        <v>1</v>
      </c>
      <c r="P496" s="110">
        <v>300.0</v>
      </c>
      <c r="Q496" s="71"/>
      <c r="R496" s="71"/>
      <c r="S496" s="31"/>
    </row>
    <row r="497">
      <c r="A497" s="37" t="s">
        <v>48</v>
      </c>
      <c r="B497" s="77" t="s">
        <v>133</v>
      </c>
      <c r="C497" s="44"/>
      <c r="D497" s="64">
        <v>45766.0</v>
      </c>
      <c r="E497" s="64">
        <f t="shared" si="149"/>
        <v>45773</v>
      </c>
      <c r="F497" s="64">
        <f t="shared" si="144"/>
        <v>45794</v>
      </c>
      <c r="G497" s="96" t="s">
        <v>177</v>
      </c>
      <c r="H497" s="68">
        <v>183.0</v>
      </c>
      <c r="I497" s="69">
        <v>241.0</v>
      </c>
      <c r="J497" s="44">
        <f t="shared" si="113"/>
        <v>30</v>
      </c>
      <c r="K497" s="44">
        <f t="shared" si="114"/>
        <v>30</v>
      </c>
      <c r="L497" s="68">
        <v>244.0</v>
      </c>
      <c r="M497" s="69">
        <v>298.0</v>
      </c>
      <c r="N497" s="44">
        <f t="shared" si="111"/>
        <v>28</v>
      </c>
      <c r="O497" s="44">
        <f t="shared" si="112"/>
        <v>28</v>
      </c>
      <c r="P497" s="110">
        <v>300.0</v>
      </c>
      <c r="Q497" s="71"/>
      <c r="R497" s="71"/>
      <c r="S497" s="31"/>
    </row>
    <row r="498">
      <c r="A498" s="37" t="s">
        <v>48</v>
      </c>
      <c r="B498" s="81" t="s">
        <v>198</v>
      </c>
      <c r="C498" s="82" t="s">
        <v>199</v>
      </c>
      <c r="D498" s="64">
        <v>45767.0</v>
      </c>
      <c r="E498" s="64">
        <f t="shared" si="149"/>
        <v>45774</v>
      </c>
      <c r="F498" s="64">
        <f t="shared" si="144"/>
        <v>45795</v>
      </c>
      <c r="G498" s="96" t="s">
        <v>200</v>
      </c>
      <c r="H498" s="68"/>
      <c r="I498" s="69"/>
      <c r="J498" s="44" t="str">
        <f t="shared" si="113"/>
        <v/>
      </c>
      <c r="K498" s="44" t="str">
        <f t="shared" si="114"/>
        <v/>
      </c>
      <c r="L498" s="68">
        <v>2.0</v>
      </c>
      <c r="M498" s="69">
        <v>12.0</v>
      </c>
      <c r="N498" s="44">
        <f t="shared" si="111"/>
        <v>6</v>
      </c>
      <c r="O498" s="44">
        <f t="shared" si="112"/>
        <v>6</v>
      </c>
      <c r="P498" s="70">
        <v>301.0</v>
      </c>
      <c r="Q498" s="71"/>
      <c r="R498" s="71"/>
      <c r="S498" s="31"/>
    </row>
    <row r="499">
      <c r="A499" s="37" t="s">
        <v>48</v>
      </c>
      <c r="B499" s="81" t="s">
        <v>198</v>
      </c>
      <c r="C499" s="82" t="s">
        <v>199</v>
      </c>
      <c r="D499" s="64">
        <v>45767.0</v>
      </c>
      <c r="E499" s="64">
        <f t="shared" si="149"/>
        <v>45774</v>
      </c>
      <c r="F499" s="64">
        <f t="shared" si="144"/>
        <v>45795</v>
      </c>
      <c r="G499" s="96" t="s">
        <v>144</v>
      </c>
      <c r="H499" s="68">
        <v>171.0</v>
      </c>
      <c r="I499" s="69">
        <v>199.0</v>
      </c>
      <c r="J499" s="44">
        <f t="shared" si="113"/>
        <v>15</v>
      </c>
      <c r="K499" s="44">
        <f t="shared" si="114"/>
        <v>15</v>
      </c>
      <c r="L499" s="68">
        <v>202.0</v>
      </c>
      <c r="M499" s="69">
        <v>204.0</v>
      </c>
      <c r="N499" s="44">
        <f t="shared" si="111"/>
        <v>2</v>
      </c>
      <c r="O499" s="44">
        <f t="shared" si="112"/>
        <v>2</v>
      </c>
      <c r="P499" s="70">
        <v>301.0</v>
      </c>
      <c r="Q499" s="71"/>
      <c r="R499" s="71"/>
      <c r="S499" s="31"/>
    </row>
    <row r="500">
      <c r="A500" s="37" t="s">
        <v>48</v>
      </c>
      <c r="B500" s="81" t="s">
        <v>198</v>
      </c>
      <c r="C500" s="82" t="s">
        <v>199</v>
      </c>
      <c r="D500" s="64">
        <v>45767.0</v>
      </c>
      <c r="E500" s="64">
        <f t="shared" si="149"/>
        <v>45774</v>
      </c>
      <c r="F500" s="64">
        <f t="shared" si="144"/>
        <v>45795</v>
      </c>
      <c r="G500" s="96" t="s">
        <v>144</v>
      </c>
      <c r="H500" s="68">
        <v>201.0</v>
      </c>
      <c r="I500" s="69">
        <v>201.0</v>
      </c>
      <c r="J500" s="44">
        <f t="shared" si="113"/>
        <v>1</v>
      </c>
      <c r="K500" s="44">
        <f t="shared" si="114"/>
        <v>1</v>
      </c>
      <c r="L500" s="68">
        <v>208.0</v>
      </c>
      <c r="M500" s="69">
        <v>214.0</v>
      </c>
      <c r="N500" s="44">
        <f t="shared" si="111"/>
        <v>4</v>
      </c>
      <c r="O500" s="44">
        <f t="shared" si="112"/>
        <v>4</v>
      </c>
      <c r="P500" s="70">
        <v>301.0</v>
      </c>
      <c r="Q500" s="71"/>
      <c r="R500" s="71"/>
      <c r="S500" s="31"/>
    </row>
    <row r="501">
      <c r="A501" s="37" t="s">
        <v>48</v>
      </c>
      <c r="B501" s="81" t="s">
        <v>198</v>
      </c>
      <c r="C501" s="82" t="s">
        <v>199</v>
      </c>
      <c r="D501" s="64">
        <v>45767.0</v>
      </c>
      <c r="E501" s="64">
        <f t="shared" si="149"/>
        <v>45774</v>
      </c>
      <c r="F501" s="64">
        <f t="shared" si="144"/>
        <v>45795</v>
      </c>
      <c r="G501" s="96" t="s">
        <v>144</v>
      </c>
      <c r="H501" s="68">
        <v>217.0</v>
      </c>
      <c r="I501" s="69">
        <v>257.0</v>
      </c>
      <c r="J501" s="44">
        <f t="shared" si="113"/>
        <v>21</v>
      </c>
      <c r="K501" s="44">
        <f t="shared" si="114"/>
        <v>21</v>
      </c>
      <c r="L501" s="68"/>
      <c r="M501" s="69"/>
      <c r="N501" s="44" t="str">
        <f t="shared" si="111"/>
        <v/>
      </c>
      <c r="O501" s="44" t="str">
        <f t="shared" si="112"/>
        <v/>
      </c>
      <c r="P501" s="70">
        <v>301.0</v>
      </c>
      <c r="Q501" s="71"/>
      <c r="R501" s="71"/>
      <c r="S501" s="31"/>
    </row>
    <row r="502">
      <c r="A502" s="37" t="s">
        <v>48</v>
      </c>
      <c r="B502" s="81" t="s">
        <v>198</v>
      </c>
      <c r="C502" s="82" t="s">
        <v>199</v>
      </c>
      <c r="D502" s="64">
        <v>45767.0</v>
      </c>
      <c r="E502" s="64">
        <f t="shared" si="149"/>
        <v>45774</v>
      </c>
      <c r="F502" s="64">
        <f t="shared" si="144"/>
        <v>45795</v>
      </c>
      <c r="G502" s="96" t="s">
        <v>144</v>
      </c>
      <c r="H502" s="68">
        <v>259.0</v>
      </c>
      <c r="I502" s="69">
        <v>305.0</v>
      </c>
      <c r="J502" s="44">
        <f t="shared" si="113"/>
        <v>24</v>
      </c>
      <c r="K502" s="44">
        <f t="shared" si="114"/>
        <v>24</v>
      </c>
      <c r="L502" s="68"/>
      <c r="M502" s="69"/>
      <c r="N502" s="44" t="str">
        <f t="shared" si="111"/>
        <v/>
      </c>
      <c r="O502" s="44" t="str">
        <f t="shared" si="112"/>
        <v/>
      </c>
      <c r="P502" s="70">
        <v>301.0</v>
      </c>
      <c r="Q502" s="71"/>
      <c r="R502" s="71"/>
      <c r="S502" s="31"/>
    </row>
    <row r="503">
      <c r="A503" s="37" t="s">
        <v>48</v>
      </c>
      <c r="B503" s="81" t="s">
        <v>198</v>
      </c>
      <c r="C503" s="82" t="s">
        <v>199</v>
      </c>
      <c r="D503" s="64">
        <v>45767.0</v>
      </c>
      <c r="E503" s="64">
        <f t="shared" si="149"/>
        <v>45774</v>
      </c>
      <c r="F503" s="64">
        <f t="shared" si="144"/>
        <v>45795</v>
      </c>
      <c r="G503" s="96" t="s">
        <v>144</v>
      </c>
      <c r="H503" s="68">
        <v>215.0</v>
      </c>
      <c r="I503" s="69">
        <v>215.0</v>
      </c>
      <c r="J503" s="44">
        <f t="shared" si="113"/>
        <v>1</v>
      </c>
      <c r="K503" s="44">
        <f t="shared" si="114"/>
        <v>1</v>
      </c>
      <c r="L503" s="68"/>
      <c r="M503" s="69"/>
      <c r="N503" s="44" t="str">
        <f t="shared" si="111"/>
        <v/>
      </c>
      <c r="O503" s="44" t="str">
        <f t="shared" si="112"/>
        <v/>
      </c>
      <c r="P503" s="70">
        <v>301.0</v>
      </c>
      <c r="Q503" s="71"/>
      <c r="R503" s="71"/>
      <c r="S503" s="31"/>
    </row>
    <row r="504">
      <c r="A504" s="37" t="s">
        <v>48</v>
      </c>
      <c r="B504" s="81" t="s">
        <v>198</v>
      </c>
      <c r="C504" s="82" t="s">
        <v>201</v>
      </c>
      <c r="D504" s="64">
        <v>45767.0</v>
      </c>
      <c r="E504" s="64">
        <f t="shared" si="149"/>
        <v>45774</v>
      </c>
      <c r="F504" s="64">
        <f t="shared" si="144"/>
        <v>45795</v>
      </c>
      <c r="G504" s="96" t="s">
        <v>177</v>
      </c>
      <c r="H504" s="68">
        <v>243.0</v>
      </c>
      <c r="I504" s="69">
        <v>247.0</v>
      </c>
      <c r="J504" s="44">
        <f t="shared" si="113"/>
        <v>3</v>
      </c>
      <c r="K504" s="44">
        <f t="shared" si="114"/>
        <v>3</v>
      </c>
      <c r="L504" s="68">
        <v>184.0</v>
      </c>
      <c r="M504" s="69">
        <v>196.0</v>
      </c>
      <c r="N504" s="44">
        <f t="shared" si="111"/>
        <v>7</v>
      </c>
      <c r="O504" s="44">
        <f t="shared" si="112"/>
        <v>7</v>
      </c>
      <c r="P504" s="70">
        <v>302.0</v>
      </c>
      <c r="Q504" s="71"/>
      <c r="R504" s="71"/>
      <c r="S504" s="31"/>
    </row>
    <row r="505">
      <c r="A505" s="37" t="s">
        <v>48</v>
      </c>
      <c r="B505" s="81" t="s">
        <v>198</v>
      </c>
      <c r="C505" s="82" t="s">
        <v>201</v>
      </c>
      <c r="D505" s="64">
        <v>45767.0</v>
      </c>
      <c r="E505" s="64">
        <f t="shared" si="149"/>
        <v>45774</v>
      </c>
      <c r="F505" s="64">
        <f t="shared" si="144"/>
        <v>45795</v>
      </c>
      <c r="G505" s="96" t="s">
        <v>177</v>
      </c>
      <c r="H505" s="68">
        <v>251.0</v>
      </c>
      <c r="I505" s="69">
        <v>295.0</v>
      </c>
      <c r="J505" s="44">
        <f t="shared" si="113"/>
        <v>23</v>
      </c>
      <c r="K505" s="44">
        <f t="shared" si="114"/>
        <v>23</v>
      </c>
      <c r="L505" s="68">
        <v>200.0</v>
      </c>
      <c r="M505" s="69">
        <v>242.0</v>
      </c>
      <c r="N505" s="44">
        <f t="shared" si="111"/>
        <v>22</v>
      </c>
      <c r="O505" s="44">
        <f t="shared" si="112"/>
        <v>22</v>
      </c>
      <c r="P505" s="70">
        <v>302.0</v>
      </c>
      <c r="Q505" s="71"/>
      <c r="R505" s="71"/>
      <c r="S505" s="31"/>
    </row>
    <row r="506">
      <c r="A506" s="37" t="s">
        <v>48</v>
      </c>
      <c r="B506" s="81" t="s">
        <v>198</v>
      </c>
      <c r="C506" s="82" t="s">
        <v>201</v>
      </c>
      <c r="D506" s="64">
        <v>45767.0</v>
      </c>
      <c r="E506" s="64">
        <f t="shared" si="149"/>
        <v>45774</v>
      </c>
      <c r="F506" s="64">
        <f t="shared" si="144"/>
        <v>45795</v>
      </c>
      <c r="G506" s="96" t="s">
        <v>177</v>
      </c>
      <c r="H506" s="68">
        <v>299.0</v>
      </c>
      <c r="I506" s="69">
        <v>299.0</v>
      </c>
      <c r="J506" s="44">
        <f t="shared" si="113"/>
        <v>1</v>
      </c>
      <c r="K506" s="44">
        <f t="shared" si="114"/>
        <v>1</v>
      </c>
      <c r="L506" s="68"/>
      <c r="M506" s="69"/>
      <c r="N506" s="44" t="str">
        <f t="shared" si="111"/>
        <v/>
      </c>
      <c r="O506" s="44" t="str">
        <f t="shared" si="112"/>
        <v/>
      </c>
      <c r="P506" s="70">
        <v>302.0</v>
      </c>
      <c r="Q506" s="71"/>
      <c r="R506" s="71"/>
      <c r="S506" s="31"/>
    </row>
    <row r="507">
      <c r="A507" s="37" t="s">
        <v>48</v>
      </c>
      <c r="B507" s="81" t="s">
        <v>198</v>
      </c>
      <c r="C507" s="82" t="s">
        <v>202</v>
      </c>
      <c r="D507" s="64">
        <v>45768.0</v>
      </c>
      <c r="E507" s="64">
        <f t="shared" si="149"/>
        <v>45775</v>
      </c>
      <c r="F507" s="64">
        <f t="shared" si="144"/>
        <v>45796</v>
      </c>
      <c r="G507" s="96" t="s">
        <v>200</v>
      </c>
      <c r="H507" s="68">
        <v>49.0</v>
      </c>
      <c r="I507" s="69">
        <v>81.0</v>
      </c>
      <c r="J507" s="44">
        <f t="shared" si="113"/>
        <v>17</v>
      </c>
      <c r="K507" s="44">
        <f t="shared" si="114"/>
        <v>17</v>
      </c>
      <c r="L507" s="68">
        <v>14.0</v>
      </c>
      <c r="M507" s="69">
        <v>46.0</v>
      </c>
      <c r="N507" s="44">
        <f t="shared" si="111"/>
        <v>17</v>
      </c>
      <c r="O507" s="44">
        <f t="shared" si="112"/>
        <v>17</v>
      </c>
      <c r="P507" s="70">
        <v>303.0</v>
      </c>
      <c r="Q507" s="71"/>
      <c r="R507" s="71"/>
      <c r="S507" s="31"/>
    </row>
    <row r="508">
      <c r="A508" s="37" t="s">
        <v>48</v>
      </c>
      <c r="B508" s="81" t="s">
        <v>198</v>
      </c>
      <c r="C508" s="82" t="s">
        <v>202</v>
      </c>
      <c r="D508" s="64">
        <v>45768.0</v>
      </c>
      <c r="E508" s="64">
        <f t="shared" si="149"/>
        <v>45775</v>
      </c>
      <c r="F508" s="64">
        <f t="shared" si="144"/>
        <v>45796</v>
      </c>
      <c r="G508" s="96" t="s">
        <v>157</v>
      </c>
      <c r="H508" s="68">
        <v>219.0</v>
      </c>
      <c r="I508" s="69">
        <v>281.0</v>
      </c>
      <c r="J508" s="44">
        <f t="shared" si="113"/>
        <v>32</v>
      </c>
      <c r="K508" s="44">
        <f t="shared" si="114"/>
        <v>32</v>
      </c>
      <c r="L508" s="68"/>
      <c r="M508" s="69"/>
      <c r="N508" s="44" t="str">
        <f t="shared" si="111"/>
        <v/>
      </c>
      <c r="O508" s="44" t="str">
        <f t="shared" si="112"/>
        <v/>
      </c>
      <c r="P508" s="70">
        <v>303.0</v>
      </c>
      <c r="Q508" s="71"/>
      <c r="R508" s="71"/>
      <c r="S508" s="31"/>
    </row>
    <row r="509">
      <c r="A509" s="37" t="s">
        <v>48</v>
      </c>
      <c r="B509" s="81" t="s">
        <v>198</v>
      </c>
      <c r="C509" s="82" t="s">
        <v>203</v>
      </c>
      <c r="D509" s="64">
        <v>45768.0</v>
      </c>
      <c r="E509" s="64">
        <f t="shared" si="149"/>
        <v>45775</v>
      </c>
      <c r="F509" s="64">
        <f t="shared" si="144"/>
        <v>45796</v>
      </c>
      <c r="G509" s="96" t="s">
        <v>204</v>
      </c>
      <c r="H509" s="68">
        <v>1.0</v>
      </c>
      <c r="I509" s="69">
        <v>245.0</v>
      </c>
      <c r="J509" s="44">
        <f t="shared" si="113"/>
        <v>123</v>
      </c>
      <c r="K509" s="44">
        <f t="shared" si="114"/>
        <v>123</v>
      </c>
      <c r="L509" s="68"/>
      <c r="M509" s="69"/>
      <c r="N509" s="44" t="str">
        <f t="shared" si="111"/>
        <v/>
      </c>
      <c r="O509" s="44" t="str">
        <f t="shared" si="112"/>
        <v/>
      </c>
      <c r="P509" s="70">
        <v>304.0</v>
      </c>
      <c r="Q509" s="71"/>
      <c r="R509" s="71"/>
      <c r="S509" s="31"/>
    </row>
    <row r="510">
      <c r="A510" s="31"/>
      <c r="B510" s="81" t="s">
        <v>198</v>
      </c>
      <c r="C510" s="44"/>
      <c r="D510" s="64">
        <v>45768.0</v>
      </c>
      <c r="E510" s="64">
        <f t="shared" si="149"/>
        <v>45775</v>
      </c>
      <c r="F510" s="64">
        <f t="shared" ref="F510:F511" si="150">D510+28</f>
        <v>45796</v>
      </c>
      <c r="G510" s="80" t="s">
        <v>99</v>
      </c>
      <c r="H510" s="68"/>
      <c r="I510" s="69"/>
      <c r="J510" s="44" t="str">
        <f t="shared" si="113"/>
        <v/>
      </c>
      <c r="K510" s="44" t="str">
        <f t="shared" si="114"/>
        <v/>
      </c>
      <c r="L510" s="68">
        <v>2408.0</v>
      </c>
      <c r="M510" s="69">
        <v>2440.0</v>
      </c>
      <c r="N510" s="44">
        <f t="shared" si="111"/>
        <v>17</v>
      </c>
      <c r="O510" s="44">
        <f t="shared" si="112"/>
        <v>17</v>
      </c>
      <c r="P510" s="110">
        <v>305.0</v>
      </c>
      <c r="Q510" s="88"/>
      <c r="R510" s="88"/>
      <c r="S510" s="31"/>
    </row>
    <row r="511">
      <c r="A511" s="31"/>
      <c r="B511" s="81" t="s">
        <v>198</v>
      </c>
      <c r="C511" s="44"/>
      <c r="D511" s="64">
        <v>45768.0</v>
      </c>
      <c r="E511" s="64">
        <f t="shared" si="149"/>
        <v>45775</v>
      </c>
      <c r="F511" s="64">
        <f t="shared" si="150"/>
        <v>45796</v>
      </c>
      <c r="G511" s="80" t="s">
        <v>99</v>
      </c>
      <c r="H511" s="68"/>
      <c r="I511" s="69"/>
      <c r="J511" s="44" t="str">
        <f t="shared" si="113"/>
        <v/>
      </c>
      <c r="K511" s="44" t="str">
        <f t="shared" si="114"/>
        <v/>
      </c>
      <c r="L511" s="68">
        <v>2448.0</v>
      </c>
      <c r="M511" s="69">
        <v>2460.0</v>
      </c>
      <c r="N511" s="44">
        <f t="shared" si="111"/>
        <v>7</v>
      </c>
      <c r="O511" s="44">
        <f t="shared" si="112"/>
        <v>7</v>
      </c>
      <c r="P511" s="110">
        <v>305.0</v>
      </c>
      <c r="Q511" s="88"/>
      <c r="R511" s="88"/>
      <c r="S511" s="31"/>
    </row>
    <row r="512">
      <c r="A512" s="31"/>
      <c r="B512" s="81" t="s">
        <v>198</v>
      </c>
      <c r="C512" s="44"/>
      <c r="D512" s="64">
        <v>45769.0</v>
      </c>
      <c r="E512" s="64">
        <f t="shared" si="149"/>
        <v>45776</v>
      </c>
      <c r="F512" s="64">
        <f t="shared" ref="F512:F516" si="151">D512+28</f>
        <v>45797</v>
      </c>
      <c r="G512" s="96" t="s">
        <v>204</v>
      </c>
      <c r="H512" s="68">
        <v>247.0</v>
      </c>
      <c r="I512" s="69">
        <v>307.0</v>
      </c>
      <c r="J512" s="44">
        <f t="shared" si="113"/>
        <v>31</v>
      </c>
      <c r="K512" s="44">
        <f t="shared" si="114"/>
        <v>31</v>
      </c>
      <c r="L512" s="68">
        <v>2.0</v>
      </c>
      <c r="M512" s="69">
        <v>58.0</v>
      </c>
      <c r="N512" s="44">
        <f t="shared" si="111"/>
        <v>29</v>
      </c>
      <c r="O512" s="44">
        <f t="shared" si="112"/>
        <v>29</v>
      </c>
      <c r="P512" s="110">
        <v>306.0</v>
      </c>
      <c r="Q512" s="71"/>
      <c r="R512" s="71"/>
      <c r="S512" s="31"/>
    </row>
    <row r="513">
      <c r="A513" s="31"/>
      <c r="B513" s="81" t="s">
        <v>198</v>
      </c>
      <c r="C513" s="44"/>
      <c r="D513" s="64">
        <v>45769.0</v>
      </c>
      <c r="E513" s="64">
        <f t="shared" si="149"/>
        <v>45776</v>
      </c>
      <c r="F513" s="64">
        <f t="shared" si="151"/>
        <v>45797</v>
      </c>
      <c r="G513" s="96" t="s">
        <v>204</v>
      </c>
      <c r="H513" s="68"/>
      <c r="I513" s="69"/>
      <c r="J513" s="44" t="str">
        <f t="shared" si="113"/>
        <v/>
      </c>
      <c r="K513" s="44" t="str">
        <f t="shared" si="114"/>
        <v/>
      </c>
      <c r="L513" s="68">
        <v>62.0</v>
      </c>
      <c r="M513" s="69">
        <v>106.0</v>
      </c>
      <c r="N513" s="44">
        <f t="shared" si="111"/>
        <v>23</v>
      </c>
      <c r="O513" s="44">
        <f t="shared" si="112"/>
        <v>23</v>
      </c>
      <c r="P513" s="110">
        <v>306.0</v>
      </c>
      <c r="Q513" s="71"/>
      <c r="R513" s="71"/>
      <c r="S513" s="31"/>
    </row>
    <row r="514">
      <c r="A514" s="31"/>
      <c r="B514" s="81" t="s">
        <v>198</v>
      </c>
      <c r="C514" s="44"/>
      <c r="D514" s="64">
        <v>45769.0</v>
      </c>
      <c r="E514" s="64">
        <f t="shared" si="149"/>
        <v>45776</v>
      </c>
      <c r="F514" s="64">
        <f t="shared" si="151"/>
        <v>45797</v>
      </c>
      <c r="G514" s="96" t="s">
        <v>204</v>
      </c>
      <c r="H514" s="68"/>
      <c r="I514" s="69"/>
      <c r="J514" s="44" t="str">
        <f t="shared" si="113"/>
        <v/>
      </c>
      <c r="K514" s="44" t="str">
        <f t="shared" si="114"/>
        <v/>
      </c>
      <c r="L514" s="68">
        <v>110.0</v>
      </c>
      <c r="M514" s="69">
        <v>156.0</v>
      </c>
      <c r="N514" s="44">
        <f t="shared" si="111"/>
        <v>24</v>
      </c>
      <c r="O514" s="44">
        <f t="shared" si="112"/>
        <v>24</v>
      </c>
      <c r="P514" s="110">
        <v>306.0</v>
      </c>
      <c r="Q514" s="71"/>
      <c r="R514" s="71"/>
      <c r="S514" s="31"/>
    </row>
    <row r="515">
      <c r="A515" s="31"/>
      <c r="B515" s="81" t="s">
        <v>198</v>
      </c>
      <c r="C515" s="44"/>
      <c r="D515" s="64">
        <v>45769.0</v>
      </c>
      <c r="E515" s="64">
        <f t="shared" si="149"/>
        <v>45776</v>
      </c>
      <c r="F515" s="64">
        <f t="shared" si="151"/>
        <v>45797</v>
      </c>
      <c r="G515" s="96" t="s">
        <v>204</v>
      </c>
      <c r="H515" s="68"/>
      <c r="I515" s="69"/>
      <c r="J515" s="44" t="str">
        <f t="shared" si="113"/>
        <v/>
      </c>
      <c r="K515" s="44" t="str">
        <f t="shared" si="114"/>
        <v/>
      </c>
      <c r="L515" s="68">
        <v>160.0</v>
      </c>
      <c r="M515" s="69">
        <v>206.0</v>
      </c>
      <c r="N515" s="44">
        <f t="shared" si="111"/>
        <v>24</v>
      </c>
      <c r="O515" s="44">
        <f t="shared" si="112"/>
        <v>24</v>
      </c>
      <c r="P515" s="110">
        <v>306.0</v>
      </c>
      <c r="Q515" s="71"/>
      <c r="R515" s="71"/>
      <c r="S515" s="31"/>
    </row>
    <row r="516">
      <c r="A516" s="31"/>
      <c r="B516" s="81" t="s">
        <v>198</v>
      </c>
      <c r="C516" s="44"/>
      <c r="D516" s="64">
        <v>45769.0</v>
      </c>
      <c r="E516" s="64">
        <f t="shared" si="149"/>
        <v>45776</v>
      </c>
      <c r="F516" s="64">
        <f t="shared" si="151"/>
        <v>45797</v>
      </c>
      <c r="G516" s="96" t="s">
        <v>204</v>
      </c>
      <c r="H516" s="68"/>
      <c r="I516" s="69"/>
      <c r="J516" s="44" t="str">
        <f t="shared" si="113"/>
        <v/>
      </c>
      <c r="K516" s="44" t="str">
        <f t="shared" si="114"/>
        <v/>
      </c>
      <c r="L516" s="68">
        <v>210.0</v>
      </c>
      <c r="M516" s="69">
        <v>216.0</v>
      </c>
      <c r="N516" s="44">
        <f t="shared" si="111"/>
        <v>4</v>
      </c>
      <c r="O516" s="44">
        <f t="shared" si="112"/>
        <v>4</v>
      </c>
      <c r="P516" s="110">
        <v>306.0</v>
      </c>
      <c r="Q516" s="71"/>
      <c r="R516" s="71"/>
      <c r="S516" s="31"/>
    </row>
    <row r="517">
      <c r="A517" s="31"/>
      <c r="B517" s="81" t="s">
        <v>198</v>
      </c>
      <c r="C517" s="44"/>
      <c r="D517" s="64">
        <v>45769.0</v>
      </c>
      <c r="E517" s="64">
        <f t="shared" si="149"/>
        <v>45776</v>
      </c>
      <c r="F517" s="64">
        <f>D517+28</f>
        <v>45797</v>
      </c>
      <c r="G517" s="80" t="s">
        <v>99</v>
      </c>
      <c r="H517" s="68">
        <v>2413.0</v>
      </c>
      <c r="I517" s="69">
        <v>2429.0</v>
      </c>
      <c r="J517" s="44">
        <f t="shared" si="113"/>
        <v>9</v>
      </c>
      <c r="K517" s="44">
        <f t="shared" si="114"/>
        <v>9</v>
      </c>
      <c r="L517" s="68">
        <v>2462.0</v>
      </c>
      <c r="M517" s="69">
        <v>2492.0</v>
      </c>
      <c r="N517" s="44">
        <f t="shared" si="111"/>
        <v>16</v>
      </c>
      <c r="O517" s="44">
        <f t="shared" si="112"/>
        <v>16</v>
      </c>
      <c r="P517" s="110">
        <v>307.0</v>
      </c>
      <c r="Q517" s="88"/>
      <c r="R517" s="88"/>
      <c r="S517" s="31"/>
    </row>
    <row r="518">
      <c r="A518" s="37" t="s">
        <v>48</v>
      </c>
      <c r="B518" s="81" t="s">
        <v>198</v>
      </c>
      <c r="C518" s="82" t="s">
        <v>205</v>
      </c>
      <c r="D518" s="64">
        <v>45768.0</v>
      </c>
      <c r="E518" s="64">
        <f t="shared" si="149"/>
        <v>45775</v>
      </c>
      <c r="F518" s="64">
        <f t="shared" ref="F518:F540" si="152">D518+28</f>
        <v>45796</v>
      </c>
      <c r="G518" s="96" t="s">
        <v>200</v>
      </c>
      <c r="H518" s="68">
        <v>3.0</v>
      </c>
      <c r="I518" s="69">
        <v>3.0</v>
      </c>
      <c r="J518" s="44">
        <f t="shared" si="113"/>
        <v>1</v>
      </c>
      <c r="K518" s="44">
        <f t="shared" si="114"/>
        <v>1</v>
      </c>
      <c r="L518" s="68"/>
      <c r="M518" s="69"/>
      <c r="N518" s="44" t="str">
        <f t="shared" si="111"/>
        <v/>
      </c>
      <c r="O518" s="44" t="str">
        <f t="shared" si="112"/>
        <v/>
      </c>
      <c r="P518" s="70">
        <v>308.0</v>
      </c>
      <c r="Q518" s="71"/>
      <c r="R518" s="71"/>
      <c r="S518" s="31"/>
    </row>
    <row r="519">
      <c r="A519" s="37" t="s">
        <v>48</v>
      </c>
      <c r="B519" s="81" t="s">
        <v>198</v>
      </c>
      <c r="C519" s="82" t="s">
        <v>205</v>
      </c>
      <c r="D519" s="64">
        <v>45768.0</v>
      </c>
      <c r="E519" s="64">
        <f t="shared" si="149"/>
        <v>45775</v>
      </c>
      <c r="F519" s="64">
        <f t="shared" si="152"/>
        <v>45796</v>
      </c>
      <c r="G519" s="96" t="s">
        <v>200</v>
      </c>
      <c r="H519" s="68">
        <v>7.0</v>
      </c>
      <c r="I519" s="69">
        <v>45.0</v>
      </c>
      <c r="J519" s="44">
        <f t="shared" si="113"/>
        <v>20</v>
      </c>
      <c r="K519" s="44">
        <f t="shared" si="114"/>
        <v>20</v>
      </c>
      <c r="L519" s="68"/>
      <c r="M519" s="69"/>
      <c r="N519" s="44" t="str">
        <f t="shared" si="111"/>
        <v/>
      </c>
      <c r="O519" s="44" t="str">
        <f t="shared" si="112"/>
        <v/>
      </c>
      <c r="P519" s="70">
        <v>308.0</v>
      </c>
      <c r="Q519" s="71"/>
      <c r="R519" s="71"/>
      <c r="S519" s="31"/>
    </row>
    <row r="520">
      <c r="A520" s="37" t="s">
        <v>48</v>
      </c>
      <c r="B520" s="81" t="s">
        <v>198</v>
      </c>
      <c r="C520" s="82" t="s">
        <v>205</v>
      </c>
      <c r="D520" s="64">
        <v>45769.0</v>
      </c>
      <c r="E520" s="64">
        <f t="shared" si="149"/>
        <v>45776</v>
      </c>
      <c r="F520" s="64">
        <f t="shared" si="152"/>
        <v>45797</v>
      </c>
      <c r="G520" s="96" t="s">
        <v>157</v>
      </c>
      <c r="H520" s="68">
        <v>309.0</v>
      </c>
      <c r="I520" s="69">
        <v>309.0</v>
      </c>
      <c r="J520" s="44">
        <f t="shared" si="113"/>
        <v>1</v>
      </c>
      <c r="K520" s="44">
        <f t="shared" si="114"/>
        <v>1</v>
      </c>
      <c r="L520" s="68">
        <v>250.0</v>
      </c>
      <c r="M520" s="69">
        <v>250.0</v>
      </c>
      <c r="N520" s="44">
        <f t="shared" si="111"/>
        <v>1</v>
      </c>
      <c r="O520" s="44">
        <f t="shared" si="112"/>
        <v>1</v>
      </c>
      <c r="P520" s="70">
        <v>308.0</v>
      </c>
      <c r="Q520" s="71"/>
      <c r="R520" s="71"/>
      <c r="S520" s="31"/>
    </row>
    <row r="521">
      <c r="A521" s="37" t="s">
        <v>48</v>
      </c>
      <c r="B521" s="81" t="s">
        <v>198</v>
      </c>
      <c r="C521" s="82" t="s">
        <v>205</v>
      </c>
      <c r="D521" s="64">
        <v>45769.0</v>
      </c>
      <c r="E521" s="64">
        <f t="shared" si="149"/>
        <v>45776</v>
      </c>
      <c r="F521" s="64">
        <f t="shared" si="152"/>
        <v>45797</v>
      </c>
      <c r="G521" s="96" t="s">
        <v>157</v>
      </c>
      <c r="H521" s="68">
        <v>251.0</v>
      </c>
      <c r="I521" s="69">
        <v>253.0</v>
      </c>
      <c r="J521" s="44">
        <f t="shared" si="113"/>
        <v>2</v>
      </c>
      <c r="K521" s="44">
        <f t="shared" si="114"/>
        <v>2</v>
      </c>
      <c r="L521" s="68">
        <v>288.0</v>
      </c>
      <c r="M521" s="69">
        <v>306.0</v>
      </c>
      <c r="N521" s="44">
        <f t="shared" si="111"/>
        <v>10</v>
      </c>
      <c r="O521" s="44">
        <f t="shared" si="112"/>
        <v>10</v>
      </c>
      <c r="P521" s="70">
        <v>308.0</v>
      </c>
      <c r="Q521" s="71"/>
      <c r="R521" s="71"/>
      <c r="S521" s="31"/>
    </row>
    <row r="522">
      <c r="A522" s="37" t="s">
        <v>48</v>
      </c>
      <c r="B522" s="81" t="s">
        <v>198</v>
      </c>
      <c r="C522" s="82" t="s">
        <v>205</v>
      </c>
      <c r="D522" s="64">
        <v>45769.0</v>
      </c>
      <c r="E522" s="64">
        <f t="shared" si="149"/>
        <v>45776</v>
      </c>
      <c r="F522" s="64">
        <f t="shared" si="152"/>
        <v>45797</v>
      </c>
      <c r="G522" s="96" t="s">
        <v>157</v>
      </c>
      <c r="H522" s="68">
        <v>257.0</v>
      </c>
      <c r="I522" s="69">
        <v>285.0</v>
      </c>
      <c r="J522" s="44">
        <f t="shared" si="113"/>
        <v>15</v>
      </c>
      <c r="K522" s="44">
        <f t="shared" si="114"/>
        <v>15</v>
      </c>
      <c r="L522" s="68">
        <v>220.0</v>
      </c>
      <c r="M522" s="69">
        <v>248.0</v>
      </c>
      <c r="N522" s="44">
        <f t="shared" si="111"/>
        <v>15</v>
      </c>
      <c r="O522" s="44">
        <f t="shared" si="112"/>
        <v>15</v>
      </c>
      <c r="P522" s="70">
        <v>308.0</v>
      </c>
      <c r="Q522" s="71"/>
      <c r="R522" s="71"/>
      <c r="S522" s="31"/>
    </row>
    <row r="523">
      <c r="A523" s="37" t="s">
        <v>48</v>
      </c>
      <c r="B523" s="81" t="s">
        <v>198</v>
      </c>
      <c r="C523" s="82" t="s">
        <v>206</v>
      </c>
      <c r="D523" s="64">
        <v>45770.0</v>
      </c>
      <c r="E523" s="64">
        <f t="shared" si="149"/>
        <v>45777</v>
      </c>
      <c r="F523" s="64">
        <f t="shared" si="152"/>
        <v>45798</v>
      </c>
      <c r="G523" s="96" t="s">
        <v>204</v>
      </c>
      <c r="H523" s="68"/>
      <c r="I523" s="69"/>
      <c r="J523" s="44" t="str">
        <f t="shared" si="113"/>
        <v/>
      </c>
      <c r="K523" s="44" t="str">
        <f t="shared" si="114"/>
        <v/>
      </c>
      <c r="L523" s="68">
        <v>218.0</v>
      </c>
      <c r="M523" s="69">
        <v>256.0</v>
      </c>
      <c r="N523" s="44">
        <f t="shared" si="111"/>
        <v>20</v>
      </c>
      <c r="O523" s="44">
        <f t="shared" si="112"/>
        <v>20</v>
      </c>
      <c r="P523" s="70">
        <v>309.0</v>
      </c>
      <c r="Q523" s="71"/>
      <c r="R523" s="71"/>
      <c r="S523" s="31"/>
    </row>
    <row r="524">
      <c r="A524" s="37" t="s">
        <v>48</v>
      </c>
      <c r="B524" s="81" t="s">
        <v>198</v>
      </c>
      <c r="C524" s="82" t="s">
        <v>206</v>
      </c>
      <c r="D524" s="64">
        <v>45770.0</v>
      </c>
      <c r="E524" s="64">
        <f t="shared" si="149"/>
        <v>45777</v>
      </c>
      <c r="F524" s="64">
        <f t="shared" si="152"/>
        <v>45798</v>
      </c>
      <c r="G524" s="96" t="s">
        <v>204</v>
      </c>
      <c r="H524" s="68"/>
      <c r="I524" s="69"/>
      <c r="J524" s="44" t="str">
        <f t="shared" si="113"/>
        <v/>
      </c>
      <c r="K524" s="44" t="str">
        <f t="shared" si="114"/>
        <v/>
      </c>
      <c r="L524" s="68">
        <v>260.0</v>
      </c>
      <c r="M524" s="69">
        <v>308.0</v>
      </c>
      <c r="N524" s="44">
        <f t="shared" si="111"/>
        <v>25</v>
      </c>
      <c r="O524" s="44">
        <f t="shared" si="112"/>
        <v>25</v>
      </c>
      <c r="P524" s="70">
        <v>309.0</v>
      </c>
      <c r="Q524" s="71"/>
      <c r="R524" s="71"/>
      <c r="S524" s="31"/>
    </row>
    <row r="525">
      <c r="A525" s="37" t="s">
        <v>48</v>
      </c>
      <c r="B525" s="81" t="s">
        <v>198</v>
      </c>
      <c r="C525" s="82" t="s">
        <v>206</v>
      </c>
      <c r="D525" s="64">
        <v>45770.0</v>
      </c>
      <c r="E525" s="64">
        <f t="shared" si="149"/>
        <v>45777</v>
      </c>
      <c r="F525" s="64">
        <f t="shared" si="152"/>
        <v>45798</v>
      </c>
      <c r="G525" s="96" t="s">
        <v>207</v>
      </c>
      <c r="H525" s="68">
        <v>1.0</v>
      </c>
      <c r="I525" s="69">
        <v>191.0</v>
      </c>
      <c r="J525" s="44">
        <f t="shared" si="113"/>
        <v>96</v>
      </c>
      <c r="K525" s="44">
        <f t="shared" si="114"/>
        <v>96</v>
      </c>
      <c r="L525" s="68"/>
      <c r="M525" s="69"/>
      <c r="N525" s="44" t="str">
        <f t="shared" si="111"/>
        <v/>
      </c>
      <c r="O525" s="44" t="str">
        <f t="shared" si="112"/>
        <v/>
      </c>
      <c r="P525" s="70">
        <v>309.0</v>
      </c>
      <c r="Q525" s="71"/>
      <c r="R525" s="71"/>
      <c r="S525" s="31"/>
    </row>
    <row r="526">
      <c r="A526" s="37" t="s">
        <v>48</v>
      </c>
      <c r="B526" s="81" t="s">
        <v>198</v>
      </c>
      <c r="C526" s="82" t="s">
        <v>57</v>
      </c>
      <c r="D526" s="64">
        <v>45771.0</v>
      </c>
      <c r="E526" s="64">
        <f t="shared" si="149"/>
        <v>45778</v>
      </c>
      <c r="F526" s="64">
        <f t="shared" si="152"/>
        <v>45799</v>
      </c>
      <c r="G526" s="96" t="s">
        <v>207</v>
      </c>
      <c r="H526" s="68">
        <v>193.0</v>
      </c>
      <c r="I526" s="69">
        <v>303.0</v>
      </c>
      <c r="J526" s="44">
        <f t="shared" si="113"/>
        <v>56</v>
      </c>
      <c r="K526" s="44">
        <f t="shared" si="114"/>
        <v>56</v>
      </c>
      <c r="L526" s="68">
        <v>2.0</v>
      </c>
      <c r="M526" s="69">
        <v>6.0</v>
      </c>
      <c r="N526" s="44">
        <f t="shared" si="111"/>
        <v>3</v>
      </c>
      <c r="O526" s="44">
        <f t="shared" si="112"/>
        <v>3</v>
      </c>
      <c r="P526" s="70">
        <v>310.0</v>
      </c>
      <c r="Q526" s="71"/>
      <c r="R526" s="71"/>
      <c r="S526" s="31"/>
    </row>
    <row r="527">
      <c r="A527" s="37" t="s">
        <v>48</v>
      </c>
      <c r="B527" s="81" t="s">
        <v>198</v>
      </c>
      <c r="C527" s="82" t="s">
        <v>57</v>
      </c>
      <c r="D527" s="64">
        <v>45771.0</v>
      </c>
      <c r="E527" s="64">
        <f t="shared" si="149"/>
        <v>45778</v>
      </c>
      <c r="F527" s="64">
        <f t="shared" si="152"/>
        <v>45799</v>
      </c>
      <c r="G527" s="96" t="s">
        <v>207</v>
      </c>
      <c r="H527" s="68"/>
      <c r="I527" s="69"/>
      <c r="J527" s="44" t="str">
        <f t="shared" si="113"/>
        <v/>
      </c>
      <c r="K527" s="44" t="str">
        <f t="shared" si="114"/>
        <v/>
      </c>
      <c r="L527" s="68">
        <v>10.0</v>
      </c>
      <c r="M527" s="69">
        <v>58.0</v>
      </c>
      <c r="N527" s="44">
        <f t="shared" si="111"/>
        <v>25</v>
      </c>
      <c r="O527" s="44">
        <f t="shared" si="112"/>
        <v>25</v>
      </c>
      <c r="P527" s="70">
        <v>310.0</v>
      </c>
      <c r="Q527" s="71"/>
      <c r="R527" s="71"/>
      <c r="S527" s="31"/>
    </row>
    <row r="528">
      <c r="A528" s="37" t="s">
        <v>48</v>
      </c>
      <c r="B528" s="81" t="s">
        <v>198</v>
      </c>
      <c r="C528" s="82" t="s">
        <v>57</v>
      </c>
      <c r="D528" s="64">
        <v>45771.0</v>
      </c>
      <c r="E528" s="64">
        <f t="shared" si="149"/>
        <v>45778</v>
      </c>
      <c r="F528" s="64">
        <f t="shared" si="152"/>
        <v>45799</v>
      </c>
      <c r="G528" s="96" t="s">
        <v>207</v>
      </c>
      <c r="H528" s="68"/>
      <c r="I528" s="69"/>
      <c r="J528" s="44" t="str">
        <f t="shared" si="113"/>
        <v/>
      </c>
      <c r="K528" s="44" t="str">
        <f t="shared" si="114"/>
        <v/>
      </c>
      <c r="L528" s="68">
        <v>62.0</v>
      </c>
      <c r="M528" s="69">
        <v>106.0</v>
      </c>
      <c r="N528" s="44">
        <f t="shared" si="111"/>
        <v>23</v>
      </c>
      <c r="O528" s="44">
        <f t="shared" si="112"/>
        <v>23</v>
      </c>
      <c r="P528" s="70">
        <v>310.0</v>
      </c>
      <c r="Q528" s="71"/>
      <c r="R528" s="71"/>
      <c r="S528" s="31"/>
    </row>
    <row r="529">
      <c r="A529" s="37" t="s">
        <v>48</v>
      </c>
      <c r="B529" s="81" t="s">
        <v>198</v>
      </c>
      <c r="C529" s="82" t="s">
        <v>57</v>
      </c>
      <c r="D529" s="64">
        <v>45771.0</v>
      </c>
      <c r="E529" s="64">
        <f t="shared" si="149"/>
        <v>45778</v>
      </c>
      <c r="F529" s="64">
        <f t="shared" si="152"/>
        <v>45799</v>
      </c>
      <c r="G529" s="96" t="s">
        <v>207</v>
      </c>
      <c r="H529" s="68"/>
      <c r="I529" s="69"/>
      <c r="J529" s="44" t="str">
        <f t="shared" si="113"/>
        <v/>
      </c>
      <c r="K529" s="44" t="str">
        <f t="shared" si="114"/>
        <v/>
      </c>
      <c r="L529" s="68">
        <v>110.0</v>
      </c>
      <c r="M529" s="69">
        <v>122.0</v>
      </c>
      <c r="N529" s="44">
        <f t="shared" si="111"/>
        <v>7</v>
      </c>
      <c r="O529" s="44">
        <f t="shared" si="112"/>
        <v>7</v>
      </c>
      <c r="P529" s="70">
        <v>310.0</v>
      </c>
      <c r="Q529" s="71"/>
      <c r="R529" s="71"/>
      <c r="S529" s="31"/>
    </row>
    <row r="530">
      <c r="A530" s="37" t="s">
        <v>48</v>
      </c>
      <c r="B530" s="81" t="s">
        <v>198</v>
      </c>
      <c r="C530" s="82" t="s">
        <v>208</v>
      </c>
      <c r="D530" s="64">
        <v>45773.0</v>
      </c>
      <c r="E530" s="64">
        <f t="shared" si="149"/>
        <v>45780</v>
      </c>
      <c r="F530" s="64">
        <f t="shared" si="152"/>
        <v>45801</v>
      </c>
      <c r="G530" s="96" t="s">
        <v>207</v>
      </c>
      <c r="H530" s="68">
        <v>305.0</v>
      </c>
      <c r="I530" s="69">
        <v>309.0</v>
      </c>
      <c r="J530" s="44">
        <f t="shared" si="113"/>
        <v>3</v>
      </c>
      <c r="K530" s="44">
        <f t="shared" si="114"/>
        <v>3</v>
      </c>
      <c r="L530" s="68">
        <v>124.0</v>
      </c>
      <c r="M530" s="69">
        <v>156.0</v>
      </c>
      <c r="N530" s="44">
        <f t="shared" si="111"/>
        <v>17</v>
      </c>
      <c r="O530" s="44">
        <f t="shared" si="112"/>
        <v>17</v>
      </c>
      <c r="P530" s="70">
        <v>311.0</v>
      </c>
      <c r="Q530" s="71"/>
      <c r="R530" s="71"/>
      <c r="S530" s="31"/>
    </row>
    <row r="531">
      <c r="A531" s="37" t="s">
        <v>48</v>
      </c>
      <c r="B531" s="81" t="s">
        <v>198</v>
      </c>
      <c r="C531" s="82" t="s">
        <v>208</v>
      </c>
      <c r="D531" s="64">
        <v>45773.0</v>
      </c>
      <c r="E531" s="64">
        <f t="shared" si="149"/>
        <v>45780</v>
      </c>
      <c r="F531" s="64">
        <f t="shared" si="152"/>
        <v>45801</v>
      </c>
      <c r="G531" s="96" t="s">
        <v>207</v>
      </c>
      <c r="H531" s="68"/>
      <c r="I531" s="69"/>
      <c r="J531" s="44" t="str">
        <f t="shared" si="113"/>
        <v/>
      </c>
      <c r="K531" s="44" t="str">
        <f t="shared" si="114"/>
        <v/>
      </c>
      <c r="L531" s="68">
        <v>160.0</v>
      </c>
      <c r="M531" s="69">
        <v>208.0</v>
      </c>
      <c r="N531" s="44">
        <f t="shared" si="111"/>
        <v>25</v>
      </c>
      <c r="O531" s="44">
        <f t="shared" si="112"/>
        <v>25</v>
      </c>
      <c r="P531" s="70">
        <v>311.0</v>
      </c>
      <c r="Q531" s="71"/>
      <c r="R531" s="71"/>
      <c r="S531" s="31"/>
    </row>
    <row r="532">
      <c r="A532" s="37" t="s">
        <v>48</v>
      </c>
      <c r="B532" s="81" t="s">
        <v>198</v>
      </c>
      <c r="C532" s="39" t="s">
        <v>209</v>
      </c>
      <c r="D532" s="64">
        <v>45773.0</v>
      </c>
      <c r="E532" s="64">
        <f t="shared" si="149"/>
        <v>45780</v>
      </c>
      <c r="F532" s="64">
        <f t="shared" si="152"/>
        <v>45801</v>
      </c>
      <c r="G532" s="96" t="s">
        <v>207</v>
      </c>
      <c r="H532" s="68"/>
      <c r="I532" s="69"/>
      <c r="J532" s="44" t="str">
        <f t="shared" si="113"/>
        <v/>
      </c>
      <c r="K532" s="44" t="str">
        <f t="shared" si="114"/>
        <v/>
      </c>
      <c r="L532" s="68">
        <v>210.0</v>
      </c>
      <c r="M532" s="69">
        <v>310.0</v>
      </c>
      <c r="N532" s="44">
        <f t="shared" si="111"/>
        <v>51</v>
      </c>
      <c r="O532" s="44">
        <f t="shared" si="112"/>
        <v>51</v>
      </c>
      <c r="P532" s="70">
        <v>311.0</v>
      </c>
      <c r="Q532" s="71"/>
      <c r="R532" s="71"/>
      <c r="S532" s="31"/>
    </row>
    <row r="533">
      <c r="A533" s="37" t="s">
        <v>48</v>
      </c>
      <c r="B533" s="81" t="s">
        <v>198</v>
      </c>
      <c r="C533" s="82" t="s">
        <v>208</v>
      </c>
      <c r="D533" s="64">
        <v>45773.0</v>
      </c>
      <c r="E533" s="64">
        <f t="shared" si="149"/>
        <v>45780</v>
      </c>
      <c r="F533" s="64">
        <f t="shared" si="152"/>
        <v>45801</v>
      </c>
      <c r="G533" s="96" t="s">
        <v>210</v>
      </c>
      <c r="H533" s="68">
        <v>9.0</v>
      </c>
      <c r="I533" s="69">
        <v>85.0</v>
      </c>
      <c r="J533" s="44">
        <f t="shared" si="113"/>
        <v>39</v>
      </c>
      <c r="K533" s="44">
        <f t="shared" si="114"/>
        <v>39</v>
      </c>
      <c r="L533" s="68"/>
      <c r="M533" s="69"/>
      <c r="N533" s="44" t="str">
        <f t="shared" si="111"/>
        <v/>
      </c>
      <c r="O533" s="44" t="str">
        <f t="shared" si="112"/>
        <v/>
      </c>
      <c r="P533" s="70">
        <v>311.0</v>
      </c>
      <c r="Q533" s="71"/>
      <c r="R533" s="71"/>
      <c r="S533" s="31"/>
    </row>
    <row r="534">
      <c r="A534" s="37" t="s">
        <v>48</v>
      </c>
      <c r="B534" s="81" t="s">
        <v>198</v>
      </c>
      <c r="C534" s="82" t="s">
        <v>211</v>
      </c>
      <c r="D534" s="64">
        <v>45774.0</v>
      </c>
      <c r="E534" s="64">
        <f t="shared" si="149"/>
        <v>45781</v>
      </c>
      <c r="F534" s="64">
        <f t="shared" si="152"/>
        <v>45802</v>
      </c>
      <c r="G534" s="96" t="s">
        <v>210</v>
      </c>
      <c r="H534" s="68">
        <v>87.0</v>
      </c>
      <c r="I534" s="69">
        <v>309.0</v>
      </c>
      <c r="J534" s="44">
        <f t="shared" si="113"/>
        <v>112</v>
      </c>
      <c r="K534" s="44">
        <f t="shared" si="114"/>
        <v>112</v>
      </c>
      <c r="L534" s="68">
        <v>10.0</v>
      </c>
      <c r="M534" s="69">
        <v>74.0</v>
      </c>
      <c r="N534" s="44">
        <f t="shared" si="111"/>
        <v>33</v>
      </c>
      <c r="O534" s="44">
        <f t="shared" si="112"/>
        <v>33</v>
      </c>
      <c r="P534" s="70">
        <v>312.0</v>
      </c>
      <c r="Q534" s="71"/>
      <c r="R534" s="71"/>
      <c r="S534" s="31"/>
    </row>
    <row r="535">
      <c r="A535" s="37" t="s">
        <v>48</v>
      </c>
      <c r="B535" s="81" t="s">
        <v>198</v>
      </c>
      <c r="C535" s="82" t="s">
        <v>61</v>
      </c>
      <c r="D535" s="64">
        <v>45774.0</v>
      </c>
      <c r="E535" s="64">
        <f t="shared" si="149"/>
        <v>45781</v>
      </c>
      <c r="F535" s="64">
        <f t="shared" si="152"/>
        <v>45802</v>
      </c>
      <c r="G535" s="96" t="s">
        <v>212</v>
      </c>
      <c r="H535" s="68">
        <v>5.0</v>
      </c>
      <c r="I535" s="69">
        <v>7.0</v>
      </c>
      <c r="J535" s="44">
        <f t="shared" si="113"/>
        <v>2</v>
      </c>
      <c r="K535" s="44">
        <f t="shared" si="114"/>
        <v>2</v>
      </c>
      <c r="L535" s="68"/>
      <c r="M535" s="69"/>
      <c r="N535" s="44" t="str">
        <f t="shared" si="111"/>
        <v/>
      </c>
      <c r="O535" s="44" t="str">
        <f t="shared" si="112"/>
        <v/>
      </c>
      <c r="P535" s="70">
        <v>314.0</v>
      </c>
      <c r="Q535" s="71"/>
      <c r="R535" s="71"/>
      <c r="S535" s="31"/>
    </row>
    <row r="536">
      <c r="A536" s="37" t="s">
        <v>48</v>
      </c>
      <c r="B536" s="81" t="s">
        <v>198</v>
      </c>
      <c r="C536" s="82" t="s">
        <v>61</v>
      </c>
      <c r="D536" s="64">
        <v>45774.0</v>
      </c>
      <c r="E536" s="64">
        <f t="shared" si="149"/>
        <v>45781</v>
      </c>
      <c r="F536" s="64">
        <f t="shared" si="152"/>
        <v>45802</v>
      </c>
      <c r="G536" s="96" t="s">
        <v>212</v>
      </c>
      <c r="H536" s="68">
        <v>9.0</v>
      </c>
      <c r="I536" s="69">
        <v>57.0</v>
      </c>
      <c r="J536" s="44">
        <f t="shared" si="113"/>
        <v>25</v>
      </c>
      <c r="K536" s="44">
        <f t="shared" si="114"/>
        <v>25</v>
      </c>
      <c r="L536" s="68"/>
      <c r="M536" s="69"/>
      <c r="N536" s="44" t="str">
        <f t="shared" si="111"/>
        <v/>
      </c>
      <c r="O536" s="44" t="str">
        <f t="shared" si="112"/>
        <v/>
      </c>
      <c r="P536" s="70">
        <v>314.0</v>
      </c>
      <c r="Q536" s="71"/>
      <c r="R536" s="71"/>
      <c r="S536" s="31"/>
    </row>
    <row r="537">
      <c r="A537" s="37" t="s">
        <v>48</v>
      </c>
      <c r="B537" s="81" t="s">
        <v>198</v>
      </c>
      <c r="C537" s="82" t="s">
        <v>61</v>
      </c>
      <c r="D537" s="64">
        <v>45774.0</v>
      </c>
      <c r="E537" s="64">
        <f t="shared" si="149"/>
        <v>45781</v>
      </c>
      <c r="F537" s="64">
        <f t="shared" si="152"/>
        <v>45802</v>
      </c>
      <c r="G537" s="96" t="s">
        <v>212</v>
      </c>
      <c r="H537" s="68">
        <v>59.0</v>
      </c>
      <c r="I537" s="69">
        <v>69.0</v>
      </c>
      <c r="J537" s="44">
        <f t="shared" si="113"/>
        <v>6</v>
      </c>
      <c r="K537" s="44">
        <f t="shared" si="114"/>
        <v>6</v>
      </c>
      <c r="L537" s="68"/>
      <c r="M537" s="69"/>
      <c r="N537" s="44" t="str">
        <f t="shared" si="111"/>
        <v/>
      </c>
      <c r="O537" s="44" t="str">
        <f t="shared" si="112"/>
        <v/>
      </c>
      <c r="P537" s="70">
        <v>314.0</v>
      </c>
      <c r="Q537" s="71"/>
      <c r="R537" s="71"/>
      <c r="S537" s="31"/>
    </row>
    <row r="538">
      <c r="A538" s="37" t="s">
        <v>48</v>
      </c>
      <c r="B538" s="81" t="s">
        <v>198</v>
      </c>
      <c r="C538" s="82" t="s">
        <v>213</v>
      </c>
      <c r="D538" s="64">
        <v>45774.0</v>
      </c>
      <c r="E538" s="64">
        <f t="shared" si="149"/>
        <v>45781</v>
      </c>
      <c r="F538" s="64">
        <f t="shared" si="152"/>
        <v>45802</v>
      </c>
      <c r="G538" s="85" t="s">
        <v>200</v>
      </c>
      <c r="H538" s="68">
        <v>47.0</v>
      </c>
      <c r="I538" s="69">
        <v>47.0</v>
      </c>
      <c r="J538" s="44">
        <f t="shared" si="113"/>
        <v>1</v>
      </c>
      <c r="K538" s="44">
        <f t="shared" si="114"/>
        <v>1</v>
      </c>
      <c r="L538" s="68">
        <v>48.0</v>
      </c>
      <c r="M538" s="69">
        <v>54.0</v>
      </c>
      <c r="N538" s="44">
        <f t="shared" si="111"/>
        <v>4</v>
      </c>
      <c r="O538" s="44">
        <f t="shared" si="112"/>
        <v>4</v>
      </c>
      <c r="P538" s="70">
        <v>314.0</v>
      </c>
      <c r="Q538" s="71"/>
      <c r="R538" s="71"/>
      <c r="S538" s="31"/>
    </row>
    <row r="539">
      <c r="A539" s="37" t="s">
        <v>48</v>
      </c>
      <c r="B539" s="81" t="s">
        <v>198</v>
      </c>
      <c r="C539" s="82" t="s">
        <v>213</v>
      </c>
      <c r="D539" s="64">
        <v>45774.0</v>
      </c>
      <c r="E539" s="64">
        <f t="shared" si="149"/>
        <v>45781</v>
      </c>
      <c r="F539" s="64">
        <f t="shared" si="152"/>
        <v>45802</v>
      </c>
      <c r="G539" s="85" t="s">
        <v>200</v>
      </c>
      <c r="H539" s="68"/>
      <c r="I539" s="69"/>
      <c r="J539" s="44" t="str">
        <f t="shared" si="113"/>
        <v/>
      </c>
      <c r="K539" s="44" t="str">
        <f t="shared" si="114"/>
        <v/>
      </c>
      <c r="L539" s="68">
        <v>58.0</v>
      </c>
      <c r="M539" s="69">
        <v>80.0</v>
      </c>
      <c r="N539" s="44">
        <f t="shared" si="111"/>
        <v>12</v>
      </c>
      <c r="O539" s="44">
        <f t="shared" si="112"/>
        <v>12</v>
      </c>
      <c r="P539" s="70">
        <v>314.0</v>
      </c>
      <c r="Q539" s="71"/>
      <c r="R539" s="71"/>
      <c r="S539" s="31"/>
    </row>
    <row r="540">
      <c r="A540" s="37" t="s">
        <v>48</v>
      </c>
      <c r="B540" s="81" t="s">
        <v>198</v>
      </c>
      <c r="C540" s="82" t="s">
        <v>213</v>
      </c>
      <c r="D540" s="64">
        <v>45774.0</v>
      </c>
      <c r="E540" s="64">
        <f t="shared" si="149"/>
        <v>45781</v>
      </c>
      <c r="F540" s="64">
        <f t="shared" si="152"/>
        <v>45802</v>
      </c>
      <c r="G540" s="85" t="s">
        <v>157</v>
      </c>
      <c r="H540" s="68">
        <v>287.0</v>
      </c>
      <c r="I540" s="69">
        <v>305.0</v>
      </c>
      <c r="J540" s="44">
        <f t="shared" si="113"/>
        <v>10</v>
      </c>
      <c r="K540" s="44">
        <f t="shared" si="114"/>
        <v>10</v>
      </c>
      <c r="L540" s="68"/>
      <c r="M540" s="69"/>
      <c r="N540" s="44" t="str">
        <f t="shared" si="111"/>
        <v/>
      </c>
      <c r="O540" s="44" t="str">
        <f t="shared" si="112"/>
        <v/>
      </c>
      <c r="P540" s="70">
        <v>314.0</v>
      </c>
      <c r="Q540" s="71"/>
      <c r="R540" s="71"/>
      <c r="S540" s="31"/>
    </row>
    <row r="541">
      <c r="A541" s="37" t="s">
        <v>48</v>
      </c>
      <c r="B541" s="81" t="s">
        <v>198</v>
      </c>
      <c r="C541" s="82" t="s">
        <v>59</v>
      </c>
      <c r="D541" s="64">
        <v>45774.0</v>
      </c>
      <c r="E541" s="64">
        <f t="shared" si="149"/>
        <v>45781</v>
      </c>
      <c r="F541" s="64">
        <f t="shared" ref="F541:F542" si="153">D541+28</f>
        <v>45802</v>
      </c>
      <c r="G541" s="80" t="s">
        <v>99</v>
      </c>
      <c r="H541" s="68">
        <v>2431.0</v>
      </c>
      <c r="I541" s="69">
        <v>2439.0</v>
      </c>
      <c r="J541" s="44">
        <f t="shared" si="113"/>
        <v>5</v>
      </c>
      <c r="K541" s="44">
        <f t="shared" si="114"/>
        <v>5</v>
      </c>
      <c r="L541" s="68"/>
      <c r="M541" s="69"/>
      <c r="N541" s="44" t="str">
        <f t="shared" si="111"/>
        <v/>
      </c>
      <c r="O541" s="44" t="str">
        <f t="shared" si="112"/>
        <v/>
      </c>
      <c r="P541" s="70">
        <v>313.0</v>
      </c>
      <c r="Q541" s="88"/>
      <c r="R541" s="88"/>
      <c r="S541" s="31"/>
    </row>
    <row r="542">
      <c r="A542" s="37" t="s">
        <v>48</v>
      </c>
      <c r="B542" s="81" t="s">
        <v>198</v>
      </c>
      <c r="C542" s="82" t="s">
        <v>59</v>
      </c>
      <c r="D542" s="64">
        <v>45774.0</v>
      </c>
      <c r="E542" s="64">
        <f t="shared" si="149"/>
        <v>45781</v>
      </c>
      <c r="F542" s="64">
        <f t="shared" si="153"/>
        <v>45802</v>
      </c>
      <c r="G542" s="80" t="s">
        <v>99</v>
      </c>
      <c r="H542" s="68">
        <v>2449.0</v>
      </c>
      <c r="I542" s="69">
        <v>2491.0</v>
      </c>
      <c r="J542" s="44">
        <f t="shared" si="113"/>
        <v>22</v>
      </c>
      <c r="K542" s="44">
        <f t="shared" si="114"/>
        <v>22</v>
      </c>
      <c r="L542" s="68"/>
      <c r="M542" s="69"/>
      <c r="N542" s="44" t="str">
        <f t="shared" si="111"/>
        <v/>
      </c>
      <c r="O542" s="44" t="str">
        <f t="shared" si="112"/>
        <v/>
      </c>
      <c r="P542" s="70">
        <v>313.0</v>
      </c>
      <c r="Q542" s="88"/>
      <c r="R542" s="88"/>
      <c r="S542" s="31"/>
    </row>
    <row r="543">
      <c r="A543" s="37" t="s">
        <v>48</v>
      </c>
      <c r="B543" s="81" t="s">
        <v>198</v>
      </c>
      <c r="C543" s="82" t="s">
        <v>214</v>
      </c>
      <c r="D543" s="64">
        <v>45775.0</v>
      </c>
      <c r="E543" s="64">
        <f t="shared" si="149"/>
        <v>45782</v>
      </c>
      <c r="F543" s="64">
        <f t="shared" ref="F543:F567" si="154">D543+28</f>
        <v>45803</v>
      </c>
      <c r="G543" s="85" t="s">
        <v>212</v>
      </c>
      <c r="H543" s="68">
        <v>71.0</v>
      </c>
      <c r="I543" s="69">
        <v>87.0</v>
      </c>
      <c r="J543" s="44">
        <f t="shared" si="113"/>
        <v>9</v>
      </c>
      <c r="K543" s="44">
        <f t="shared" si="114"/>
        <v>9</v>
      </c>
      <c r="L543" s="68">
        <v>10.0</v>
      </c>
      <c r="M543" s="69">
        <v>68.0</v>
      </c>
      <c r="N543" s="44">
        <f t="shared" si="111"/>
        <v>30</v>
      </c>
      <c r="O543" s="44">
        <f t="shared" si="112"/>
        <v>30</v>
      </c>
      <c r="P543" s="70">
        <v>315.0</v>
      </c>
      <c r="Q543" s="71"/>
      <c r="R543" s="71"/>
      <c r="S543" s="31"/>
    </row>
    <row r="544">
      <c r="A544" s="37" t="s">
        <v>48</v>
      </c>
      <c r="B544" s="81" t="s">
        <v>198</v>
      </c>
      <c r="C544" s="82" t="s">
        <v>214</v>
      </c>
      <c r="D544" s="64">
        <v>45775.0</v>
      </c>
      <c r="E544" s="64">
        <f t="shared" si="149"/>
        <v>45782</v>
      </c>
      <c r="F544" s="64">
        <f t="shared" si="154"/>
        <v>45803</v>
      </c>
      <c r="G544" s="85" t="s">
        <v>212</v>
      </c>
      <c r="H544" s="68">
        <v>93.0</v>
      </c>
      <c r="I544" s="69">
        <v>173.0</v>
      </c>
      <c r="J544" s="44">
        <f t="shared" si="113"/>
        <v>41</v>
      </c>
      <c r="K544" s="44">
        <f t="shared" si="114"/>
        <v>41</v>
      </c>
      <c r="L544" s="68"/>
      <c r="M544" s="69"/>
      <c r="N544" s="44" t="str">
        <f t="shared" si="111"/>
        <v/>
      </c>
      <c r="O544" s="44" t="str">
        <f t="shared" si="112"/>
        <v/>
      </c>
      <c r="P544" s="70">
        <v>315.0</v>
      </c>
      <c r="Q544" s="71"/>
      <c r="R544" s="71"/>
      <c r="S544" s="31"/>
    </row>
    <row r="545">
      <c r="A545" s="37" t="s">
        <v>48</v>
      </c>
      <c r="B545" s="81" t="s">
        <v>198</v>
      </c>
      <c r="C545" s="82" t="s">
        <v>62</v>
      </c>
      <c r="D545" s="64">
        <v>45775.0</v>
      </c>
      <c r="E545" s="64">
        <f t="shared" si="149"/>
        <v>45782</v>
      </c>
      <c r="F545" s="64">
        <f t="shared" si="154"/>
        <v>45803</v>
      </c>
      <c r="G545" s="96" t="s">
        <v>210</v>
      </c>
      <c r="H545" s="68"/>
      <c r="I545" s="69"/>
      <c r="J545" s="44" t="str">
        <f t="shared" si="113"/>
        <v/>
      </c>
      <c r="K545" s="44" t="str">
        <f t="shared" si="114"/>
        <v/>
      </c>
      <c r="L545" s="68">
        <v>76.0</v>
      </c>
      <c r="M545" s="69">
        <v>310.0</v>
      </c>
      <c r="N545" s="44">
        <f t="shared" si="111"/>
        <v>118</v>
      </c>
      <c r="O545" s="44">
        <f t="shared" si="112"/>
        <v>118</v>
      </c>
      <c r="P545" s="70">
        <v>316.0</v>
      </c>
      <c r="Q545" s="71"/>
      <c r="R545" s="71"/>
      <c r="S545" s="31"/>
    </row>
    <row r="546">
      <c r="A546" s="37" t="s">
        <v>48</v>
      </c>
      <c r="B546" s="81" t="s">
        <v>198</v>
      </c>
      <c r="C546" s="82" t="s">
        <v>62</v>
      </c>
      <c r="D546" s="64">
        <v>45775.0</v>
      </c>
      <c r="E546" s="64">
        <f t="shared" si="149"/>
        <v>45782</v>
      </c>
      <c r="F546" s="64">
        <f t="shared" si="154"/>
        <v>45803</v>
      </c>
      <c r="G546" s="96" t="s">
        <v>215</v>
      </c>
      <c r="H546" s="68">
        <v>17.0</v>
      </c>
      <c r="I546" s="69">
        <v>47.0</v>
      </c>
      <c r="J546" s="44">
        <f t="shared" si="113"/>
        <v>16</v>
      </c>
      <c r="K546" s="44">
        <f t="shared" si="114"/>
        <v>16</v>
      </c>
      <c r="L546" s="68"/>
      <c r="M546" s="69"/>
      <c r="N546" s="44" t="str">
        <f t="shared" si="111"/>
        <v/>
      </c>
      <c r="O546" s="44" t="str">
        <f t="shared" si="112"/>
        <v/>
      </c>
      <c r="P546" s="70">
        <v>316.0</v>
      </c>
      <c r="Q546" s="71"/>
      <c r="R546" s="71"/>
      <c r="S546" s="31"/>
    </row>
    <row r="547">
      <c r="A547" s="37" t="s">
        <v>48</v>
      </c>
      <c r="B547" s="81" t="s">
        <v>198</v>
      </c>
      <c r="C547" s="82" t="s">
        <v>216</v>
      </c>
      <c r="D547" s="64">
        <v>45776.0</v>
      </c>
      <c r="E547" s="64">
        <f t="shared" si="149"/>
        <v>45783</v>
      </c>
      <c r="F547" s="64">
        <f t="shared" si="154"/>
        <v>45804</v>
      </c>
      <c r="G547" s="67" t="s">
        <v>217</v>
      </c>
      <c r="H547" s="68">
        <v>1.0</v>
      </c>
      <c r="I547" s="69">
        <v>157.0</v>
      </c>
      <c r="J547" s="44">
        <f t="shared" si="113"/>
        <v>79</v>
      </c>
      <c r="K547" s="44">
        <f t="shared" si="114"/>
        <v>79</v>
      </c>
      <c r="L547" s="68"/>
      <c r="M547" s="69"/>
      <c r="N547" s="44" t="str">
        <f t="shared" si="111"/>
        <v/>
      </c>
      <c r="O547" s="44" t="str">
        <f t="shared" si="112"/>
        <v/>
      </c>
      <c r="P547" s="70">
        <v>318.0</v>
      </c>
      <c r="Q547" s="71"/>
      <c r="R547" s="71"/>
      <c r="S547" s="31"/>
    </row>
    <row r="548">
      <c r="A548" s="37" t="s">
        <v>48</v>
      </c>
      <c r="B548" s="81" t="s">
        <v>198</v>
      </c>
      <c r="C548" s="82" t="s">
        <v>218</v>
      </c>
      <c r="D548" s="64">
        <v>45776.0</v>
      </c>
      <c r="E548" s="64">
        <f t="shared" si="149"/>
        <v>45783</v>
      </c>
      <c r="F548" s="64">
        <f t="shared" si="154"/>
        <v>45804</v>
      </c>
      <c r="G548" s="96" t="s">
        <v>212</v>
      </c>
      <c r="H548" s="68">
        <v>175.0</v>
      </c>
      <c r="I548" s="69">
        <v>197.0</v>
      </c>
      <c r="J548" s="44">
        <f t="shared" si="113"/>
        <v>12</v>
      </c>
      <c r="K548" s="44">
        <f t="shared" si="114"/>
        <v>12</v>
      </c>
      <c r="L548" s="68">
        <v>70.0</v>
      </c>
      <c r="M548" s="69">
        <v>86.0</v>
      </c>
      <c r="N548" s="44">
        <f t="shared" si="111"/>
        <v>9</v>
      </c>
      <c r="O548" s="44">
        <f t="shared" si="112"/>
        <v>9</v>
      </c>
      <c r="P548" s="70">
        <v>319.0</v>
      </c>
      <c r="Q548" s="71"/>
      <c r="R548" s="71"/>
      <c r="S548" s="31"/>
    </row>
    <row r="549">
      <c r="A549" s="37" t="s">
        <v>48</v>
      </c>
      <c r="B549" s="81" t="s">
        <v>198</v>
      </c>
      <c r="C549" s="82" t="s">
        <v>218</v>
      </c>
      <c r="D549" s="64">
        <v>45776.0</v>
      </c>
      <c r="E549" s="64">
        <f t="shared" si="149"/>
        <v>45783</v>
      </c>
      <c r="F549" s="64">
        <f t="shared" si="154"/>
        <v>45804</v>
      </c>
      <c r="G549" s="96" t="s">
        <v>212</v>
      </c>
      <c r="H549" s="68"/>
      <c r="I549" s="69"/>
      <c r="J549" s="44" t="str">
        <f t="shared" si="113"/>
        <v/>
      </c>
      <c r="K549" s="44" t="str">
        <f t="shared" si="114"/>
        <v/>
      </c>
      <c r="L549" s="68">
        <v>94.0</v>
      </c>
      <c r="M549" s="69">
        <v>104.0</v>
      </c>
      <c r="N549" s="44">
        <f t="shared" si="111"/>
        <v>6</v>
      </c>
      <c r="O549" s="44">
        <f t="shared" si="112"/>
        <v>6</v>
      </c>
      <c r="P549" s="70">
        <v>319.0</v>
      </c>
      <c r="Q549" s="71"/>
      <c r="R549" s="71"/>
      <c r="S549" s="31"/>
    </row>
    <row r="550">
      <c r="A550" s="37" t="s">
        <v>48</v>
      </c>
      <c r="B550" s="81" t="s">
        <v>198</v>
      </c>
      <c r="C550" s="82" t="s">
        <v>218</v>
      </c>
      <c r="D550" s="64">
        <v>45776.0</v>
      </c>
      <c r="E550" s="64">
        <f t="shared" si="149"/>
        <v>45783</v>
      </c>
      <c r="F550" s="64">
        <f t="shared" si="154"/>
        <v>45804</v>
      </c>
      <c r="G550" s="96" t="s">
        <v>212</v>
      </c>
      <c r="H550" s="68"/>
      <c r="I550" s="69"/>
      <c r="J550" s="44" t="str">
        <f t="shared" si="113"/>
        <v/>
      </c>
      <c r="K550" s="44" t="str">
        <f t="shared" si="114"/>
        <v/>
      </c>
      <c r="L550" s="68">
        <v>108.0</v>
      </c>
      <c r="M550" s="69">
        <v>156.0</v>
      </c>
      <c r="N550" s="44">
        <f t="shared" si="111"/>
        <v>25</v>
      </c>
      <c r="O550" s="44">
        <f t="shared" si="112"/>
        <v>25</v>
      </c>
      <c r="P550" s="70">
        <v>319.0</v>
      </c>
      <c r="Q550" s="71"/>
      <c r="R550" s="71"/>
      <c r="S550" s="31"/>
    </row>
    <row r="551">
      <c r="A551" s="37" t="s">
        <v>48</v>
      </c>
      <c r="B551" s="81" t="s">
        <v>198</v>
      </c>
      <c r="C551" s="82" t="s">
        <v>218</v>
      </c>
      <c r="D551" s="64">
        <v>45776.0</v>
      </c>
      <c r="E551" s="64">
        <f t="shared" si="149"/>
        <v>45783</v>
      </c>
      <c r="F551" s="64">
        <f t="shared" si="154"/>
        <v>45804</v>
      </c>
      <c r="G551" s="96" t="s">
        <v>212</v>
      </c>
      <c r="H551" s="68"/>
      <c r="I551" s="69"/>
      <c r="J551" s="44" t="str">
        <f t="shared" si="113"/>
        <v/>
      </c>
      <c r="K551" s="44" t="str">
        <f t="shared" si="114"/>
        <v/>
      </c>
      <c r="L551" s="68">
        <v>160.0</v>
      </c>
      <c r="M551" s="69">
        <v>180.0</v>
      </c>
      <c r="N551" s="44">
        <f t="shared" si="111"/>
        <v>11</v>
      </c>
      <c r="O551" s="44">
        <f t="shared" si="112"/>
        <v>11</v>
      </c>
      <c r="P551" s="70">
        <v>319.0</v>
      </c>
      <c r="Q551" s="71"/>
      <c r="R551" s="71"/>
      <c r="S551" s="31"/>
    </row>
    <row r="552">
      <c r="A552" s="37" t="s">
        <v>48</v>
      </c>
      <c r="B552" s="81" t="s">
        <v>198</v>
      </c>
      <c r="C552" s="82" t="s">
        <v>218</v>
      </c>
      <c r="D552" s="64">
        <v>45776.0</v>
      </c>
      <c r="E552" s="64">
        <f t="shared" si="149"/>
        <v>45783</v>
      </c>
      <c r="F552" s="64">
        <f t="shared" si="154"/>
        <v>45804</v>
      </c>
      <c r="G552" s="96" t="s">
        <v>212</v>
      </c>
      <c r="H552" s="68"/>
      <c r="I552" s="69"/>
      <c r="J552" s="44" t="str">
        <f t="shared" si="113"/>
        <v/>
      </c>
      <c r="K552" s="44" t="str">
        <f t="shared" si="114"/>
        <v/>
      </c>
      <c r="L552" s="68">
        <v>200.0</v>
      </c>
      <c r="M552" s="69">
        <v>270.0</v>
      </c>
      <c r="N552" s="44">
        <f t="shared" si="111"/>
        <v>36</v>
      </c>
      <c r="O552" s="44">
        <f t="shared" si="112"/>
        <v>36</v>
      </c>
      <c r="P552" s="70">
        <v>319.0</v>
      </c>
      <c r="Q552" s="71"/>
      <c r="R552" s="71"/>
      <c r="S552" s="31"/>
    </row>
    <row r="553">
      <c r="A553" s="37" t="s">
        <v>48</v>
      </c>
      <c r="B553" s="81" t="s">
        <v>198</v>
      </c>
      <c r="C553" s="82" t="s">
        <v>63</v>
      </c>
      <c r="D553" s="64">
        <v>45776.0</v>
      </c>
      <c r="E553" s="64">
        <f t="shared" si="149"/>
        <v>45783</v>
      </c>
      <c r="F553" s="64">
        <f t="shared" si="154"/>
        <v>45804</v>
      </c>
      <c r="G553" s="96" t="s">
        <v>215</v>
      </c>
      <c r="H553" s="68">
        <v>49.0</v>
      </c>
      <c r="I553" s="69">
        <v>303.0</v>
      </c>
      <c r="J553" s="44">
        <f t="shared" si="113"/>
        <v>128</v>
      </c>
      <c r="K553" s="44">
        <f t="shared" si="114"/>
        <v>128</v>
      </c>
      <c r="L553" s="68"/>
      <c r="M553" s="69"/>
      <c r="N553" s="44" t="str">
        <f t="shared" si="111"/>
        <v/>
      </c>
      <c r="O553" s="44" t="str">
        <f t="shared" si="112"/>
        <v/>
      </c>
      <c r="P553" s="70">
        <v>320.0</v>
      </c>
      <c r="Q553" s="71"/>
      <c r="R553" s="71"/>
      <c r="S553" s="31"/>
    </row>
    <row r="554">
      <c r="A554" s="37" t="s">
        <v>48</v>
      </c>
      <c r="B554" s="81" t="s">
        <v>198</v>
      </c>
      <c r="C554" s="82" t="s">
        <v>219</v>
      </c>
      <c r="D554" s="64">
        <v>45777.0</v>
      </c>
      <c r="E554" s="64">
        <f t="shared" si="149"/>
        <v>45784</v>
      </c>
      <c r="F554" s="64">
        <f t="shared" si="154"/>
        <v>45805</v>
      </c>
      <c r="G554" s="96" t="s">
        <v>217</v>
      </c>
      <c r="H554" s="68">
        <v>159.0</v>
      </c>
      <c r="I554" s="69">
        <v>265.0</v>
      </c>
      <c r="J554" s="44">
        <f t="shared" si="113"/>
        <v>54</v>
      </c>
      <c r="K554" s="44">
        <f t="shared" si="114"/>
        <v>54</v>
      </c>
      <c r="L554" s="68">
        <v>2.0</v>
      </c>
      <c r="M554" s="69">
        <v>6.0</v>
      </c>
      <c r="N554" s="44">
        <f t="shared" si="111"/>
        <v>3</v>
      </c>
      <c r="O554" s="44">
        <f t="shared" si="112"/>
        <v>3</v>
      </c>
      <c r="P554" s="70">
        <v>321.0</v>
      </c>
      <c r="Q554" s="71"/>
      <c r="R554" s="71"/>
      <c r="S554" s="31"/>
    </row>
    <row r="555">
      <c r="A555" s="37" t="s">
        <v>48</v>
      </c>
      <c r="B555" s="81" t="s">
        <v>198</v>
      </c>
      <c r="C555" s="82" t="s">
        <v>219</v>
      </c>
      <c r="D555" s="64">
        <v>45777.0</v>
      </c>
      <c r="E555" s="64">
        <f t="shared" si="149"/>
        <v>45784</v>
      </c>
      <c r="F555" s="64">
        <f t="shared" si="154"/>
        <v>45805</v>
      </c>
      <c r="G555" s="96" t="s">
        <v>217</v>
      </c>
      <c r="H555" s="68"/>
      <c r="I555" s="69"/>
      <c r="J555" s="44" t="str">
        <f t="shared" si="113"/>
        <v/>
      </c>
      <c r="K555" s="44" t="str">
        <f t="shared" si="114"/>
        <v/>
      </c>
      <c r="L555" s="68">
        <v>10.0</v>
      </c>
      <c r="M555" s="69">
        <v>56.0</v>
      </c>
      <c r="N555" s="44">
        <f t="shared" si="111"/>
        <v>24</v>
      </c>
      <c r="O555" s="44">
        <f t="shared" si="112"/>
        <v>24</v>
      </c>
      <c r="P555" s="70">
        <v>321.0</v>
      </c>
      <c r="Q555" s="71"/>
      <c r="R555" s="71"/>
      <c r="S555" s="31"/>
    </row>
    <row r="556">
      <c r="A556" s="37" t="s">
        <v>48</v>
      </c>
      <c r="B556" s="81" t="s">
        <v>198</v>
      </c>
      <c r="C556" s="82" t="s">
        <v>219</v>
      </c>
      <c r="D556" s="64">
        <v>45777.0</v>
      </c>
      <c r="E556" s="64">
        <f t="shared" si="149"/>
        <v>45784</v>
      </c>
      <c r="F556" s="64">
        <f t="shared" si="154"/>
        <v>45805</v>
      </c>
      <c r="G556" s="96" t="s">
        <v>217</v>
      </c>
      <c r="H556" s="68"/>
      <c r="I556" s="69"/>
      <c r="J556" s="44" t="str">
        <f t="shared" si="113"/>
        <v/>
      </c>
      <c r="K556" s="44" t="str">
        <f t="shared" si="114"/>
        <v/>
      </c>
      <c r="L556" s="68">
        <v>60.0</v>
      </c>
      <c r="M556" s="69">
        <v>98.0</v>
      </c>
      <c r="N556" s="44">
        <f t="shared" si="111"/>
        <v>20</v>
      </c>
      <c r="O556" s="44">
        <f t="shared" si="112"/>
        <v>20</v>
      </c>
      <c r="P556" s="70">
        <v>321.0</v>
      </c>
      <c r="Q556" s="71"/>
      <c r="R556" s="71"/>
      <c r="S556" s="31"/>
    </row>
    <row r="557">
      <c r="A557" s="37" t="s">
        <v>48</v>
      </c>
      <c r="B557" s="81" t="s">
        <v>198</v>
      </c>
      <c r="C557" s="82" t="s">
        <v>220</v>
      </c>
      <c r="D557" s="64">
        <v>45777.0</v>
      </c>
      <c r="E557" s="64">
        <f t="shared" si="149"/>
        <v>45784</v>
      </c>
      <c r="F557" s="64">
        <f t="shared" si="154"/>
        <v>45805</v>
      </c>
      <c r="G557" s="96" t="s">
        <v>212</v>
      </c>
      <c r="H557" s="68">
        <v>201.0</v>
      </c>
      <c r="I557" s="69">
        <v>207.0</v>
      </c>
      <c r="J557" s="44">
        <f t="shared" si="113"/>
        <v>4</v>
      </c>
      <c r="K557" s="44">
        <f t="shared" si="114"/>
        <v>4</v>
      </c>
      <c r="L557" s="68">
        <v>182.0</v>
      </c>
      <c r="M557" s="69">
        <v>198.0</v>
      </c>
      <c r="N557" s="44">
        <f t="shared" si="111"/>
        <v>9</v>
      </c>
      <c r="O557" s="44">
        <f t="shared" si="112"/>
        <v>9</v>
      </c>
      <c r="P557" s="70">
        <v>322.0</v>
      </c>
      <c r="Q557" s="71"/>
      <c r="R557" s="71"/>
      <c r="S557" s="31"/>
    </row>
    <row r="558">
      <c r="A558" s="37" t="s">
        <v>48</v>
      </c>
      <c r="B558" s="81" t="s">
        <v>198</v>
      </c>
      <c r="C558" s="82" t="s">
        <v>220</v>
      </c>
      <c r="D558" s="64">
        <v>45777.0</v>
      </c>
      <c r="E558" s="64">
        <f t="shared" si="149"/>
        <v>45784</v>
      </c>
      <c r="F558" s="64">
        <f t="shared" si="154"/>
        <v>45805</v>
      </c>
      <c r="G558" s="96" t="s">
        <v>212</v>
      </c>
      <c r="H558" s="68">
        <v>211.0</v>
      </c>
      <c r="I558" s="69">
        <v>261.0</v>
      </c>
      <c r="J558" s="44">
        <f t="shared" si="113"/>
        <v>26</v>
      </c>
      <c r="K558" s="44">
        <f t="shared" si="114"/>
        <v>26</v>
      </c>
      <c r="L558" s="68">
        <v>272.0</v>
      </c>
      <c r="M558" s="69">
        <v>338.0</v>
      </c>
      <c r="N558" s="44">
        <f t="shared" si="111"/>
        <v>34</v>
      </c>
      <c r="O558" s="44">
        <f t="shared" si="112"/>
        <v>34</v>
      </c>
      <c r="P558" s="70">
        <v>322.0</v>
      </c>
      <c r="Q558" s="71"/>
      <c r="R558" s="71"/>
      <c r="S558" s="31"/>
    </row>
    <row r="559">
      <c r="A559" s="37" t="s">
        <v>48</v>
      </c>
      <c r="B559" s="81" t="s">
        <v>198</v>
      </c>
      <c r="C559" s="82" t="s">
        <v>220</v>
      </c>
      <c r="D559" s="64">
        <v>45777.0</v>
      </c>
      <c r="E559" s="64">
        <f t="shared" si="149"/>
        <v>45784</v>
      </c>
      <c r="F559" s="64">
        <f t="shared" si="154"/>
        <v>45805</v>
      </c>
      <c r="G559" s="96" t="s">
        <v>212</v>
      </c>
      <c r="H559" s="68">
        <v>93.0</v>
      </c>
      <c r="I559" s="69">
        <v>93.0</v>
      </c>
      <c r="J559" s="44">
        <f t="shared" si="113"/>
        <v>1</v>
      </c>
      <c r="K559" s="44">
        <f t="shared" si="114"/>
        <v>1</v>
      </c>
      <c r="L559" s="102">
        <v>88.0</v>
      </c>
      <c r="M559" s="103">
        <v>88.0</v>
      </c>
      <c r="N559" s="44">
        <f t="shared" si="111"/>
        <v>1</v>
      </c>
      <c r="O559" s="44">
        <f t="shared" si="112"/>
        <v>1</v>
      </c>
      <c r="P559" s="70">
        <v>322.0</v>
      </c>
      <c r="Q559" s="71"/>
      <c r="R559" s="71"/>
      <c r="S559" s="31"/>
    </row>
    <row r="560">
      <c r="A560" s="37" t="s">
        <v>48</v>
      </c>
      <c r="B560" s="81" t="s">
        <v>198</v>
      </c>
      <c r="C560" s="82" t="s">
        <v>220</v>
      </c>
      <c r="D560" s="64">
        <v>45777.0</v>
      </c>
      <c r="E560" s="64">
        <f t="shared" si="149"/>
        <v>45784</v>
      </c>
      <c r="F560" s="64">
        <f t="shared" si="154"/>
        <v>45805</v>
      </c>
      <c r="G560" s="96" t="s">
        <v>212</v>
      </c>
      <c r="H560" s="102">
        <v>90.0</v>
      </c>
      <c r="I560" s="103">
        <v>90.0</v>
      </c>
      <c r="J560" s="44">
        <f t="shared" si="113"/>
        <v>1</v>
      </c>
      <c r="K560" s="44">
        <f t="shared" si="114"/>
        <v>1</v>
      </c>
      <c r="L560" s="68">
        <v>92.0</v>
      </c>
      <c r="M560" s="69">
        <v>92.0</v>
      </c>
      <c r="N560" s="44">
        <f t="shared" si="111"/>
        <v>1</v>
      </c>
      <c r="O560" s="44">
        <f t="shared" si="112"/>
        <v>1</v>
      </c>
      <c r="P560" s="70">
        <v>322.0</v>
      </c>
      <c r="Q560" s="71"/>
      <c r="R560" s="71"/>
      <c r="S560" s="31"/>
    </row>
    <row r="561">
      <c r="A561" s="37" t="s">
        <v>48</v>
      </c>
      <c r="B561" s="81" t="s">
        <v>198</v>
      </c>
      <c r="C561" s="82" t="s">
        <v>65</v>
      </c>
      <c r="D561" s="64">
        <v>45777.0</v>
      </c>
      <c r="E561" s="64">
        <f>D561+7</f>
        <v>45784</v>
      </c>
      <c r="F561" s="64">
        <f t="shared" si="154"/>
        <v>45805</v>
      </c>
      <c r="G561" s="106" t="s">
        <v>215</v>
      </c>
      <c r="H561" s="68"/>
      <c r="I561" s="69"/>
      <c r="J561" s="44" t="str">
        <f t="shared" si="113"/>
        <v/>
      </c>
      <c r="K561" s="44" t="str">
        <f t="shared" si="114"/>
        <v/>
      </c>
      <c r="L561" s="68">
        <v>18.0</v>
      </c>
      <c r="M561" s="69">
        <v>262.0</v>
      </c>
      <c r="N561" s="44">
        <f t="shared" si="111"/>
        <v>123</v>
      </c>
      <c r="O561" s="44">
        <f t="shared" si="112"/>
        <v>123</v>
      </c>
      <c r="P561" s="70">
        <v>323.0</v>
      </c>
      <c r="Q561" s="71"/>
      <c r="R561" s="71"/>
      <c r="S561" s="31"/>
    </row>
    <row r="562">
      <c r="A562" s="37" t="s">
        <v>48</v>
      </c>
      <c r="B562" s="81" t="s">
        <v>198</v>
      </c>
      <c r="C562" s="82" t="s">
        <v>221</v>
      </c>
      <c r="D562" s="64">
        <v>45780.0</v>
      </c>
      <c r="E562" s="64">
        <f t="shared" ref="E562:E842" si="155">D562+7</f>
        <v>45787</v>
      </c>
      <c r="F562" s="64">
        <f t="shared" si="154"/>
        <v>45808</v>
      </c>
      <c r="G562" s="96" t="s">
        <v>217</v>
      </c>
      <c r="H562" s="68">
        <v>267.0</v>
      </c>
      <c r="I562" s="69">
        <v>305.0</v>
      </c>
      <c r="J562" s="44">
        <f t="shared" si="113"/>
        <v>20</v>
      </c>
      <c r="K562" s="44">
        <f t="shared" si="114"/>
        <v>20</v>
      </c>
      <c r="L562" s="68">
        <v>100.0</v>
      </c>
      <c r="M562" s="69">
        <v>106.0</v>
      </c>
      <c r="N562" s="44">
        <f t="shared" si="111"/>
        <v>4</v>
      </c>
      <c r="O562" s="44">
        <f t="shared" si="112"/>
        <v>4</v>
      </c>
      <c r="P562" s="70">
        <v>324.0</v>
      </c>
      <c r="Q562" s="71"/>
      <c r="R562" s="71"/>
      <c r="S562" s="31"/>
    </row>
    <row r="563">
      <c r="A563" s="37" t="s">
        <v>48</v>
      </c>
      <c r="B563" s="81" t="s">
        <v>198</v>
      </c>
      <c r="C563" s="82" t="s">
        <v>221</v>
      </c>
      <c r="D563" s="64">
        <v>45780.0</v>
      </c>
      <c r="E563" s="64">
        <f t="shared" si="155"/>
        <v>45787</v>
      </c>
      <c r="F563" s="64">
        <f t="shared" si="154"/>
        <v>45808</v>
      </c>
      <c r="G563" s="96" t="s">
        <v>217</v>
      </c>
      <c r="H563" s="68"/>
      <c r="I563" s="69"/>
      <c r="J563" s="44" t="str">
        <f t="shared" si="113"/>
        <v/>
      </c>
      <c r="K563" s="44" t="str">
        <f t="shared" si="114"/>
        <v/>
      </c>
      <c r="L563" s="68">
        <v>110.0</v>
      </c>
      <c r="M563" s="69">
        <v>156.0</v>
      </c>
      <c r="N563" s="44">
        <f t="shared" si="111"/>
        <v>24</v>
      </c>
      <c r="O563" s="44">
        <f t="shared" si="112"/>
        <v>24</v>
      </c>
      <c r="P563" s="70">
        <v>324.0</v>
      </c>
      <c r="Q563" s="71"/>
      <c r="R563" s="71"/>
      <c r="S563" s="31"/>
    </row>
    <row r="564">
      <c r="A564" s="37" t="s">
        <v>48</v>
      </c>
      <c r="B564" s="81" t="s">
        <v>198</v>
      </c>
      <c r="C564" s="82" t="s">
        <v>221</v>
      </c>
      <c r="D564" s="64">
        <v>45780.0</v>
      </c>
      <c r="E564" s="64">
        <f t="shared" si="155"/>
        <v>45787</v>
      </c>
      <c r="F564" s="64">
        <f t="shared" si="154"/>
        <v>45808</v>
      </c>
      <c r="G564" s="96" t="s">
        <v>217</v>
      </c>
      <c r="H564" s="68"/>
      <c r="I564" s="69"/>
      <c r="J564" s="44" t="str">
        <f t="shared" si="113"/>
        <v/>
      </c>
      <c r="K564" s="44" t="str">
        <f t="shared" si="114"/>
        <v/>
      </c>
      <c r="L564" s="68">
        <v>160.0</v>
      </c>
      <c r="M564" s="69">
        <v>206.0</v>
      </c>
      <c r="N564" s="44">
        <f t="shared" si="111"/>
        <v>24</v>
      </c>
      <c r="O564" s="44">
        <f t="shared" si="112"/>
        <v>24</v>
      </c>
      <c r="P564" s="70">
        <v>324.0</v>
      </c>
      <c r="Q564" s="71"/>
      <c r="R564" s="71"/>
      <c r="S564" s="31"/>
    </row>
    <row r="565">
      <c r="A565" s="37" t="s">
        <v>48</v>
      </c>
      <c r="B565" s="81" t="s">
        <v>198</v>
      </c>
      <c r="C565" s="82" t="s">
        <v>221</v>
      </c>
      <c r="D565" s="64">
        <v>45780.0</v>
      </c>
      <c r="E565" s="64">
        <f t="shared" si="155"/>
        <v>45787</v>
      </c>
      <c r="F565" s="64">
        <f t="shared" si="154"/>
        <v>45808</v>
      </c>
      <c r="G565" s="96" t="s">
        <v>217</v>
      </c>
      <c r="H565" s="68"/>
      <c r="I565" s="69"/>
      <c r="J565" s="44" t="str">
        <f t="shared" si="113"/>
        <v/>
      </c>
      <c r="K565" s="44" t="str">
        <f t="shared" si="114"/>
        <v/>
      </c>
      <c r="L565" s="68">
        <v>210.0</v>
      </c>
      <c r="M565" s="69">
        <v>256.0</v>
      </c>
      <c r="N565" s="44">
        <f t="shared" si="111"/>
        <v>24</v>
      </c>
      <c r="O565" s="44">
        <f t="shared" si="112"/>
        <v>24</v>
      </c>
      <c r="P565" s="70">
        <v>324.0</v>
      </c>
      <c r="Q565" s="71"/>
      <c r="R565" s="71"/>
      <c r="S565" s="31"/>
    </row>
    <row r="566">
      <c r="A566" s="37" t="s">
        <v>48</v>
      </c>
      <c r="B566" s="81" t="s">
        <v>198</v>
      </c>
      <c r="C566" s="82" t="s">
        <v>66</v>
      </c>
      <c r="D566" s="64">
        <v>45780.0</v>
      </c>
      <c r="E566" s="64">
        <f t="shared" si="155"/>
        <v>45787</v>
      </c>
      <c r="F566" s="64">
        <f t="shared" si="154"/>
        <v>45808</v>
      </c>
      <c r="G566" s="96" t="s">
        <v>212</v>
      </c>
      <c r="H566" s="68">
        <v>89.0</v>
      </c>
      <c r="I566" s="69">
        <v>91.0</v>
      </c>
      <c r="J566" s="44">
        <f t="shared" si="113"/>
        <v>2</v>
      </c>
      <c r="K566" s="44">
        <f t="shared" si="114"/>
        <v>2</v>
      </c>
      <c r="L566" s="68">
        <v>262.0</v>
      </c>
      <c r="M566" s="69">
        <v>336.0</v>
      </c>
      <c r="N566" s="44">
        <f t="shared" si="111"/>
        <v>38</v>
      </c>
      <c r="O566" s="44">
        <f t="shared" si="112"/>
        <v>38</v>
      </c>
      <c r="P566" s="70">
        <v>325.0</v>
      </c>
      <c r="Q566" s="71"/>
      <c r="R566" s="71"/>
      <c r="S566" s="31"/>
    </row>
    <row r="567">
      <c r="A567" s="37" t="s">
        <v>48</v>
      </c>
      <c r="B567" s="81" t="s">
        <v>198</v>
      </c>
      <c r="C567" s="82" t="s">
        <v>66</v>
      </c>
      <c r="D567" s="64">
        <v>45780.0</v>
      </c>
      <c r="E567" s="64">
        <f t="shared" si="155"/>
        <v>45787</v>
      </c>
      <c r="F567" s="64">
        <f t="shared" si="154"/>
        <v>45808</v>
      </c>
      <c r="G567" s="96" t="s">
        <v>181</v>
      </c>
      <c r="H567" s="68"/>
      <c r="I567" s="69"/>
      <c r="J567" s="44" t="str">
        <f t="shared" si="113"/>
        <v/>
      </c>
      <c r="K567" s="44" t="str">
        <f t="shared" si="114"/>
        <v/>
      </c>
      <c r="L567" s="68">
        <v>2.0</v>
      </c>
      <c r="M567" s="69">
        <v>24.0</v>
      </c>
      <c r="N567" s="44">
        <f t="shared" si="111"/>
        <v>12</v>
      </c>
      <c r="O567" s="44">
        <f t="shared" si="112"/>
        <v>12</v>
      </c>
      <c r="P567" s="70">
        <v>325.0</v>
      </c>
      <c r="Q567" s="71"/>
      <c r="R567" s="71"/>
      <c r="S567" s="31"/>
    </row>
    <row r="568">
      <c r="A568" s="37" t="s">
        <v>48</v>
      </c>
      <c r="B568" s="81" t="s">
        <v>198</v>
      </c>
      <c r="C568" s="82" t="s">
        <v>67</v>
      </c>
      <c r="D568" s="64">
        <v>45781.0</v>
      </c>
      <c r="E568" s="64">
        <f t="shared" si="155"/>
        <v>45788</v>
      </c>
      <c r="F568" s="64">
        <f t="shared" ref="F568:F580" si="156">D568+28</f>
        <v>45809</v>
      </c>
      <c r="G568" s="96" t="s">
        <v>222</v>
      </c>
      <c r="H568" s="68">
        <v>1.0</v>
      </c>
      <c r="I568" s="69">
        <v>19.0</v>
      </c>
      <c r="J568" s="44">
        <f t="shared" si="113"/>
        <v>10</v>
      </c>
      <c r="K568" s="44">
        <f t="shared" si="114"/>
        <v>10</v>
      </c>
      <c r="L568" s="68">
        <v>20.0</v>
      </c>
      <c r="M568" s="69">
        <v>126.0</v>
      </c>
      <c r="N568" s="44">
        <f t="shared" si="111"/>
        <v>54</v>
      </c>
      <c r="O568" s="44">
        <f t="shared" si="112"/>
        <v>54</v>
      </c>
      <c r="P568" s="70">
        <v>326.0</v>
      </c>
      <c r="Q568" s="71"/>
      <c r="R568" s="71"/>
      <c r="S568" s="31"/>
    </row>
    <row r="569">
      <c r="A569" s="37" t="s">
        <v>48</v>
      </c>
      <c r="B569" s="81" t="s">
        <v>198</v>
      </c>
      <c r="C569" s="82" t="s">
        <v>67</v>
      </c>
      <c r="D569" s="64">
        <v>45781.0</v>
      </c>
      <c r="E569" s="64">
        <f t="shared" si="155"/>
        <v>45788</v>
      </c>
      <c r="F569" s="64">
        <f t="shared" si="156"/>
        <v>45809</v>
      </c>
      <c r="G569" s="96" t="s">
        <v>217</v>
      </c>
      <c r="H569" s="68"/>
      <c r="I569" s="69"/>
      <c r="J569" s="44" t="str">
        <f t="shared" si="113"/>
        <v/>
      </c>
      <c r="K569" s="44" t="str">
        <f t="shared" si="114"/>
        <v/>
      </c>
      <c r="L569" s="68">
        <v>260.0</v>
      </c>
      <c r="M569" s="69">
        <v>302.0</v>
      </c>
      <c r="N569" s="44">
        <f t="shared" si="111"/>
        <v>22</v>
      </c>
      <c r="O569" s="44">
        <f t="shared" si="112"/>
        <v>22</v>
      </c>
      <c r="P569" s="70">
        <v>326.0</v>
      </c>
      <c r="Q569" s="71"/>
      <c r="R569" s="71"/>
      <c r="S569" s="31"/>
    </row>
    <row r="570">
      <c r="A570" s="37" t="s">
        <v>48</v>
      </c>
      <c r="B570" s="81" t="s">
        <v>198</v>
      </c>
      <c r="C570" s="82" t="s">
        <v>67</v>
      </c>
      <c r="D570" s="64">
        <v>45781.0</v>
      </c>
      <c r="E570" s="64">
        <f t="shared" si="155"/>
        <v>45788</v>
      </c>
      <c r="F570" s="64">
        <f t="shared" si="156"/>
        <v>45809</v>
      </c>
      <c r="G570" s="96" t="s">
        <v>217</v>
      </c>
      <c r="H570" s="68"/>
      <c r="I570" s="69"/>
      <c r="J570" s="44" t="str">
        <f t="shared" si="113"/>
        <v/>
      </c>
      <c r="K570" s="44" t="str">
        <f t="shared" si="114"/>
        <v/>
      </c>
      <c r="L570" s="68">
        <v>306.0</v>
      </c>
      <c r="M570" s="69">
        <v>306.0</v>
      </c>
      <c r="N570" s="44">
        <f t="shared" si="111"/>
        <v>1</v>
      </c>
      <c r="O570" s="44">
        <f t="shared" si="112"/>
        <v>1</v>
      </c>
      <c r="P570" s="70">
        <v>326.0</v>
      </c>
      <c r="Q570" s="71"/>
      <c r="R570" s="71"/>
      <c r="S570" s="31"/>
    </row>
    <row r="571">
      <c r="A571" s="37" t="s">
        <v>48</v>
      </c>
      <c r="B571" s="81" t="s">
        <v>198</v>
      </c>
      <c r="C571" s="82" t="s">
        <v>223</v>
      </c>
      <c r="D571" s="64">
        <v>45782.0</v>
      </c>
      <c r="E571" s="64">
        <f t="shared" si="155"/>
        <v>45789</v>
      </c>
      <c r="F571" s="64">
        <f t="shared" si="156"/>
        <v>45810</v>
      </c>
      <c r="G571" s="104" t="s">
        <v>222</v>
      </c>
      <c r="H571" s="68">
        <v>21.0</v>
      </c>
      <c r="I571" s="69">
        <v>125.0</v>
      </c>
      <c r="J571" s="44">
        <f t="shared" si="113"/>
        <v>53</v>
      </c>
      <c r="K571" s="44">
        <f t="shared" si="114"/>
        <v>53</v>
      </c>
      <c r="L571" s="68">
        <v>2.0</v>
      </c>
      <c r="M571" s="69">
        <v>18.0</v>
      </c>
      <c r="N571" s="44">
        <f t="shared" si="111"/>
        <v>9</v>
      </c>
      <c r="O571" s="44">
        <f t="shared" si="112"/>
        <v>9</v>
      </c>
      <c r="P571" s="70">
        <v>327.0</v>
      </c>
      <c r="Q571" s="71"/>
      <c r="R571" s="71"/>
      <c r="S571" s="31"/>
    </row>
    <row r="572">
      <c r="A572" s="37" t="s">
        <v>48</v>
      </c>
      <c r="B572" s="81" t="s">
        <v>198</v>
      </c>
      <c r="C572" s="82" t="s">
        <v>223</v>
      </c>
      <c r="D572" s="64">
        <v>45782.0</v>
      </c>
      <c r="E572" s="64">
        <f t="shared" si="155"/>
        <v>45789</v>
      </c>
      <c r="F572" s="64">
        <f t="shared" si="156"/>
        <v>45810</v>
      </c>
      <c r="G572" s="104" t="s">
        <v>222</v>
      </c>
      <c r="H572" s="68">
        <v>191.0</v>
      </c>
      <c r="I572" s="69">
        <v>229.0</v>
      </c>
      <c r="J572" s="44">
        <f t="shared" si="113"/>
        <v>20</v>
      </c>
      <c r="K572" s="44">
        <f t="shared" si="114"/>
        <v>20</v>
      </c>
      <c r="L572" s="68">
        <v>128.0</v>
      </c>
      <c r="M572" s="69">
        <v>188.0</v>
      </c>
      <c r="N572" s="44">
        <f t="shared" si="111"/>
        <v>31</v>
      </c>
      <c r="O572" s="44">
        <f t="shared" si="112"/>
        <v>31</v>
      </c>
      <c r="P572" s="70">
        <v>327.0</v>
      </c>
      <c r="Q572" s="71"/>
      <c r="R572" s="71"/>
      <c r="S572" s="31"/>
    </row>
    <row r="573">
      <c r="A573" s="37" t="s">
        <v>130</v>
      </c>
      <c r="B573" s="81" t="s">
        <v>224</v>
      </c>
      <c r="C573" s="82" t="s">
        <v>225</v>
      </c>
      <c r="D573" s="64">
        <v>45782.0</v>
      </c>
      <c r="E573" s="64">
        <f t="shared" si="155"/>
        <v>45789</v>
      </c>
      <c r="F573" s="64">
        <f t="shared" si="156"/>
        <v>45810</v>
      </c>
      <c r="G573" s="89" t="s">
        <v>10</v>
      </c>
      <c r="H573" s="102">
        <v>1.0</v>
      </c>
      <c r="I573" s="103">
        <v>41.0</v>
      </c>
      <c r="J573" s="44">
        <f t="shared" si="113"/>
        <v>21</v>
      </c>
      <c r="K573" s="44">
        <f t="shared" si="114"/>
        <v>21</v>
      </c>
      <c r="L573" s="102">
        <v>44.0</v>
      </c>
      <c r="M573" s="103">
        <v>50.0</v>
      </c>
      <c r="N573" s="44">
        <f t="shared" si="111"/>
        <v>4</v>
      </c>
      <c r="O573" s="44">
        <f t="shared" si="112"/>
        <v>4</v>
      </c>
      <c r="P573" s="70">
        <v>328.0</v>
      </c>
      <c r="Q573" s="96" t="s">
        <v>226</v>
      </c>
      <c r="R573" s="96">
        <v>14.5275</v>
      </c>
      <c r="S573" s="57"/>
    </row>
    <row r="574">
      <c r="A574" s="37" t="s">
        <v>48</v>
      </c>
      <c r="B574" s="81" t="s">
        <v>198</v>
      </c>
      <c r="C574" s="82" t="s">
        <v>69</v>
      </c>
      <c r="D574" s="64">
        <v>45782.0</v>
      </c>
      <c r="E574" s="64">
        <f t="shared" si="155"/>
        <v>45789</v>
      </c>
      <c r="F574" s="64">
        <f t="shared" si="156"/>
        <v>45810</v>
      </c>
      <c r="G574" s="80" t="s">
        <v>99</v>
      </c>
      <c r="H574" s="68">
        <v>2753.0</v>
      </c>
      <c r="I574" s="69">
        <v>2775.0</v>
      </c>
      <c r="J574" s="44">
        <f t="shared" si="113"/>
        <v>12</v>
      </c>
      <c r="K574" s="44">
        <f t="shared" si="114"/>
        <v>12</v>
      </c>
      <c r="L574" s="68"/>
      <c r="M574" s="69"/>
      <c r="N574" s="44" t="str">
        <f t="shared" si="111"/>
        <v/>
      </c>
      <c r="O574" s="44" t="str">
        <f t="shared" si="112"/>
        <v/>
      </c>
      <c r="P574" s="70">
        <v>329.0</v>
      </c>
      <c r="Q574" s="88"/>
      <c r="R574" s="88"/>
      <c r="S574" s="31"/>
    </row>
    <row r="575">
      <c r="A575" s="37" t="s">
        <v>48</v>
      </c>
      <c r="B575" s="81" t="s">
        <v>198</v>
      </c>
      <c r="C575" s="82" t="s">
        <v>69</v>
      </c>
      <c r="D575" s="64">
        <v>45782.0</v>
      </c>
      <c r="E575" s="64">
        <f t="shared" si="155"/>
        <v>45789</v>
      </c>
      <c r="F575" s="64">
        <f t="shared" si="156"/>
        <v>45810</v>
      </c>
      <c r="G575" s="80" t="s">
        <v>99</v>
      </c>
      <c r="H575" s="68">
        <v>2789.0</v>
      </c>
      <c r="I575" s="69">
        <v>2799.0</v>
      </c>
      <c r="J575" s="44">
        <f t="shared" si="113"/>
        <v>6</v>
      </c>
      <c r="K575" s="44">
        <f t="shared" si="114"/>
        <v>6</v>
      </c>
      <c r="L575" s="68"/>
      <c r="M575" s="69"/>
      <c r="N575" s="44" t="str">
        <f t="shared" si="111"/>
        <v/>
      </c>
      <c r="O575" s="44" t="str">
        <f t="shared" si="112"/>
        <v/>
      </c>
      <c r="P575" s="70">
        <v>329.0</v>
      </c>
      <c r="Q575" s="88"/>
      <c r="R575" s="88"/>
      <c r="S575" s="31"/>
    </row>
    <row r="576">
      <c r="A576" s="37" t="s">
        <v>48</v>
      </c>
      <c r="B576" s="81" t="s">
        <v>198</v>
      </c>
      <c r="C576" s="82" t="s">
        <v>69</v>
      </c>
      <c r="D576" s="64">
        <v>45782.0</v>
      </c>
      <c r="E576" s="64">
        <f t="shared" si="155"/>
        <v>45789</v>
      </c>
      <c r="F576" s="64">
        <f t="shared" si="156"/>
        <v>45810</v>
      </c>
      <c r="G576" s="80" t="s">
        <v>99</v>
      </c>
      <c r="H576" s="68">
        <v>2809.0</v>
      </c>
      <c r="I576" s="69">
        <v>2857.0</v>
      </c>
      <c r="J576" s="44">
        <f t="shared" si="113"/>
        <v>25</v>
      </c>
      <c r="K576" s="44">
        <f t="shared" si="114"/>
        <v>25</v>
      </c>
      <c r="L576" s="68"/>
      <c r="M576" s="69"/>
      <c r="N576" s="44" t="str">
        <f t="shared" si="111"/>
        <v/>
      </c>
      <c r="O576" s="44" t="str">
        <f t="shared" si="112"/>
        <v/>
      </c>
      <c r="P576" s="70">
        <v>329.0</v>
      </c>
      <c r="Q576" s="88"/>
      <c r="R576" s="88"/>
      <c r="S576" s="31"/>
    </row>
    <row r="577" ht="16.5" customHeight="1">
      <c r="A577" s="37" t="s">
        <v>48</v>
      </c>
      <c r="B577" s="81" t="s">
        <v>198</v>
      </c>
      <c r="C577" s="82" t="s">
        <v>69</v>
      </c>
      <c r="D577" s="64">
        <v>45782.0</v>
      </c>
      <c r="E577" s="64">
        <f t="shared" si="155"/>
        <v>45789</v>
      </c>
      <c r="F577" s="64">
        <f t="shared" si="156"/>
        <v>45810</v>
      </c>
      <c r="G577" s="80" t="s">
        <v>99</v>
      </c>
      <c r="H577" s="68">
        <v>2867.0</v>
      </c>
      <c r="I577" s="69">
        <v>2887.0</v>
      </c>
      <c r="J577" s="44">
        <f t="shared" si="113"/>
        <v>11</v>
      </c>
      <c r="K577" s="44">
        <f t="shared" si="114"/>
        <v>11</v>
      </c>
      <c r="L577" s="68"/>
      <c r="M577" s="69"/>
      <c r="N577" s="44" t="str">
        <f t="shared" si="111"/>
        <v/>
      </c>
      <c r="O577" s="44" t="str">
        <f t="shared" si="112"/>
        <v/>
      </c>
      <c r="P577" s="70">
        <v>329.0</v>
      </c>
      <c r="Q577" s="88"/>
      <c r="R577" s="88"/>
      <c r="S577" s="31"/>
    </row>
    <row r="578">
      <c r="A578" s="37" t="s">
        <v>48</v>
      </c>
      <c r="B578" s="81" t="s">
        <v>198</v>
      </c>
      <c r="C578" s="39" t="s">
        <v>227</v>
      </c>
      <c r="D578" s="64">
        <v>45783.0</v>
      </c>
      <c r="E578" s="64">
        <f t="shared" si="155"/>
        <v>45790</v>
      </c>
      <c r="F578" s="64">
        <f t="shared" si="156"/>
        <v>45811</v>
      </c>
      <c r="G578" s="80" t="s">
        <v>99</v>
      </c>
      <c r="H578" s="68"/>
      <c r="I578" s="69"/>
      <c r="J578" s="44" t="str">
        <f t="shared" si="113"/>
        <v/>
      </c>
      <c r="K578" s="44" t="str">
        <f t="shared" si="114"/>
        <v/>
      </c>
      <c r="L578" s="68">
        <v>2754.0</v>
      </c>
      <c r="M578" s="69">
        <v>2774.0</v>
      </c>
      <c r="N578" s="44">
        <f t="shared" si="111"/>
        <v>11</v>
      </c>
      <c r="O578" s="44">
        <f t="shared" si="112"/>
        <v>11</v>
      </c>
      <c r="P578" s="70">
        <v>330.0</v>
      </c>
      <c r="Q578" s="88"/>
      <c r="R578" s="88"/>
      <c r="S578" s="31"/>
    </row>
    <row r="579">
      <c r="A579" s="37" t="s">
        <v>48</v>
      </c>
      <c r="B579" s="81" t="s">
        <v>198</v>
      </c>
      <c r="C579" s="39" t="s">
        <v>227</v>
      </c>
      <c r="D579" s="64">
        <v>45783.0</v>
      </c>
      <c r="E579" s="64">
        <f t="shared" si="155"/>
        <v>45790</v>
      </c>
      <c r="F579" s="64">
        <f t="shared" si="156"/>
        <v>45811</v>
      </c>
      <c r="G579" s="80" t="s">
        <v>99</v>
      </c>
      <c r="H579" s="68"/>
      <c r="I579" s="69"/>
      <c r="J579" s="44" t="str">
        <f t="shared" si="113"/>
        <v/>
      </c>
      <c r="K579" s="44" t="str">
        <f t="shared" si="114"/>
        <v/>
      </c>
      <c r="L579" s="68">
        <v>2790.0</v>
      </c>
      <c r="M579" s="69">
        <v>2798.0</v>
      </c>
      <c r="N579" s="44">
        <f t="shared" si="111"/>
        <v>5</v>
      </c>
      <c r="O579" s="44">
        <f t="shared" si="112"/>
        <v>5</v>
      </c>
      <c r="P579" s="70">
        <v>330.0</v>
      </c>
      <c r="Q579" s="88"/>
      <c r="R579" s="88"/>
      <c r="S579" s="31"/>
    </row>
    <row r="580">
      <c r="A580" s="37" t="s">
        <v>48</v>
      </c>
      <c r="B580" s="81" t="s">
        <v>198</v>
      </c>
      <c r="C580" s="39" t="s">
        <v>227</v>
      </c>
      <c r="D580" s="64">
        <v>45783.0</v>
      </c>
      <c r="E580" s="64">
        <f t="shared" si="155"/>
        <v>45790</v>
      </c>
      <c r="F580" s="64">
        <f t="shared" si="156"/>
        <v>45811</v>
      </c>
      <c r="G580" s="80" t="s">
        <v>99</v>
      </c>
      <c r="H580" s="68"/>
      <c r="I580" s="69"/>
      <c r="J580" s="44" t="str">
        <f t="shared" si="113"/>
        <v/>
      </c>
      <c r="K580" s="44" t="str">
        <f t="shared" si="114"/>
        <v/>
      </c>
      <c r="L580" s="68">
        <v>2810.0</v>
      </c>
      <c r="M580" s="69">
        <v>2834.0</v>
      </c>
      <c r="N580" s="44">
        <f t="shared" si="111"/>
        <v>13</v>
      </c>
      <c r="O580" s="44">
        <f t="shared" si="112"/>
        <v>13</v>
      </c>
      <c r="P580" s="70">
        <v>330.0</v>
      </c>
      <c r="Q580" s="88"/>
      <c r="R580" s="88"/>
      <c r="S580" s="31"/>
    </row>
    <row r="581">
      <c r="A581" s="37" t="s">
        <v>48</v>
      </c>
      <c r="B581" s="81" t="s">
        <v>198</v>
      </c>
      <c r="C581" s="82" t="s">
        <v>72</v>
      </c>
      <c r="D581" s="64">
        <v>45783.0</v>
      </c>
      <c r="E581" s="64">
        <f t="shared" si="155"/>
        <v>45790</v>
      </c>
      <c r="F581" s="64">
        <f t="shared" ref="F581:F583" si="157">D581+28</f>
        <v>45811</v>
      </c>
      <c r="G581" s="96" t="s">
        <v>222</v>
      </c>
      <c r="H581" s="68">
        <v>127.0</v>
      </c>
      <c r="I581" s="69">
        <v>167.0</v>
      </c>
      <c r="J581" s="44">
        <f t="shared" si="113"/>
        <v>21</v>
      </c>
      <c r="K581" s="44">
        <f t="shared" si="114"/>
        <v>21</v>
      </c>
      <c r="L581" s="68">
        <v>190.0</v>
      </c>
      <c r="M581" s="69">
        <v>218.0</v>
      </c>
      <c r="N581" s="44">
        <f t="shared" si="111"/>
        <v>15</v>
      </c>
      <c r="O581" s="44">
        <f t="shared" si="112"/>
        <v>15</v>
      </c>
      <c r="P581" s="70">
        <v>331.0</v>
      </c>
      <c r="Q581" s="71"/>
      <c r="R581" s="71"/>
      <c r="S581" s="31"/>
    </row>
    <row r="582">
      <c r="A582" s="37" t="s">
        <v>48</v>
      </c>
      <c r="B582" s="81" t="s">
        <v>198</v>
      </c>
      <c r="C582" s="82" t="s">
        <v>72</v>
      </c>
      <c r="D582" s="64">
        <v>45783.0</v>
      </c>
      <c r="E582" s="64">
        <f t="shared" si="155"/>
        <v>45790</v>
      </c>
      <c r="F582" s="64">
        <f t="shared" si="157"/>
        <v>45811</v>
      </c>
      <c r="G582" s="96" t="s">
        <v>222</v>
      </c>
      <c r="H582" s="68">
        <v>171.0</v>
      </c>
      <c r="I582" s="69">
        <v>189.0</v>
      </c>
      <c r="J582" s="44">
        <f t="shared" si="113"/>
        <v>10</v>
      </c>
      <c r="K582" s="44">
        <f t="shared" si="114"/>
        <v>10</v>
      </c>
      <c r="L582" s="68">
        <v>222.0</v>
      </c>
      <c r="M582" s="69">
        <v>228.0</v>
      </c>
      <c r="N582" s="44">
        <f t="shared" si="111"/>
        <v>4</v>
      </c>
      <c r="O582" s="44">
        <f t="shared" si="112"/>
        <v>4</v>
      </c>
      <c r="P582" s="70">
        <v>331.0</v>
      </c>
      <c r="Q582" s="71"/>
      <c r="R582" s="71"/>
      <c r="S582" s="31"/>
    </row>
    <row r="583">
      <c r="A583" s="37" t="s">
        <v>48</v>
      </c>
      <c r="B583" s="81" t="s">
        <v>198</v>
      </c>
      <c r="C583" s="82" t="s">
        <v>72</v>
      </c>
      <c r="D583" s="64">
        <v>45783.0</v>
      </c>
      <c r="E583" s="64">
        <f t="shared" si="155"/>
        <v>45790</v>
      </c>
      <c r="F583" s="64">
        <f t="shared" si="157"/>
        <v>45811</v>
      </c>
      <c r="G583" s="96" t="s">
        <v>222</v>
      </c>
      <c r="H583" s="68">
        <v>231.0</v>
      </c>
      <c r="I583" s="69">
        <v>247.0</v>
      </c>
      <c r="J583" s="44">
        <f t="shared" si="113"/>
        <v>9</v>
      </c>
      <c r="K583" s="44">
        <f t="shared" si="114"/>
        <v>9</v>
      </c>
      <c r="L583" s="68"/>
      <c r="M583" s="69"/>
      <c r="N583" s="44" t="str">
        <f t="shared" si="111"/>
        <v/>
      </c>
      <c r="O583" s="44" t="str">
        <f t="shared" si="112"/>
        <v/>
      </c>
      <c r="P583" s="70">
        <v>331.0</v>
      </c>
      <c r="Q583" s="71"/>
      <c r="R583" s="71"/>
      <c r="S583" s="31"/>
    </row>
    <row r="584">
      <c r="A584" s="37" t="s">
        <v>48</v>
      </c>
      <c r="B584" s="81" t="s">
        <v>198</v>
      </c>
      <c r="C584" s="39" t="s">
        <v>228</v>
      </c>
      <c r="D584" s="64">
        <v>45784.0</v>
      </c>
      <c r="E584" s="64">
        <f t="shared" si="155"/>
        <v>45791</v>
      </c>
      <c r="F584" s="64">
        <f>D584+28</f>
        <v>45812</v>
      </c>
      <c r="G584" s="80" t="s">
        <v>99</v>
      </c>
      <c r="H584" s="68">
        <v>2889.0</v>
      </c>
      <c r="I584" s="69">
        <v>2977.0</v>
      </c>
      <c r="J584" s="44">
        <f t="shared" si="113"/>
        <v>45</v>
      </c>
      <c r="K584" s="44">
        <f t="shared" si="114"/>
        <v>45</v>
      </c>
      <c r="L584" s="68">
        <v>2836.0</v>
      </c>
      <c r="M584" s="69">
        <v>2854.0</v>
      </c>
      <c r="N584" s="44">
        <f t="shared" si="111"/>
        <v>10</v>
      </c>
      <c r="O584" s="44">
        <f t="shared" si="112"/>
        <v>10</v>
      </c>
      <c r="P584" s="70">
        <v>332.0</v>
      </c>
      <c r="Q584" s="88"/>
      <c r="R584" s="88"/>
      <c r="S584" s="31"/>
    </row>
    <row r="585">
      <c r="A585" s="37" t="s">
        <v>48</v>
      </c>
      <c r="B585" s="81" t="s">
        <v>198</v>
      </c>
      <c r="C585" s="82" t="s">
        <v>73</v>
      </c>
      <c r="D585" s="64">
        <v>45784.0</v>
      </c>
      <c r="E585" s="64">
        <f t="shared" si="155"/>
        <v>45791</v>
      </c>
      <c r="F585" s="64">
        <f>D585+28</f>
        <v>45812</v>
      </c>
      <c r="G585" s="96" t="s">
        <v>222</v>
      </c>
      <c r="H585" s="68">
        <v>249.0</v>
      </c>
      <c r="I585" s="69">
        <v>449.0</v>
      </c>
      <c r="J585" s="44">
        <f t="shared" si="113"/>
        <v>101</v>
      </c>
      <c r="K585" s="44">
        <f t="shared" si="114"/>
        <v>101</v>
      </c>
      <c r="L585" s="68">
        <v>230.0</v>
      </c>
      <c r="M585" s="69">
        <v>246.0</v>
      </c>
      <c r="N585" s="44">
        <f t="shared" si="111"/>
        <v>9</v>
      </c>
      <c r="O585" s="44">
        <f t="shared" si="112"/>
        <v>9</v>
      </c>
      <c r="P585" s="70">
        <v>333.0</v>
      </c>
      <c r="Q585" s="71"/>
      <c r="R585" s="71"/>
      <c r="S585" s="31"/>
    </row>
    <row r="586">
      <c r="A586" s="37" t="s">
        <v>48</v>
      </c>
      <c r="B586" s="81" t="s">
        <v>198</v>
      </c>
      <c r="C586" s="82" t="s">
        <v>229</v>
      </c>
      <c r="D586" s="64">
        <v>45785.0</v>
      </c>
      <c r="E586" s="64">
        <f t="shared" si="155"/>
        <v>45792</v>
      </c>
      <c r="F586" s="64">
        <f>D586+28</f>
        <v>45813</v>
      </c>
      <c r="G586" s="80" t="s">
        <v>99</v>
      </c>
      <c r="H586" s="68">
        <v>2979.0</v>
      </c>
      <c r="I586" s="69">
        <v>3033.0</v>
      </c>
      <c r="J586" s="44">
        <f t="shared" si="113"/>
        <v>28</v>
      </c>
      <c r="K586" s="44">
        <f t="shared" si="114"/>
        <v>28</v>
      </c>
      <c r="L586" s="68">
        <v>2868.0</v>
      </c>
      <c r="M586" s="69">
        <v>2912.0</v>
      </c>
      <c r="N586" s="44">
        <f t="shared" si="111"/>
        <v>23</v>
      </c>
      <c r="O586" s="44">
        <f t="shared" si="112"/>
        <v>23</v>
      </c>
      <c r="P586" s="70">
        <v>334.0</v>
      </c>
      <c r="Q586" s="88"/>
      <c r="R586" s="88"/>
      <c r="S586" s="31"/>
    </row>
    <row r="587">
      <c r="A587" s="37" t="s">
        <v>48</v>
      </c>
      <c r="B587" s="81" t="s">
        <v>198</v>
      </c>
      <c r="C587" s="82" t="s">
        <v>77</v>
      </c>
      <c r="D587" s="64">
        <v>45785.0</v>
      </c>
      <c r="E587" s="64">
        <f t="shared" si="155"/>
        <v>45792</v>
      </c>
      <c r="F587" s="64">
        <f t="shared" ref="F587:F842" si="158">D587+28</f>
        <v>45813</v>
      </c>
      <c r="G587" s="96" t="s">
        <v>222</v>
      </c>
      <c r="H587" s="68">
        <v>451.0</v>
      </c>
      <c r="I587" s="69">
        <v>463.0</v>
      </c>
      <c r="J587" s="44">
        <f t="shared" si="113"/>
        <v>7</v>
      </c>
      <c r="K587" s="44">
        <f t="shared" si="114"/>
        <v>7</v>
      </c>
      <c r="L587" s="68">
        <v>248.0</v>
      </c>
      <c r="M587" s="69">
        <v>268.0</v>
      </c>
      <c r="N587" s="44">
        <f t="shared" si="111"/>
        <v>11</v>
      </c>
      <c r="O587" s="44">
        <f t="shared" si="112"/>
        <v>11</v>
      </c>
      <c r="P587" s="70">
        <v>335.0</v>
      </c>
      <c r="Q587" s="71"/>
      <c r="R587" s="71"/>
      <c r="S587" s="31"/>
    </row>
    <row r="588">
      <c r="A588" s="37" t="s">
        <v>48</v>
      </c>
      <c r="B588" s="81" t="s">
        <v>198</v>
      </c>
      <c r="C588" s="82" t="s">
        <v>77</v>
      </c>
      <c r="D588" s="64">
        <v>45785.0</v>
      </c>
      <c r="E588" s="64">
        <f t="shared" si="155"/>
        <v>45792</v>
      </c>
      <c r="F588" s="64">
        <f t="shared" si="158"/>
        <v>45813</v>
      </c>
      <c r="G588" s="96" t="s">
        <v>222</v>
      </c>
      <c r="H588" s="68"/>
      <c r="I588" s="69"/>
      <c r="J588" s="44" t="str">
        <f t="shared" si="113"/>
        <v/>
      </c>
      <c r="K588" s="44" t="str">
        <f t="shared" si="114"/>
        <v/>
      </c>
      <c r="L588" s="68">
        <v>272.0</v>
      </c>
      <c r="M588" s="69">
        <v>318.0</v>
      </c>
      <c r="N588" s="44">
        <f t="shared" si="111"/>
        <v>24</v>
      </c>
      <c r="O588" s="44">
        <f t="shared" si="112"/>
        <v>24</v>
      </c>
      <c r="P588" s="70">
        <v>335.0</v>
      </c>
      <c r="Q588" s="71"/>
      <c r="R588" s="71"/>
      <c r="S588" s="31"/>
    </row>
    <row r="589">
      <c r="A589" s="37" t="s">
        <v>48</v>
      </c>
      <c r="B589" s="81" t="s">
        <v>198</v>
      </c>
      <c r="C589" s="82" t="s">
        <v>77</v>
      </c>
      <c r="D589" s="64">
        <v>45785.0</v>
      </c>
      <c r="E589" s="64">
        <f t="shared" si="155"/>
        <v>45792</v>
      </c>
      <c r="F589" s="64">
        <f t="shared" si="158"/>
        <v>45813</v>
      </c>
      <c r="G589" s="96" t="s">
        <v>222</v>
      </c>
      <c r="H589" s="68"/>
      <c r="I589" s="69"/>
      <c r="J589" s="44" t="str">
        <f t="shared" si="113"/>
        <v/>
      </c>
      <c r="K589" s="44" t="str">
        <f t="shared" si="114"/>
        <v/>
      </c>
      <c r="L589" s="68">
        <v>322.0</v>
      </c>
      <c r="M589" s="69">
        <v>370.0</v>
      </c>
      <c r="N589" s="44">
        <f t="shared" si="111"/>
        <v>25</v>
      </c>
      <c r="O589" s="44">
        <f t="shared" si="112"/>
        <v>25</v>
      </c>
      <c r="P589" s="70">
        <v>335.0</v>
      </c>
      <c r="Q589" s="71"/>
      <c r="R589" s="71"/>
      <c r="S589" s="31"/>
    </row>
    <row r="590">
      <c r="A590" s="37" t="s">
        <v>48</v>
      </c>
      <c r="B590" s="81" t="s">
        <v>198</v>
      </c>
      <c r="C590" s="82" t="s">
        <v>77</v>
      </c>
      <c r="D590" s="64">
        <v>45785.0</v>
      </c>
      <c r="E590" s="64">
        <f t="shared" si="155"/>
        <v>45792</v>
      </c>
      <c r="F590" s="64">
        <f t="shared" si="158"/>
        <v>45813</v>
      </c>
      <c r="G590" s="96" t="s">
        <v>222</v>
      </c>
      <c r="H590" s="68"/>
      <c r="I590" s="69"/>
      <c r="J590" s="44" t="str">
        <f t="shared" si="113"/>
        <v/>
      </c>
      <c r="K590" s="44" t="str">
        <f t="shared" si="114"/>
        <v/>
      </c>
      <c r="L590" s="68">
        <v>374.0</v>
      </c>
      <c r="M590" s="69">
        <v>414.0</v>
      </c>
      <c r="N590" s="44">
        <f t="shared" si="111"/>
        <v>21</v>
      </c>
      <c r="O590" s="44">
        <f t="shared" si="112"/>
        <v>21</v>
      </c>
      <c r="P590" s="70">
        <v>335.0</v>
      </c>
      <c r="Q590" s="71"/>
      <c r="R590" s="71"/>
      <c r="S590" s="31"/>
    </row>
    <row r="591">
      <c r="A591" s="37" t="s">
        <v>48</v>
      </c>
      <c r="B591" s="81" t="s">
        <v>198</v>
      </c>
      <c r="C591" s="111" t="s">
        <v>230</v>
      </c>
      <c r="D591" s="64">
        <v>45787.0</v>
      </c>
      <c r="E591" s="64">
        <f t="shared" si="155"/>
        <v>45794</v>
      </c>
      <c r="F591" s="64">
        <f t="shared" si="158"/>
        <v>45815</v>
      </c>
      <c r="G591" s="89" t="s">
        <v>99</v>
      </c>
      <c r="H591" s="102">
        <v>3035.0</v>
      </c>
      <c r="I591" s="103">
        <v>3073.0</v>
      </c>
      <c r="J591" s="44">
        <f t="shared" si="113"/>
        <v>20</v>
      </c>
      <c r="K591" s="44">
        <f t="shared" si="114"/>
        <v>20</v>
      </c>
      <c r="L591" s="102">
        <v>2914.0</v>
      </c>
      <c r="M591" s="103">
        <v>2980.0</v>
      </c>
      <c r="N591" s="44">
        <f t="shared" si="111"/>
        <v>34</v>
      </c>
      <c r="O591" s="44">
        <f t="shared" si="112"/>
        <v>34</v>
      </c>
      <c r="P591" s="70">
        <v>336.0</v>
      </c>
      <c r="Q591" s="96" t="s">
        <v>231</v>
      </c>
      <c r="R591" s="96">
        <v>49.68</v>
      </c>
      <c r="S591" s="31"/>
    </row>
    <row r="592">
      <c r="A592" s="37" t="s">
        <v>48</v>
      </c>
      <c r="B592" s="81" t="s">
        <v>198</v>
      </c>
      <c r="C592" s="109" t="s">
        <v>232</v>
      </c>
      <c r="D592" s="64">
        <v>45787.0</v>
      </c>
      <c r="E592" s="64">
        <f t="shared" si="155"/>
        <v>45794</v>
      </c>
      <c r="F592" s="64">
        <f t="shared" si="158"/>
        <v>45815</v>
      </c>
      <c r="G592" s="89" t="s">
        <v>233</v>
      </c>
      <c r="H592" s="102">
        <v>1.0</v>
      </c>
      <c r="I592" s="103">
        <v>91.0</v>
      </c>
      <c r="J592" s="44">
        <f t="shared" si="113"/>
        <v>46</v>
      </c>
      <c r="K592" s="44">
        <f t="shared" si="114"/>
        <v>46</v>
      </c>
      <c r="L592" s="68"/>
      <c r="M592" s="69"/>
      <c r="N592" s="44" t="str">
        <f t="shared" si="111"/>
        <v/>
      </c>
      <c r="O592" s="44" t="str">
        <f t="shared" si="112"/>
        <v/>
      </c>
      <c r="P592" s="112">
        <v>337.0</v>
      </c>
      <c r="Q592" s="96" t="s">
        <v>231</v>
      </c>
      <c r="R592" s="96">
        <v>13.8</v>
      </c>
      <c r="S592" s="31"/>
    </row>
    <row r="593">
      <c r="A593" s="37" t="s">
        <v>48</v>
      </c>
      <c r="B593" s="81" t="s">
        <v>198</v>
      </c>
      <c r="C593" s="82" t="s">
        <v>79</v>
      </c>
      <c r="D593" s="64">
        <v>45787.0</v>
      </c>
      <c r="E593" s="64">
        <f t="shared" si="155"/>
        <v>45794</v>
      </c>
      <c r="F593" s="64">
        <f t="shared" si="158"/>
        <v>45815</v>
      </c>
      <c r="G593" s="113" t="s">
        <v>222</v>
      </c>
      <c r="H593" s="114"/>
      <c r="I593" s="114"/>
      <c r="J593" s="44" t="str">
        <f t="shared" si="113"/>
        <v/>
      </c>
      <c r="K593" s="44" t="str">
        <f t="shared" si="114"/>
        <v/>
      </c>
      <c r="L593" s="102">
        <v>418.0</v>
      </c>
      <c r="M593" s="103">
        <v>462.0</v>
      </c>
      <c r="N593" s="44">
        <f t="shared" si="111"/>
        <v>23</v>
      </c>
      <c r="O593" s="44">
        <f t="shared" si="112"/>
        <v>23</v>
      </c>
      <c r="P593" s="112">
        <v>338.0</v>
      </c>
      <c r="Q593" s="96" t="s">
        <v>231</v>
      </c>
      <c r="R593" s="96">
        <v>6.9</v>
      </c>
      <c r="S593" s="31"/>
    </row>
    <row r="594">
      <c r="A594" s="37" t="s">
        <v>48</v>
      </c>
      <c r="B594" s="81" t="s">
        <v>198</v>
      </c>
      <c r="C594" s="82" t="s">
        <v>234</v>
      </c>
      <c r="D594" s="64">
        <v>45787.0</v>
      </c>
      <c r="E594" s="64">
        <f t="shared" si="155"/>
        <v>45794</v>
      </c>
      <c r="F594" s="64">
        <f t="shared" si="158"/>
        <v>45815</v>
      </c>
      <c r="G594" s="113" t="s">
        <v>97</v>
      </c>
      <c r="H594" s="115">
        <v>99.0</v>
      </c>
      <c r="I594" s="115">
        <v>99.0</v>
      </c>
      <c r="J594" s="44">
        <f t="shared" si="113"/>
        <v>1</v>
      </c>
      <c r="K594" s="44">
        <f t="shared" si="114"/>
        <v>1</v>
      </c>
      <c r="L594" s="102">
        <v>100.0</v>
      </c>
      <c r="M594" s="103">
        <v>100.0</v>
      </c>
      <c r="N594" s="44">
        <f t="shared" si="111"/>
        <v>1</v>
      </c>
      <c r="O594" s="44">
        <f t="shared" si="112"/>
        <v>1</v>
      </c>
      <c r="P594" s="112">
        <v>339.0</v>
      </c>
      <c r="Q594" s="96" t="s">
        <v>231</v>
      </c>
      <c r="R594" s="96">
        <v>8.02</v>
      </c>
      <c r="S594" s="31"/>
    </row>
    <row r="595">
      <c r="A595" s="37" t="s">
        <v>48</v>
      </c>
      <c r="B595" s="81" t="s">
        <v>198</v>
      </c>
      <c r="C595" s="82" t="s">
        <v>234</v>
      </c>
      <c r="D595" s="64">
        <v>45787.0</v>
      </c>
      <c r="E595" s="64">
        <f t="shared" si="155"/>
        <v>45794</v>
      </c>
      <c r="F595" s="64">
        <f t="shared" si="158"/>
        <v>45815</v>
      </c>
      <c r="G595" s="113" t="s">
        <v>97</v>
      </c>
      <c r="H595" s="68"/>
      <c r="I595" s="69"/>
      <c r="J595" s="44" t="str">
        <f t="shared" si="113"/>
        <v/>
      </c>
      <c r="K595" s="44" t="str">
        <f t="shared" si="114"/>
        <v/>
      </c>
      <c r="L595" s="102">
        <v>272.0</v>
      </c>
      <c r="M595" s="103">
        <v>272.0</v>
      </c>
      <c r="N595" s="44">
        <f t="shared" si="111"/>
        <v>1</v>
      </c>
      <c r="O595" s="44">
        <f t="shared" si="112"/>
        <v>1</v>
      </c>
      <c r="P595" s="112">
        <v>339.0</v>
      </c>
      <c r="Q595" s="96" t="s">
        <v>231</v>
      </c>
      <c r="R595" s="71"/>
      <c r="S595" s="31"/>
    </row>
    <row r="596">
      <c r="A596" s="37" t="s">
        <v>48</v>
      </c>
      <c r="B596" s="81" t="s">
        <v>198</v>
      </c>
      <c r="C596" s="82" t="s">
        <v>234</v>
      </c>
      <c r="D596" s="64">
        <v>45787.0</v>
      </c>
      <c r="E596" s="64">
        <f t="shared" si="155"/>
        <v>45794</v>
      </c>
      <c r="F596" s="64">
        <f t="shared" si="158"/>
        <v>45815</v>
      </c>
      <c r="G596" s="96" t="s">
        <v>181</v>
      </c>
      <c r="H596" s="102">
        <v>1.0</v>
      </c>
      <c r="I596" s="103">
        <v>3.0</v>
      </c>
      <c r="J596" s="44">
        <f t="shared" si="113"/>
        <v>2</v>
      </c>
      <c r="K596" s="44">
        <f t="shared" si="114"/>
        <v>2</v>
      </c>
      <c r="L596" s="102">
        <v>26.0</v>
      </c>
      <c r="M596" s="103">
        <v>42.0</v>
      </c>
      <c r="N596" s="44">
        <f t="shared" si="111"/>
        <v>9</v>
      </c>
      <c r="O596" s="44">
        <f t="shared" si="112"/>
        <v>9</v>
      </c>
      <c r="P596" s="112">
        <v>339.0</v>
      </c>
      <c r="Q596" s="96" t="s">
        <v>231</v>
      </c>
      <c r="R596" s="71"/>
      <c r="S596" s="31"/>
    </row>
    <row r="597">
      <c r="A597" s="37" t="s">
        <v>48</v>
      </c>
      <c r="B597" s="81" t="s">
        <v>198</v>
      </c>
      <c r="C597" s="82" t="s">
        <v>234</v>
      </c>
      <c r="D597" s="64">
        <v>45787.0</v>
      </c>
      <c r="E597" s="64">
        <f t="shared" si="155"/>
        <v>45794</v>
      </c>
      <c r="F597" s="64">
        <f t="shared" si="158"/>
        <v>45815</v>
      </c>
      <c r="G597" s="96" t="s">
        <v>181</v>
      </c>
      <c r="H597" s="102">
        <v>7.0</v>
      </c>
      <c r="I597" s="103">
        <v>23.0</v>
      </c>
      <c r="J597" s="44">
        <f t="shared" si="113"/>
        <v>9</v>
      </c>
      <c r="K597" s="44">
        <f t="shared" si="114"/>
        <v>9</v>
      </c>
      <c r="L597" s="68"/>
      <c r="M597" s="69"/>
      <c r="N597" s="44" t="str">
        <f t="shared" si="111"/>
        <v/>
      </c>
      <c r="O597" s="44" t="str">
        <f t="shared" si="112"/>
        <v/>
      </c>
      <c r="P597" s="112">
        <v>339.0</v>
      </c>
      <c r="Q597" s="96" t="s">
        <v>231</v>
      </c>
      <c r="R597" s="71"/>
      <c r="S597" s="31"/>
    </row>
    <row r="598">
      <c r="A598" s="37" t="s">
        <v>48</v>
      </c>
      <c r="B598" s="81" t="s">
        <v>198</v>
      </c>
      <c r="C598" s="82" t="s">
        <v>235</v>
      </c>
      <c r="D598" s="116">
        <v>45788.0</v>
      </c>
      <c r="E598" s="64">
        <f t="shared" si="155"/>
        <v>45795</v>
      </c>
      <c r="F598" s="64">
        <f t="shared" si="158"/>
        <v>45816</v>
      </c>
      <c r="G598" s="96" t="s">
        <v>233</v>
      </c>
      <c r="H598" s="102">
        <v>93.0</v>
      </c>
      <c r="I598" s="103">
        <v>301.0</v>
      </c>
      <c r="J598" s="44">
        <f t="shared" si="113"/>
        <v>105</v>
      </c>
      <c r="K598" s="44">
        <f t="shared" si="114"/>
        <v>105</v>
      </c>
      <c r="L598" s="68"/>
      <c r="M598" s="69"/>
      <c r="N598" s="44" t="str">
        <f t="shared" si="111"/>
        <v/>
      </c>
      <c r="O598" s="44" t="str">
        <f t="shared" si="112"/>
        <v/>
      </c>
      <c r="P598" s="112">
        <v>340.0</v>
      </c>
      <c r="Q598" s="98" t="s">
        <v>109</v>
      </c>
      <c r="R598" s="71"/>
      <c r="S598" s="31"/>
    </row>
    <row r="599">
      <c r="A599" s="37" t="s">
        <v>48</v>
      </c>
      <c r="B599" s="81" t="s">
        <v>198</v>
      </c>
      <c r="C599" s="82" t="s">
        <v>236</v>
      </c>
      <c r="D599" s="116">
        <v>45788.0</v>
      </c>
      <c r="E599" s="64">
        <f t="shared" si="155"/>
        <v>45795</v>
      </c>
      <c r="F599" s="64">
        <f t="shared" si="158"/>
        <v>45816</v>
      </c>
      <c r="G599" s="96" t="s">
        <v>99</v>
      </c>
      <c r="H599" s="102">
        <v>3075.0</v>
      </c>
      <c r="I599" s="103">
        <v>3129.0</v>
      </c>
      <c r="J599" s="44">
        <f t="shared" si="113"/>
        <v>28</v>
      </c>
      <c r="K599" s="44">
        <f t="shared" si="114"/>
        <v>28</v>
      </c>
      <c r="L599" s="102">
        <v>2982.0</v>
      </c>
      <c r="M599" s="103">
        <v>3036.0</v>
      </c>
      <c r="N599" s="44">
        <f t="shared" si="111"/>
        <v>28</v>
      </c>
      <c r="O599" s="44">
        <f t="shared" si="112"/>
        <v>28</v>
      </c>
      <c r="P599" s="112">
        <v>341.0</v>
      </c>
      <c r="Q599" s="96" t="s">
        <v>231</v>
      </c>
      <c r="R599" s="96">
        <v>51.52</v>
      </c>
      <c r="S599" s="31"/>
    </row>
    <row r="600">
      <c r="A600" s="37" t="s">
        <v>130</v>
      </c>
      <c r="B600" s="81" t="s">
        <v>198</v>
      </c>
      <c r="C600" s="39" t="s">
        <v>109</v>
      </c>
      <c r="D600" s="116">
        <v>45790.0</v>
      </c>
      <c r="E600" s="64">
        <f t="shared" si="155"/>
        <v>45797</v>
      </c>
      <c r="F600" s="64">
        <f t="shared" si="158"/>
        <v>45818</v>
      </c>
      <c r="G600" s="96" t="s">
        <v>99</v>
      </c>
      <c r="H600" s="68"/>
      <c r="I600" s="69"/>
      <c r="J600" s="44" t="str">
        <f t="shared" si="113"/>
        <v/>
      </c>
      <c r="K600" s="44" t="str">
        <f t="shared" si="114"/>
        <v/>
      </c>
      <c r="L600" s="68"/>
      <c r="M600" s="69"/>
      <c r="N600" s="44" t="str">
        <f t="shared" si="111"/>
        <v/>
      </c>
      <c r="O600" s="44" t="str">
        <f t="shared" si="112"/>
        <v/>
      </c>
      <c r="P600" s="112">
        <v>342.0</v>
      </c>
      <c r="Q600" s="96" t="s">
        <v>231</v>
      </c>
      <c r="R600" s="71"/>
      <c r="S600" s="31"/>
    </row>
    <row r="601">
      <c r="A601" s="37" t="s">
        <v>48</v>
      </c>
      <c r="B601" s="81" t="s">
        <v>198</v>
      </c>
      <c r="C601" s="82" t="s">
        <v>237</v>
      </c>
      <c r="D601" s="116">
        <v>45790.0</v>
      </c>
      <c r="E601" s="64">
        <f t="shared" si="155"/>
        <v>45797</v>
      </c>
      <c r="F601" s="64">
        <f t="shared" si="158"/>
        <v>45818</v>
      </c>
      <c r="G601" s="96" t="s">
        <v>233</v>
      </c>
      <c r="H601" s="68"/>
      <c r="I601" s="69"/>
      <c r="J601" s="44" t="str">
        <f t="shared" si="113"/>
        <v/>
      </c>
      <c r="K601" s="44" t="str">
        <f t="shared" si="114"/>
        <v/>
      </c>
      <c r="L601" s="102">
        <v>2.0</v>
      </c>
      <c r="M601" s="103">
        <v>54.0</v>
      </c>
      <c r="N601" s="44">
        <f t="shared" si="111"/>
        <v>27</v>
      </c>
      <c r="O601" s="44">
        <f t="shared" si="112"/>
        <v>27</v>
      </c>
      <c r="P601" s="112">
        <v>343.0</v>
      </c>
      <c r="Q601" s="96" t="s">
        <v>238</v>
      </c>
      <c r="R601" s="96">
        <v>29.0</v>
      </c>
      <c r="S601" s="31"/>
    </row>
    <row r="602">
      <c r="A602" s="37" t="s">
        <v>48</v>
      </c>
      <c r="B602" s="81" t="s">
        <v>198</v>
      </c>
      <c r="C602" s="82" t="s">
        <v>237</v>
      </c>
      <c r="D602" s="116">
        <v>45790.0</v>
      </c>
      <c r="E602" s="64">
        <f t="shared" si="155"/>
        <v>45797</v>
      </c>
      <c r="F602" s="64">
        <f t="shared" si="158"/>
        <v>45818</v>
      </c>
      <c r="G602" s="96" t="s">
        <v>233</v>
      </c>
      <c r="H602" s="68"/>
      <c r="I602" s="69"/>
      <c r="J602" s="44" t="str">
        <f t="shared" si="113"/>
        <v/>
      </c>
      <c r="K602" s="44" t="str">
        <f t="shared" si="114"/>
        <v/>
      </c>
      <c r="L602" s="102">
        <v>58.0</v>
      </c>
      <c r="M602" s="103">
        <v>104.0</v>
      </c>
      <c r="N602" s="44">
        <f t="shared" si="111"/>
        <v>24</v>
      </c>
      <c r="O602" s="44">
        <f t="shared" si="112"/>
        <v>24</v>
      </c>
      <c r="P602" s="112">
        <v>343.0</v>
      </c>
      <c r="Q602" s="96" t="s">
        <v>238</v>
      </c>
      <c r="R602" s="71"/>
      <c r="S602" s="31"/>
    </row>
    <row r="603">
      <c r="A603" s="37" t="s">
        <v>48</v>
      </c>
      <c r="B603" s="81" t="s">
        <v>198</v>
      </c>
      <c r="C603" s="82" t="s">
        <v>237</v>
      </c>
      <c r="D603" s="116">
        <v>45790.0</v>
      </c>
      <c r="E603" s="64">
        <f t="shared" si="155"/>
        <v>45797</v>
      </c>
      <c r="F603" s="64">
        <f t="shared" si="158"/>
        <v>45818</v>
      </c>
      <c r="G603" s="96" t="s">
        <v>233</v>
      </c>
      <c r="H603" s="68"/>
      <c r="I603" s="69"/>
      <c r="J603" s="44" t="str">
        <f t="shared" si="113"/>
        <v/>
      </c>
      <c r="K603" s="44" t="str">
        <f t="shared" si="114"/>
        <v/>
      </c>
      <c r="L603" s="102">
        <v>108.0</v>
      </c>
      <c r="M603" s="103">
        <v>154.0</v>
      </c>
      <c r="N603" s="44">
        <f t="shared" si="111"/>
        <v>24</v>
      </c>
      <c r="O603" s="44">
        <f t="shared" si="112"/>
        <v>24</v>
      </c>
      <c r="P603" s="112">
        <v>343.0</v>
      </c>
      <c r="Q603" s="96" t="s">
        <v>238</v>
      </c>
      <c r="R603" s="71"/>
      <c r="S603" s="31"/>
    </row>
    <row r="604">
      <c r="A604" s="37" t="s">
        <v>48</v>
      </c>
      <c r="B604" s="81" t="s">
        <v>198</v>
      </c>
      <c r="C604" s="82" t="s">
        <v>237</v>
      </c>
      <c r="D604" s="116">
        <v>45790.0</v>
      </c>
      <c r="E604" s="64">
        <f t="shared" si="155"/>
        <v>45797</v>
      </c>
      <c r="F604" s="64">
        <f t="shared" si="158"/>
        <v>45818</v>
      </c>
      <c r="G604" s="96" t="s">
        <v>233</v>
      </c>
      <c r="H604" s="68"/>
      <c r="I604" s="69"/>
      <c r="J604" s="44" t="str">
        <f t="shared" si="113"/>
        <v/>
      </c>
      <c r="K604" s="44" t="str">
        <f t="shared" si="114"/>
        <v/>
      </c>
      <c r="L604" s="102">
        <v>158.0</v>
      </c>
      <c r="M604" s="103">
        <v>204.0</v>
      </c>
      <c r="N604" s="44">
        <f t="shared" si="111"/>
        <v>24</v>
      </c>
      <c r="O604" s="44">
        <f t="shared" si="112"/>
        <v>24</v>
      </c>
      <c r="P604" s="112">
        <v>343.0</v>
      </c>
      <c r="Q604" s="96" t="s">
        <v>238</v>
      </c>
      <c r="R604" s="71"/>
      <c r="S604" s="31"/>
    </row>
    <row r="605">
      <c r="A605" s="37" t="s">
        <v>48</v>
      </c>
      <c r="B605" s="81" t="s">
        <v>198</v>
      </c>
      <c r="C605" s="82" t="s">
        <v>239</v>
      </c>
      <c r="D605" s="116">
        <v>45791.0</v>
      </c>
      <c r="E605" s="64">
        <f t="shared" si="155"/>
        <v>45798</v>
      </c>
      <c r="F605" s="64">
        <f t="shared" si="158"/>
        <v>45819</v>
      </c>
      <c r="G605" s="96" t="s">
        <v>99</v>
      </c>
      <c r="H605" s="102">
        <v>3131.0</v>
      </c>
      <c r="I605" s="103">
        <v>3167.0</v>
      </c>
      <c r="J605" s="44">
        <f t="shared" si="113"/>
        <v>19</v>
      </c>
      <c r="K605" s="44">
        <f t="shared" si="114"/>
        <v>19</v>
      </c>
      <c r="L605" s="102">
        <v>3038.0</v>
      </c>
      <c r="M605" s="103">
        <v>3110.0</v>
      </c>
      <c r="N605" s="44">
        <f t="shared" si="111"/>
        <v>37</v>
      </c>
      <c r="O605" s="44">
        <f t="shared" si="112"/>
        <v>37</v>
      </c>
      <c r="P605" s="112">
        <v>344.0</v>
      </c>
      <c r="Q605" s="96" t="s">
        <v>238</v>
      </c>
      <c r="R605" s="96">
        <v>51.52</v>
      </c>
      <c r="S605" s="31"/>
    </row>
    <row r="606">
      <c r="A606" s="37" t="s">
        <v>48</v>
      </c>
      <c r="B606" s="81" t="s">
        <v>198</v>
      </c>
      <c r="C606" s="82" t="s">
        <v>240</v>
      </c>
      <c r="D606" s="116">
        <v>45791.0</v>
      </c>
      <c r="E606" s="64">
        <f t="shared" si="155"/>
        <v>45798</v>
      </c>
      <c r="F606" s="64">
        <f t="shared" si="158"/>
        <v>45819</v>
      </c>
      <c r="G606" s="96" t="s">
        <v>200</v>
      </c>
      <c r="H606" s="102">
        <v>89.0</v>
      </c>
      <c r="I606" s="103">
        <v>91.0</v>
      </c>
      <c r="J606" s="44">
        <f t="shared" si="113"/>
        <v>2</v>
      </c>
      <c r="K606" s="44">
        <f t="shared" si="114"/>
        <v>2</v>
      </c>
      <c r="L606" s="102">
        <v>94.0</v>
      </c>
      <c r="M606" s="103">
        <v>100.0</v>
      </c>
      <c r="N606" s="44">
        <f t="shared" si="111"/>
        <v>4</v>
      </c>
      <c r="O606" s="44">
        <f t="shared" si="112"/>
        <v>4</v>
      </c>
      <c r="P606" s="112">
        <v>345.0</v>
      </c>
      <c r="Q606" s="96" t="s">
        <v>238</v>
      </c>
      <c r="R606" s="96">
        <v>10.57</v>
      </c>
      <c r="S606" s="31"/>
    </row>
    <row r="607">
      <c r="A607" s="37" t="s">
        <v>48</v>
      </c>
      <c r="B607" s="81" t="s">
        <v>198</v>
      </c>
      <c r="C607" s="82" t="s">
        <v>240</v>
      </c>
      <c r="D607" s="116">
        <v>45791.0</v>
      </c>
      <c r="E607" s="64">
        <f t="shared" si="155"/>
        <v>45798</v>
      </c>
      <c r="F607" s="64">
        <f t="shared" si="158"/>
        <v>45819</v>
      </c>
      <c r="G607" s="96" t="s">
        <v>200</v>
      </c>
      <c r="H607" s="102">
        <v>107.0</v>
      </c>
      <c r="I607" s="103">
        <v>111.0</v>
      </c>
      <c r="J607" s="44">
        <f t="shared" si="113"/>
        <v>3</v>
      </c>
      <c r="K607" s="44">
        <f t="shared" si="114"/>
        <v>3</v>
      </c>
      <c r="L607" s="68"/>
      <c r="M607" s="69"/>
      <c r="N607" s="44" t="str">
        <f t="shared" si="111"/>
        <v/>
      </c>
      <c r="O607" s="44" t="str">
        <f t="shared" si="112"/>
        <v/>
      </c>
      <c r="P607" s="112">
        <v>345.0</v>
      </c>
      <c r="Q607" s="96" t="s">
        <v>238</v>
      </c>
      <c r="R607" s="71"/>
      <c r="S607" s="31"/>
    </row>
    <row r="608">
      <c r="A608" s="37" t="s">
        <v>48</v>
      </c>
      <c r="B608" s="81" t="s">
        <v>198</v>
      </c>
      <c r="C608" s="82" t="s">
        <v>240</v>
      </c>
      <c r="D608" s="116">
        <v>45791.0</v>
      </c>
      <c r="E608" s="64">
        <f t="shared" si="155"/>
        <v>45798</v>
      </c>
      <c r="F608" s="64">
        <f t="shared" si="158"/>
        <v>45819</v>
      </c>
      <c r="G608" s="96" t="s">
        <v>200</v>
      </c>
      <c r="H608" s="102">
        <v>119.0</v>
      </c>
      <c r="I608" s="103">
        <v>169.0</v>
      </c>
      <c r="J608" s="44">
        <f t="shared" si="113"/>
        <v>26</v>
      </c>
      <c r="K608" s="44">
        <f t="shared" si="114"/>
        <v>26</v>
      </c>
      <c r="L608" s="68"/>
      <c r="M608" s="69"/>
      <c r="N608" s="44" t="str">
        <f t="shared" si="111"/>
        <v/>
      </c>
      <c r="O608" s="44" t="str">
        <f t="shared" si="112"/>
        <v/>
      </c>
      <c r="P608" s="112">
        <v>345.0</v>
      </c>
      <c r="Q608" s="96" t="s">
        <v>238</v>
      </c>
      <c r="R608" s="71"/>
      <c r="S608" s="31"/>
    </row>
    <row r="609">
      <c r="A609" s="37" t="s">
        <v>48</v>
      </c>
      <c r="B609" s="81" t="s">
        <v>198</v>
      </c>
      <c r="C609" s="82" t="s">
        <v>241</v>
      </c>
      <c r="D609" s="116">
        <v>45791.0</v>
      </c>
      <c r="E609" s="64">
        <f t="shared" si="155"/>
        <v>45798</v>
      </c>
      <c r="F609" s="64">
        <f t="shared" si="158"/>
        <v>45819</v>
      </c>
      <c r="G609" s="96" t="s">
        <v>233</v>
      </c>
      <c r="H609" s="68"/>
      <c r="I609" s="69"/>
      <c r="J609" s="44" t="str">
        <f t="shared" si="113"/>
        <v/>
      </c>
      <c r="K609" s="44" t="str">
        <f t="shared" si="114"/>
        <v/>
      </c>
      <c r="L609" s="102">
        <v>208.0</v>
      </c>
      <c r="M609" s="103">
        <v>254.0</v>
      </c>
      <c r="N609" s="44">
        <f t="shared" si="111"/>
        <v>24</v>
      </c>
      <c r="O609" s="44">
        <f t="shared" si="112"/>
        <v>24</v>
      </c>
      <c r="P609" s="112">
        <v>346.0</v>
      </c>
      <c r="Q609" s="96" t="s">
        <v>238</v>
      </c>
      <c r="R609" s="96">
        <v>14.0</v>
      </c>
      <c r="S609" s="31"/>
    </row>
    <row r="610">
      <c r="A610" s="37" t="s">
        <v>48</v>
      </c>
      <c r="B610" s="81" t="s">
        <v>198</v>
      </c>
      <c r="C610" s="82" t="s">
        <v>241</v>
      </c>
      <c r="D610" s="116">
        <v>45791.0</v>
      </c>
      <c r="E610" s="64">
        <f t="shared" si="155"/>
        <v>45798</v>
      </c>
      <c r="F610" s="64">
        <f t="shared" si="158"/>
        <v>45819</v>
      </c>
      <c r="G610" s="96" t="s">
        <v>233</v>
      </c>
      <c r="H610" s="68"/>
      <c r="I610" s="69"/>
      <c r="J610" s="44" t="str">
        <f t="shared" si="113"/>
        <v/>
      </c>
      <c r="K610" s="44" t="str">
        <f t="shared" si="114"/>
        <v/>
      </c>
      <c r="L610" s="102">
        <v>258.0</v>
      </c>
      <c r="M610" s="103">
        <v>298.0</v>
      </c>
      <c r="N610" s="44">
        <f t="shared" si="111"/>
        <v>21</v>
      </c>
      <c r="O610" s="44">
        <f t="shared" si="112"/>
        <v>21</v>
      </c>
      <c r="P610" s="112">
        <v>346.0</v>
      </c>
      <c r="Q610" s="96" t="s">
        <v>238</v>
      </c>
      <c r="R610" s="71"/>
      <c r="S610" s="31"/>
    </row>
    <row r="611">
      <c r="A611" s="37" t="s">
        <v>48</v>
      </c>
      <c r="B611" s="81" t="s">
        <v>198</v>
      </c>
      <c r="C611" s="82" t="s">
        <v>90</v>
      </c>
      <c r="D611" s="116">
        <v>45792.0</v>
      </c>
      <c r="E611" s="64">
        <f t="shared" si="155"/>
        <v>45799</v>
      </c>
      <c r="F611" s="64">
        <f t="shared" si="158"/>
        <v>45820</v>
      </c>
      <c r="G611" s="96" t="s">
        <v>200</v>
      </c>
      <c r="H611" s="102">
        <v>171.0</v>
      </c>
      <c r="I611" s="103">
        <v>287.0</v>
      </c>
      <c r="J611" s="44">
        <f t="shared" si="113"/>
        <v>59</v>
      </c>
      <c r="K611" s="44">
        <f t="shared" si="114"/>
        <v>59</v>
      </c>
      <c r="L611" s="102">
        <v>90.0</v>
      </c>
      <c r="M611" s="103">
        <v>90.0</v>
      </c>
      <c r="N611" s="44">
        <f t="shared" si="111"/>
        <v>1</v>
      </c>
      <c r="O611" s="44">
        <f t="shared" si="112"/>
        <v>1</v>
      </c>
      <c r="P611" s="112">
        <v>347.0</v>
      </c>
      <c r="Q611" s="96" t="s">
        <v>242</v>
      </c>
      <c r="R611" s="96">
        <v>26.27</v>
      </c>
      <c r="S611" s="31"/>
    </row>
    <row r="612">
      <c r="A612" s="37" t="s">
        <v>48</v>
      </c>
      <c r="B612" s="81" t="s">
        <v>198</v>
      </c>
      <c r="C612" s="82" t="s">
        <v>90</v>
      </c>
      <c r="D612" s="116">
        <v>45792.0</v>
      </c>
      <c r="E612" s="64">
        <f t="shared" si="155"/>
        <v>45799</v>
      </c>
      <c r="F612" s="64">
        <f t="shared" si="158"/>
        <v>45820</v>
      </c>
      <c r="G612" s="96" t="s">
        <v>200</v>
      </c>
      <c r="H612" s="102">
        <v>95.0</v>
      </c>
      <c r="I612" s="103">
        <v>99.0</v>
      </c>
      <c r="J612" s="44">
        <f t="shared" si="113"/>
        <v>3</v>
      </c>
      <c r="K612" s="44">
        <f t="shared" si="114"/>
        <v>3</v>
      </c>
      <c r="L612" s="102">
        <v>108.0</v>
      </c>
      <c r="M612" s="103">
        <v>112.0</v>
      </c>
      <c r="N612" s="44">
        <f t="shared" si="111"/>
        <v>3</v>
      </c>
      <c r="O612" s="44">
        <f t="shared" si="112"/>
        <v>3</v>
      </c>
      <c r="P612" s="112">
        <v>347.0</v>
      </c>
      <c r="Q612" s="96" t="s">
        <v>242</v>
      </c>
      <c r="R612" s="71"/>
      <c r="S612" s="31"/>
    </row>
    <row r="613">
      <c r="A613" s="37" t="s">
        <v>48</v>
      </c>
      <c r="B613" s="81" t="s">
        <v>198</v>
      </c>
      <c r="C613" s="82" t="s">
        <v>90</v>
      </c>
      <c r="D613" s="116">
        <v>45792.0</v>
      </c>
      <c r="E613" s="64">
        <f t="shared" si="155"/>
        <v>45799</v>
      </c>
      <c r="F613" s="64">
        <f t="shared" si="158"/>
        <v>45820</v>
      </c>
      <c r="G613" s="96" t="s">
        <v>200</v>
      </c>
      <c r="H613" s="68"/>
      <c r="I613" s="69"/>
      <c r="J613" s="44" t="str">
        <f t="shared" si="113"/>
        <v/>
      </c>
      <c r="K613" s="44" t="str">
        <f t="shared" si="114"/>
        <v/>
      </c>
      <c r="L613" s="102">
        <v>120.0</v>
      </c>
      <c r="M613" s="103">
        <v>150.0</v>
      </c>
      <c r="N613" s="44">
        <f t="shared" si="111"/>
        <v>16</v>
      </c>
      <c r="O613" s="44">
        <f t="shared" si="112"/>
        <v>16</v>
      </c>
      <c r="P613" s="112">
        <v>347.0</v>
      </c>
      <c r="Q613" s="96" t="s">
        <v>242</v>
      </c>
      <c r="R613" s="71"/>
      <c r="S613" s="31"/>
    </row>
    <row r="614">
      <c r="A614" s="37" t="s">
        <v>48</v>
      </c>
      <c r="B614" s="81" t="s">
        <v>198</v>
      </c>
      <c r="C614" s="82" t="s">
        <v>90</v>
      </c>
      <c r="D614" s="116">
        <v>45792.0</v>
      </c>
      <c r="E614" s="64">
        <f t="shared" si="155"/>
        <v>45799</v>
      </c>
      <c r="F614" s="64">
        <f t="shared" si="158"/>
        <v>45820</v>
      </c>
      <c r="G614" s="96" t="s">
        <v>200</v>
      </c>
      <c r="H614" s="68"/>
      <c r="I614" s="69"/>
      <c r="J614" s="44" t="str">
        <f t="shared" si="113"/>
        <v/>
      </c>
      <c r="K614" s="44" t="str">
        <f t="shared" si="114"/>
        <v/>
      </c>
      <c r="L614" s="102">
        <v>154.0</v>
      </c>
      <c r="M614" s="103">
        <v>162.0</v>
      </c>
      <c r="N614" s="44">
        <f t="shared" si="111"/>
        <v>5</v>
      </c>
      <c r="O614" s="44">
        <f t="shared" si="112"/>
        <v>5</v>
      </c>
      <c r="P614" s="112">
        <v>347.0</v>
      </c>
      <c r="Q614" s="96" t="s">
        <v>242</v>
      </c>
      <c r="R614" s="71"/>
      <c r="S614" s="31"/>
    </row>
    <row r="615">
      <c r="A615" s="37" t="s">
        <v>48</v>
      </c>
      <c r="B615" s="81" t="s">
        <v>198</v>
      </c>
      <c r="C615" s="82" t="s">
        <v>243</v>
      </c>
      <c r="D615" s="116">
        <v>45792.0</v>
      </c>
      <c r="E615" s="64">
        <f t="shared" si="155"/>
        <v>45799</v>
      </c>
      <c r="F615" s="64">
        <f t="shared" si="158"/>
        <v>45820</v>
      </c>
      <c r="G615" s="96" t="s">
        <v>99</v>
      </c>
      <c r="H615" s="68"/>
      <c r="I615" s="69"/>
      <c r="J615" s="44" t="str">
        <f t="shared" si="113"/>
        <v/>
      </c>
      <c r="K615" s="44" t="str">
        <f t="shared" si="114"/>
        <v/>
      </c>
      <c r="L615" s="102">
        <v>3112.0</v>
      </c>
      <c r="M615" s="103">
        <v>3166.0</v>
      </c>
      <c r="N615" s="44">
        <f t="shared" si="111"/>
        <v>28</v>
      </c>
      <c r="O615" s="44">
        <f t="shared" si="112"/>
        <v>28</v>
      </c>
      <c r="P615" s="112">
        <v>348.0</v>
      </c>
      <c r="Q615" s="96" t="s">
        <v>242</v>
      </c>
      <c r="R615" s="96">
        <v>25.76</v>
      </c>
      <c r="S615" s="31"/>
    </row>
    <row r="616">
      <c r="A616" s="37" t="s">
        <v>48</v>
      </c>
      <c r="B616" s="81" t="s">
        <v>198</v>
      </c>
      <c r="C616" s="82" t="s">
        <v>244</v>
      </c>
      <c r="D616" s="116">
        <v>45795.0</v>
      </c>
      <c r="E616" s="64">
        <f t="shared" si="155"/>
        <v>45802</v>
      </c>
      <c r="F616" s="64">
        <f t="shared" si="158"/>
        <v>45823</v>
      </c>
      <c r="G616" s="96" t="s">
        <v>245</v>
      </c>
      <c r="H616" s="68"/>
      <c r="I616" s="69"/>
      <c r="J616" s="44" t="str">
        <f t="shared" si="113"/>
        <v/>
      </c>
      <c r="K616" s="44" t="str">
        <f t="shared" si="114"/>
        <v/>
      </c>
      <c r="L616" s="102">
        <v>2.0</v>
      </c>
      <c r="M616" s="103">
        <v>76.0</v>
      </c>
      <c r="N616" s="44">
        <f t="shared" si="111"/>
        <v>38</v>
      </c>
      <c r="O616" s="44">
        <f t="shared" si="112"/>
        <v>38</v>
      </c>
      <c r="P616" s="112">
        <v>349.0</v>
      </c>
      <c r="Q616" s="96" t="s">
        <v>246</v>
      </c>
      <c r="R616" s="96">
        <v>11.4</v>
      </c>
      <c r="S616" s="31"/>
    </row>
    <row r="617">
      <c r="A617" s="37" t="s">
        <v>48</v>
      </c>
      <c r="B617" s="81" t="s">
        <v>198</v>
      </c>
      <c r="C617" s="82" t="s">
        <v>247</v>
      </c>
      <c r="D617" s="116">
        <v>45796.0</v>
      </c>
      <c r="E617" s="64">
        <f t="shared" si="155"/>
        <v>45803</v>
      </c>
      <c r="F617" s="64">
        <f t="shared" si="158"/>
        <v>45824</v>
      </c>
      <c r="G617" s="96" t="s">
        <v>200</v>
      </c>
      <c r="H617" s="68"/>
      <c r="I617" s="69"/>
      <c r="J617" s="44" t="str">
        <f t="shared" si="113"/>
        <v/>
      </c>
      <c r="K617" s="44" t="str">
        <f t="shared" si="114"/>
        <v/>
      </c>
      <c r="L617" s="102">
        <v>252.0</v>
      </c>
      <c r="M617" s="103">
        <v>284.0</v>
      </c>
      <c r="N617" s="44">
        <f t="shared" si="111"/>
        <v>17</v>
      </c>
      <c r="O617" s="44">
        <f t="shared" si="112"/>
        <v>17</v>
      </c>
      <c r="P617" s="112">
        <v>350.0</v>
      </c>
      <c r="Q617" s="96" t="s">
        <v>248</v>
      </c>
      <c r="R617" s="96">
        <v>25.066</v>
      </c>
      <c r="S617" s="31"/>
    </row>
    <row r="618">
      <c r="A618" s="37" t="s">
        <v>48</v>
      </c>
      <c r="B618" s="81" t="s">
        <v>198</v>
      </c>
      <c r="C618" s="82" t="s">
        <v>247</v>
      </c>
      <c r="D618" s="116">
        <v>45796.0</v>
      </c>
      <c r="E618" s="64">
        <f t="shared" si="155"/>
        <v>45803</v>
      </c>
      <c r="F618" s="64">
        <f t="shared" si="158"/>
        <v>45824</v>
      </c>
      <c r="G618" s="96" t="s">
        <v>200</v>
      </c>
      <c r="H618" s="68"/>
      <c r="I618" s="69"/>
      <c r="J618" s="44" t="str">
        <f t="shared" si="113"/>
        <v/>
      </c>
      <c r="K618" s="44" t="str">
        <f t="shared" si="114"/>
        <v/>
      </c>
      <c r="L618" s="102">
        <v>202.0</v>
      </c>
      <c r="M618" s="103">
        <v>248.0</v>
      </c>
      <c r="N618" s="44">
        <f t="shared" si="111"/>
        <v>24</v>
      </c>
      <c r="O618" s="44">
        <f t="shared" si="112"/>
        <v>24</v>
      </c>
      <c r="P618" s="112">
        <v>350.0</v>
      </c>
      <c r="Q618" s="96" t="s">
        <v>248</v>
      </c>
      <c r="R618" s="71"/>
      <c r="S618" s="31"/>
    </row>
    <row r="619">
      <c r="A619" s="37" t="s">
        <v>48</v>
      </c>
      <c r="B619" s="81" t="s">
        <v>198</v>
      </c>
      <c r="C619" s="82" t="s">
        <v>247</v>
      </c>
      <c r="D619" s="116">
        <v>45796.0</v>
      </c>
      <c r="E619" s="64">
        <f t="shared" si="155"/>
        <v>45803</v>
      </c>
      <c r="F619" s="64">
        <f t="shared" si="158"/>
        <v>45824</v>
      </c>
      <c r="G619" s="96" t="s">
        <v>200</v>
      </c>
      <c r="H619" s="68"/>
      <c r="I619" s="69"/>
      <c r="J619" s="44" t="str">
        <f t="shared" si="113"/>
        <v/>
      </c>
      <c r="K619" s="44" t="str">
        <f t="shared" si="114"/>
        <v/>
      </c>
      <c r="L619" s="102">
        <v>164.0</v>
      </c>
      <c r="M619" s="103">
        <v>198.0</v>
      </c>
      <c r="N619" s="44">
        <f t="shared" si="111"/>
        <v>18</v>
      </c>
      <c r="O619" s="44">
        <f t="shared" si="112"/>
        <v>18</v>
      </c>
      <c r="P619" s="112">
        <v>350.0</v>
      </c>
      <c r="Q619" s="96" t="s">
        <v>248</v>
      </c>
      <c r="R619" s="71"/>
      <c r="S619" s="31"/>
    </row>
    <row r="620">
      <c r="A620" s="37" t="s">
        <v>48</v>
      </c>
      <c r="B620" s="81" t="s">
        <v>198</v>
      </c>
      <c r="C620" s="82" t="s">
        <v>247</v>
      </c>
      <c r="D620" s="116">
        <v>45796.0</v>
      </c>
      <c r="E620" s="64">
        <f t="shared" si="155"/>
        <v>45803</v>
      </c>
      <c r="F620" s="64">
        <f t="shared" si="158"/>
        <v>45824</v>
      </c>
      <c r="G620" s="96" t="s">
        <v>145</v>
      </c>
      <c r="H620" s="102">
        <v>235.0</v>
      </c>
      <c r="I620" s="103">
        <v>235.0</v>
      </c>
      <c r="J620" s="44">
        <f t="shared" si="113"/>
        <v>1</v>
      </c>
      <c r="K620" s="44">
        <f t="shared" si="114"/>
        <v>1</v>
      </c>
      <c r="L620" s="68"/>
      <c r="M620" s="69"/>
      <c r="N620" s="44" t="str">
        <f t="shared" si="111"/>
        <v/>
      </c>
      <c r="O620" s="44" t="str">
        <f t="shared" si="112"/>
        <v/>
      </c>
      <c r="P620" s="112">
        <v>350.0</v>
      </c>
      <c r="Q620" s="96" t="s">
        <v>248</v>
      </c>
      <c r="R620" s="71"/>
      <c r="S620" s="31"/>
    </row>
    <row r="621">
      <c r="A621" s="37" t="s">
        <v>48</v>
      </c>
      <c r="B621" s="81" t="s">
        <v>198</v>
      </c>
      <c r="C621" s="82" t="s">
        <v>247</v>
      </c>
      <c r="D621" s="116">
        <v>45796.0</v>
      </c>
      <c r="E621" s="64">
        <f t="shared" si="155"/>
        <v>45803</v>
      </c>
      <c r="F621" s="64">
        <f t="shared" si="158"/>
        <v>45824</v>
      </c>
      <c r="G621" s="96" t="s">
        <v>145</v>
      </c>
      <c r="H621" s="102">
        <v>239.0</v>
      </c>
      <c r="I621" s="103">
        <v>283.0</v>
      </c>
      <c r="J621" s="44">
        <f t="shared" si="113"/>
        <v>23</v>
      </c>
      <c r="K621" s="44">
        <f t="shared" si="114"/>
        <v>23</v>
      </c>
      <c r="L621" s="68"/>
      <c r="M621" s="69"/>
      <c r="N621" s="44" t="str">
        <f t="shared" si="111"/>
        <v/>
      </c>
      <c r="O621" s="44" t="str">
        <f t="shared" si="112"/>
        <v/>
      </c>
      <c r="P621" s="112">
        <v>350.0</v>
      </c>
      <c r="Q621" s="96" t="s">
        <v>248</v>
      </c>
      <c r="R621" s="71"/>
      <c r="S621" s="31"/>
    </row>
    <row r="622">
      <c r="A622" s="37" t="s">
        <v>48</v>
      </c>
      <c r="B622" s="81" t="s">
        <v>198</v>
      </c>
      <c r="C622" s="82" t="s">
        <v>92</v>
      </c>
      <c r="D622" s="116">
        <v>45796.0</v>
      </c>
      <c r="E622" s="64">
        <f t="shared" si="155"/>
        <v>45803</v>
      </c>
      <c r="F622" s="64">
        <f t="shared" si="158"/>
        <v>45824</v>
      </c>
      <c r="G622" s="96" t="s">
        <v>245</v>
      </c>
      <c r="H622" s="68"/>
      <c r="I622" s="69"/>
      <c r="J622" s="44" t="str">
        <f t="shared" si="113"/>
        <v/>
      </c>
      <c r="K622" s="44" t="str">
        <f t="shared" si="114"/>
        <v/>
      </c>
      <c r="L622" s="102">
        <v>78.0</v>
      </c>
      <c r="M622" s="103">
        <v>176.0</v>
      </c>
      <c r="N622" s="44">
        <f t="shared" si="111"/>
        <v>50</v>
      </c>
      <c r="O622" s="44">
        <f t="shared" si="112"/>
        <v>50</v>
      </c>
      <c r="P622" s="112">
        <v>351.0</v>
      </c>
      <c r="Q622" s="96" t="s">
        <v>248</v>
      </c>
      <c r="R622" s="96">
        <v>15.0</v>
      </c>
      <c r="S622" s="31"/>
    </row>
    <row r="623">
      <c r="A623" s="37" t="s">
        <v>48</v>
      </c>
      <c r="B623" s="81" t="s">
        <v>198</v>
      </c>
      <c r="C623" s="82" t="s">
        <v>249</v>
      </c>
      <c r="D623" s="116">
        <v>45797.0</v>
      </c>
      <c r="E623" s="64">
        <f t="shared" si="155"/>
        <v>45804</v>
      </c>
      <c r="F623" s="64">
        <f t="shared" si="158"/>
        <v>45825</v>
      </c>
      <c r="G623" s="96" t="s">
        <v>145</v>
      </c>
      <c r="H623" s="102">
        <v>225.0</v>
      </c>
      <c r="I623" s="103">
        <v>225.0</v>
      </c>
      <c r="J623" s="44">
        <f t="shared" si="113"/>
        <v>1</v>
      </c>
      <c r="K623" s="44">
        <f t="shared" si="114"/>
        <v>1</v>
      </c>
      <c r="L623" s="102">
        <v>236.0</v>
      </c>
      <c r="M623" s="103">
        <v>236.0</v>
      </c>
      <c r="N623" s="44">
        <f t="shared" si="111"/>
        <v>1</v>
      </c>
      <c r="O623" s="44">
        <f t="shared" si="112"/>
        <v>1</v>
      </c>
      <c r="P623" s="112">
        <v>352.0</v>
      </c>
      <c r="Q623" s="96" t="s">
        <v>250</v>
      </c>
      <c r="R623" s="96">
        <v>7.852</v>
      </c>
      <c r="S623" s="31"/>
    </row>
    <row r="624">
      <c r="A624" s="37" t="s">
        <v>48</v>
      </c>
      <c r="B624" s="81" t="s">
        <v>198</v>
      </c>
      <c r="C624" s="82" t="s">
        <v>249</v>
      </c>
      <c r="D624" s="116">
        <v>45797.0</v>
      </c>
      <c r="E624" s="64">
        <f t="shared" si="155"/>
        <v>45804</v>
      </c>
      <c r="F624" s="64">
        <f t="shared" si="158"/>
        <v>45825</v>
      </c>
      <c r="G624" s="96" t="s">
        <v>145</v>
      </c>
      <c r="H624" s="102">
        <v>227.0</v>
      </c>
      <c r="I624" s="103">
        <v>227.0</v>
      </c>
      <c r="J624" s="44">
        <f t="shared" si="113"/>
        <v>1</v>
      </c>
      <c r="K624" s="44">
        <f t="shared" si="114"/>
        <v>1</v>
      </c>
      <c r="L624" s="102">
        <v>240.0</v>
      </c>
      <c r="M624" s="103">
        <v>254.0</v>
      </c>
      <c r="N624" s="44">
        <f t="shared" si="111"/>
        <v>8</v>
      </c>
      <c r="O624" s="44">
        <f t="shared" si="112"/>
        <v>8</v>
      </c>
      <c r="P624" s="112">
        <v>352.0</v>
      </c>
      <c r="Q624" s="96" t="s">
        <v>250</v>
      </c>
      <c r="R624" s="71"/>
      <c r="S624" s="31"/>
    </row>
    <row r="625">
      <c r="A625" s="37" t="s">
        <v>48</v>
      </c>
      <c r="B625" s="81" t="s">
        <v>198</v>
      </c>
      <c r="C625" s="82" t="s">
        <v>249</v>
      </c>
      <c r="D625" s="116">
        <v>45797.0</v>
      </c>
      <c r="E625" s="64">
        <f t="shared" si="155"/>
        <v>45804</v>
      </c>
      <c r="F625" s="64">
        <f t="shared" si="158"/>
        <v>45825</v>
      </c>
      <c r="G625" s="96" t="s">
        <v>145</v>
      </c>
      <c r="H625" s="102">
        <v>285.0</v>
      </c>
      <c r="I625" s="103">
        <v>287.0</v>
      </c>
      <c r="J625" s="44">
        <f t="shared" si="113"/>
        <v>2</v>
      </c>
      <c r="K625" s="44">
        <f t="shared" si="114"/>
        <v>2</v>
      </c>
      <c r="L625" s="102">
        <v>258.0</v>
      </c>
      <c r="M625" s="103">
        <v>282.0</v>
      </c>
      <c r="N625" s="44">
        <f t="shared" si="111"/>
        <v>13</v>
      </c>
      <c r="O625" s="44">
        <f t="shared" si="112"/>
        <v>13</v>
      </c>
      <c r="P625" s="112">
        <v>352.0</v>
      </c>
      <c r="Q625" s="96" t="s">
        <v>250</v>
      </c>
      <c r="R625" s="71"/>
      <c r="S625" s="31"/>
    </row>
    <row r="626">
      <c r="A626" s="37" t="s">
        <v>48</v>
      </c>
      <c r="B626" s="81" t="s">
        <v>198</v>
      </c>
      <c r="C626" s="82" t="s">
        <v>251</v>
      </c>
      <c r="D626" s="116">
        <v>45797.0</v>
      </c>
      <c r="E626" s="64">
        <f t="shared" si="155"/>
        <v>45804</v>
      </c>
      <c r="F626" s="64">
        <f t="shared" si="158"/>
        <v>45825</v>
      </c>
      <c r="G626" s="96" t="s">
        <v>245</v>
      </c>
      <c r="H626" s="102">
        <v>1.0</v>
      </c>
      <c r="I626" s="103">
        <v>145.0</v>
      </c>
      <c r="J626" s="44">
        <f t="shared" si="113"/>
        <v>73</v>
      </c>
      <c r="K626" s="44">
        <f t="shared" si="114"/>
        <v>73</v>
      </c>
      <c r="L626" s="102">
        <v>178.0</v>
      </c>
      <c r="M626" s="103">
        <v>270.0</v>
      </c>
      <c r="N626" s="44">
        <f t="shared" si="111"/>
        <v>47</v>
      </c>
      <c r="O626" s="44">
        <f t="shared" si="112"/>
        <v>47</v>
      </c>
      <c r="P626" s="112">
        <v>353.0</v>
      </c>
      <c r="Q626" s="71"/>
      <c r="R626" s="71"/>
      <c r="S626" s="31"/>
    </row>
    <row r="627">
      <c r="A627" s="37" t="s">
        <v>48</v>
      </c>
      <c r="B627" s="81" t="s">
        <v>198</v>
      </c>
      <c r="C627" s="82" t="s">
        <v>252</v>
      </c>
      <c r="D627" s="116">
        <v>45797.0</v>
      </c>
      <c r="E627" s="64">
        <f t="shared" si="155"/>
        <v>45804</v>
      </c>
      <c r="F627" s="64">
        <f t="shared" si="158"/>
        <v>45825</v>
      </c>
      <c r="G627" s="96" t="s">
        <v>10</v>
      </c>
      <c r="H627" s="102">
        <v>67.0</v>
      </c>
      <c r="I627" s="103">
        <v>85.0</v>
      </c>
      <c r="J627" s="44">
        <f t="shared" si="113"/>
        <v>10</v>
      </c>
      <c r="K627" s="44">
        <f t="shared" si="114"/>
        <v>10</v>
      </c>
      <c r="L627" s="102">
        <v>2.0</v>
      </c>
      <c r="M627" s="103">
        <v>26.0</v>
      </c>
      <c r="N627" s="44">
        <f t="shared" si="111"/>
        <v>13</v>
      </c>
      <c r="O627" s="44">
        <f t="shared" si="112"/>
        <v>13</v>
      </c>
      <c r="P627" s="112">
        <v>354.0</v>
      </c>
      <c r="Q627" s="96" t="s">
        <v>250</v>
      </c>
      <c r="R627" s="96">
        <v>18.6</v>
      </c>
      <c r="S627" s="31"/>
    </row>
    <row r="628">
      <c r="A628" s="37" t="s">
        <v>48</v>
      </c>
      <c r="B628" s="81" t="s">
        <v>198</v>
      </c>
      <c r="C628" s="82" t="s">
        <v>252</v>
      </c>
      <c r="D628" s="116">
        <v>45797.0</v>
      </c>
      <c r="E628" s="64">
        <f t="shared" si="155"/>
        <v>45804</v>
      </c>
      <c r="F628" s="64">
        <f t="shared" si="158"/>
        <v>45825</v>
      </c>
      <c r="G628" s="96" t="s">
        <v>10</v>
      </c>
      <c r="H628" s="68"/>
      <c r="I628" s="69"/>
      <c r="J628" s="44" t="str">
        <f t="shared" si="113"/>
        <v/>
      </c>
      <c r="K628" s="44" t="str">
        <f t="shared" si="114"/>
        <v/>
      </c>
      <c r="L628" s="102">
        <v>52.0</v>
      </c>
      <c r="M628" s="103">
        <v>58.0</v>
      </c>
      <c r="N628" s="44">
        <f t="shared" si="111"/>
        <v>4</v>
      </c>
      <c r="O628" s="44">
        <f t="shared" si="112"/>
        <v>4</v>
      </c>
      <c r="P628" s="112">
        <v>354.0</v>
      </c>
      <c r="Q628" s="96" t="s">
        <v>250</v>
      </c>
      <c r="R628" s="71"/>
      <c r="S628" s="31"/>
    </row>
    <row r="629">
      <c r="A629" s="37" t="s">
        <v>48</v>
      </c>
      <c r="B629" s="81" t="s">
        <v>198</v>
      </c>
      <c r="C629" s="82" t="s">
        <v>252</v>
      </c>
      <c r="D629" s="116">
        <v>45797.0</v>
      </c>
      <c r="E629" s="64">
        <f t="shared" si="155"/>
        <v>45804</v>
      </c>
      <c r="F629" s="64">
        <f t="shared" si="158"/>
        <v>45825</v>
      </c>
      <c r="G629" s="96" t="s">
        <v>10</v>
      </c>
      <c r="H629" s="68"/>
      <c r="I629" s="69"/>
      <c r="J629" s="44" t="str">
        <f t="shared" si="113"/>
        <v/>
      </c>
      <c r="K629" s="44" t="str">
        <f t="shared" si="114"/>
        <v/>
      </c>
      <c r="L629" s="102">
        <v>88.0</v>
      </c>
      <c r="M629" s="103">
        <v>96.0</v>
      </c>
      <c r="N629" s="44">
        <f t="shared" si="111"/>
        <v>5</v>
      </c>
      <c r="O629" s="44">
        <f t="shared" si="112"/>
        <v>5</v>
      </c>
      <c r="P629" s="112">
        <v>354.0</v>
      </c>
      <c r="Q629" s="96" t="s">
        <v>250</v>
      </c>
      <c r="R629" s="71"/>
      <c r="S629" s="31"/>
    </row>
    <row r="630">
      <c r="A630" s="37" t="s">
        <v>48</v>
      </c>
      <c r="B630" s="81" t="s">
        <v>198</v>
      </c>
      <c r="C630" s="82" t="s">
        <v>253</v>
      </c>
      <c r="D630" s="116">
        <v>45798.0</v>
      </c>
      <c r="E630" s="64">
        <f t="shared" si="155"/>
        <v>45805</v>
      </c>
      <c r="F630" s="64">
        <f t="shared" si="158"/>
        <v>45826</v>
      </c>
      <c r="G630" s="96" t="s">
        <v>10</v>
      </c>
      <c r="H630" s="102">
        <v>43.0</v>
      </c>
      <c r="I630" s="103">
        <v>57.0</v>
      </c>
      <c r="J630" s="44">
        <f t="shared" si="113"/>
        <v>8</v>
      </c>
      <c r="K630" s="44">
        <f t="shared" si="114"/>
        <v>8</v>
      </c>
      <c r="L630" s="102">
        <v>28.0</v>
      </c>
      <c r="M630" s="103">
        <v>42.0</v>
      </c>
      <c r="N630" s="44">
        <f t="shared" si="111"/>
        <v>8</v>
      </c>
      <c r="O630" s="44">
        <f t="shared" si="112"/>
        <v>8</v>
      </c>
      <c r="P630" s="112">
        <v>355.0</v>
      </c>
      <c r="Q630" s="96" t="s">
        <v>254</v>
      </c>
      <c r="R630" s="96">
        <v>27.962</v>
      </c>
      <c r="S630" s="31"/>
    </row>
    <row r="631">
      <c r="A631" s="37" t="s">
        <v>48</v>
      </c>
      <c r="B631" s="81" t="s">
        <v>198</v>
      </c>
      <c r="C631" s="82" t="s">
        <v>253</v>
      </c>
      <c r="D631" s="116">
        <v>45798.0</v>
      </c>
      <c r="E631" s="64">
        <f t="shared" si="155"/>
        <v>45805</v>
      </c>
      <c r="F631" s="64">
        <f t="shared" si="158"/>
        <v>45826</v>
      </c>
      <c r="G631" s="96" t="s">
        <v>10</v>
      </c>
      <c r="H631" s="102">
        <v>87.0</v>
      </c>
      <c r="I631" s="103">
        <v>97.0</v>
      </c>
      <c r="J631" s="44">
        <f t="shared" si="113"/>
        <v>6</v>
      </c>
      <c r="K631" s="44">
        <f t="shared" si="114"/>
        <v>6</v>
      </c>
      <c r="L631" s="102">
        <v>98.0</v>
      </c>
      <c r="M631" s="103">
        <v>122.0</v>
      </c>
      <c r="N631" s="44">
        <f t="shared" si="111"/>
        <v>13</v>
      </c>
      <c r="O631" s="44">
        <f t="shared" si="112"/>
        <v>13</v>
      </c>
      <c r="P631" s="112">
        <v>355.0</v>
      </c>
      <c r="Q631" s="96" t="s">
        <v>254</v>
      </c>
      <c r="R631" s="71"/>
      <c r="S631" s="31"/>
    </row>
    <row r="632">
      <c r="A632" s="37" t="s">
        <v>48</v>
      </c>
      <c r="B632" s="81" t="s">
        <v>198</v>
      </c>
      <c r="C632" s="82" t="s">
        <v>253</v>
      </c>
      <c r="D632" s="116">
        <v>45798.0</v>
      </c>
      <c r="E632" s="64">
        <f t="shared" si="155"/>
        <v>45805</v>
      </c>
      <c r="F632" s="64">
        <f t="shared" si="158"/>
        <v>45826</v>
      </c>
      <c r="G632" s="96" t="s">
        <v>10</v>
      </c>
      <c r="H632" s="68"/>
      <c r="I632" s="69"/>
      <c r="J632" s="44" t="str">
        <f t="shared" si="113"/>
        <v/>
      </c>
      <c r="K632" s="44" t="str">
        <f t="shared" si="114"/>
        <v/>
      </c>
      <c r="L632" s="102">
        <v>68.0</v>
      </c>
      <c r="M632" s="103">
        <v>86.0</v>
      </c>
      <c r="N632" s="44">
        <f t="shared" si="111"/>
        <v>10</v>
      </c>
      <c r="O632" s="44">
        <f t="shared" si="112"/>
        <v>10</v>
      </c>
      <c r="P632" s="112">
        <v>355.0</v>
      </c>
      <c r="Q632" s="96" t="s">
        <v>254</v>
      </c>
      <c r="R632" s="71"/>
      <c r="S632" s="31"/>
    </row>
    <row r="633">
      <c r="A633" s="37" t="s">
        <v>48</v>
      </c>
      <c r="B633" s="81" t="s">
        <v>198</v>
      </c>
      <c r="C633" s="82" t="s">
        <v>253</v>
      </c>
      <c r="D633" s="116">
        <v>45798.0</v>
      </c>
      <c r="E633" s="64">
        <f t="shared" si="155"/>
        <v>45805</v>
      </c>
      <c r="F633" s="64">
        <f t="shared" si="158"/>
        <v>45826</v>
      </c>
      <c r="G633" s="96" t="s">
        <v>145</v>
      </c>
      <c r="H633" s="102">
        <v>289.0</v>
      </c>
      <c r="I633" s="103">
        <v>289.0</v>
      </c>
      <c r="J633" s="44">
        <f t="shared" si="113"/>
        <v>1</v>
      </c>
      <c r="K633" s="44">
        <f t="shared" si="114"/>
        <v>1</v>
      </c>
      <c r="L633" s="102">
        <v>224.0</v>
      </c>
      <c r="M633" s="103">
        <v>226.0</v>
      </c>
      <c r="N633" s="44">
        <f t="shared" si="111"/>
        <v>2</v>
      </c>
      <c r="O633" s="44">
        <f t="shared" si="112"/>
        <v>2</v>
      </c>
      <c r="P633" s="112">
        <v>355.0</v>
      </c>
      <c r="Q633" s="96" t="s">
        <v>254</v>
      </c>
      <c r="R633" s="71"/>
      <c r="S633" s="31"/>
    </row>
    <row r="634">
      <c r="A634" s="37" t="s">
        <v>48</v>
      </c>
      <c r="B634" s="81" t="s">
        <v>198</v>
      </c>
      <c r="C634" s="82" t="s">
        <v>253</v>
      </c>
      <c r="D634" s="116">
        <v>45798.0</v>
      </c>
      <c r="E634" s="64">
        <f t="shared" si="155"/>
        <v>45805</v>
      </c>
      <c r="F634" s="64">
        <f t="shared" si="158"/>
        <v>45826</v>
      </c>
      <c r="G634" s="96" t="s">
        <v>145</v>
      </c>
      <c r="H634" s="68"/>
      <c r="I634" s="69"/>
      <c r="J634" s="44" t="str">
        <f t="shared" si="113"/>
        <v/>
      </c>
      <c r="K634" s="44" t="str">
        <f t="shared" si="114"/>
        <v/>
      </c>
      <c r="L634" s="102">
        <v>284.0</v>
      </c>
      <c r="M634" s="103">
        <v>288.0</v>
      </c>
      <c r="N634" s="44">
        <f t="shared" si="111"/>
        <v>3</v>
      </c>
      <c r="O634" s="44">
        <f t="shared" si="112"/>
        <v>3</v>
      </c>
      <c r="P634" s="112">
        <v>355.0</v>
      </c>
      <c r="Q634" s="96" t="s">
        <v>254</v>
      </c>
      <c r="R634" s="71"/>
      <c r="S634" s="31"/>
    </row>
    <row r="635">
      <c r="A635" s="37" t="s">
        <v>48</v>
      </c>
      <c r="B635" s="81" t="s">
        <v>198</v>
      </c>
      <c r="C635" s="82" t="s">
        <v>255</v>
      </c>
      <c r="D635" s="116">
        <v>45798.0</v>
      </c>
      <c r="E635" s="64">
        <f t="shared" si="155"/>
        <v>45805</v>
      </c>
      <c r="F635" s="64">
        <f t="shared" si="158"/>
        <v>45826</v>
      </c>
      <c r="G635" s="96" t="s">
        <v>245</v>
      </c>
      <c r="H635" s="102">
        <v>147.0</v>
      </c>
      <c r="I635" s="103">
        <v>269.0</v>
      </c>
      <c r="J635" s="44">
        <f t="shared" si="113"/>
        <v>62</v>
      </c>
      <c r="K635" s="44">
        <f t="shared" si="114"/>
        <v>62</v>
      </c>
      <c r="L635" s="68"/>
      <c r="M635" s="69"/>
      <c r="N635" s="44" t="str">
        <f t="shared" si="111"/>
        <v/>
      </c>
      <c r="O635" s="44" t="str">
        <f t="shared" si="112"/>
        <v/>
      </c>
      <c r="P635" s="112">
        <v>356.0</v>
      </c>
      <c r="Q635" s="96" t="s">
        <v>254</v>
      </c>
      <c r="R635" s="96">
        <v>32.0</v>
      </c>
      <c r="S635" s="31"/>
    </row>
    <row r="636">
      <c r="A636" s="37" t="s">
        <v>48</v>
      </c>
      <c r="B636" s="81" t="s">
        <v>198</v>
      </c>
      <c r="C636" s="82" t="s">
        <v>255</v>
      </c>
      <c r="D636" s="116">
        <v>45798.0</v>
      </c>
      <c r="E636" s="64">
        <f t="shared" si="155"/>
        <v>45805</v>
      </c>
      <c r="F636" s="64">
        <f t="shared" si="158"/>
        <v>45826</v>
      </c>
      <c r="G636" s="96" t="s">
        <v>256</v>
      </c>
      <c r="H636" s="102">
        <v>19.0</v>
      </c>
      <c r="I636" s="103">
        <v>67.0</v>
      </c>
      <c r="J636" s="44">
        <f t="shared" si="113"/>
        <v>25</v>
      </c>
      <c r="K636" s="44">
        <f t="shared" si="114"/>
        <v>25</v>
      </c>
      <c r="L636" s="68"/>
      <c r="M636" s="69"/>
      <c r="N636" s="44" t="str">
        <f t="shared" si="111"/>
        <v/>
      </c>
      <c r="O636" s="44" t="str">
        <f t="shared" si="112"/>
        <v/>
      </c>
      <c r="P636" s="112">
        <v>356.0</v>
      </c>
      <c r="Q636" s="96" t="s">
        <v>254</v>
      </c>
      <c r="R636" s="71"/>
      <c r="S636" s="31"/>
    </row>
    <row r="637">
      <c r="A637" s="37" t="s">
        <v>48</v>
      </c>
      <c r="B637" s="81" t="s">
        <v>198</v>
      </c>
      <c r="C637" s="82" t="s">
        <v>255</v>
      </c>
      <c r="D637" s="116">
        <v>45798.0</v>
      </c>
      <c r="E637" s="64">
        <f t="shared" si="155"/>
        <v>45805</v>
      </c>
      <c r="F637" s="64">
        <f t="shared" si="158"/>
        <v>45826</v>
      </c>
      <c r="G637" s="96" t="s">
        <v>215</v>
      </c>
      <c r="H637" s="68"/>
      <c r="I637" s="69"/>
      <c r="J637" s="44" t="str">
        <f t="shared" si="113"/>
        <v/>
      </c>
      <c r="K637" s="44" t="str">
        <f t="shared" si="114"/>
        <v/>
      </c>
      <c r="L637" s="102">
        <v>268.0</v>
      </c>
      <c r="M637" s="103">
        <v>304.0</v>
      </c>
      <c r="N637" s="44">
        <f t="shared" si="111"/>
        <v>19</v>
      </c>
      <c r="O637" s="44">
        <f t="shared" si="112"/>
        <v>19</v>
      </c>
      <c r="P637" s="112">
        <v>356.0</v>
      </c>
      <c r="Q637" s="96" t="s">
        <v>254</v>
      </c>
      <c r="R637" s="71"/>
      <c r="S637" s="31"/>
    </row>
    <row r="638">
      <c r="A638" s="37" t="s">
        <v>48</v>
      </c>
      <c r="B638" s="81" t="s">
        <v>198</v>
      </c>
      <c r="C638" s="82" t="s">
        <v>257</v>
      </c>
      <c r="D638" s="116">
        <v>45799.0</v>
      </c>
      <c r="E638" s="64">
        <f t="shared" si="155"/>
        <v>45806</v>
      </c>
      <c r="F638" s="64">
        <f t="shared" si="158"/>
        <v>45827</v>
      </c>
      <c r="G638" s="96" t="s">
        <v>256</v>
      </c>
      <c r="H638" s="102">
        <v>69.0</v>
      </c>
      <c r="I638" s="103">
        <v>259.0</v>
      </c>
      <c r="J638" s="44">
        <f t="shared" si="113"/>
        <v>96</v>
      </c>
      <c r="K638" s="44">
        <f t="shared" si="114"/>
        <v>96</v>
      </c>
      <c r="L638" s="102">
        <v>20.0</v>
      </c>
      <c r="M638" s="103">
        <v>66.0</v>
      </c>
      <c r="N638" s="44">
        <f t="shared" si="111"/>
        <v>24</v>
      </c>
      <c r="O638" s="44">
        <f t="shared" si="112"/>
        <v>24</v>
      </c>
      <c r="P638" s="112">
        <v>357.0</v>
      </c>
      <c r="Q638" s="96" t="s">
        <v>254</v>
      </c>
      <c r="R638" s="96">
        <v>36.0</v>
      </c>
      <c r="S638" s="31"/>
    </row>
    <row r="639">
      <c r="A639" s="37" t="s">
        <v>48</v>
      </c>
      <c r="B639" s="81" t="s">
        <v>198</v>
      </c>
      <c r="C639" s="82" t="s">
        <v>258</v>
      </c>
      <c r="D639" s="116">
        <v>45799.0</v>
      </c>
      <c r="E639" s="64">
        <f t="shared" si="155"/>
        <v>45806</v>
      </c>
      <c r="F639" s="64">
        <f t="shared" si="158"/>
        <v>45827</v>
      </c>
      <c r="G639" s="96" t="s">
        <v>10</v>
      </c>
      <c r="H639" s="102">
        <v>99.0</v>
      </c>
      <c r="I639" s="103">
        <v>121.0</v>
      </c>
      <c r="J639" s="44">
        <f t="shared" si="113"/>
        <v>12</v>
      </c>
      <c r="K639" s="44">
        <f t="shared" si="114"/>
        <v>12</v>
      </c>
      <c r="L639" s="68"/>
      <c r="M639" s="69"/>
      <c r="N639" s="44" t="str">
        <f t="shared" si="111"/>
        <v/>
      </c>
      <c r="O639" s="44" t="str">
        <f t="shared" si="112"/>
        <v/>
      </c>
      <c r="P639" s="112">
        <v>358.0</v>
      </c>
      <c r="Q639" s="96" t="s">
        <v>254</v>
      </c>
      <c r="R639" s="96">
        <v>20.44</v>
      </c>
      <c r="S639" s="31"/>
    </row>
    <row r="640">
      <c r="A640" s="37" t="s">
        <v>48</v>
      </c>
      <c r="B640" s="81" t="s">
        <v>198</v>
      </c>
      <c r="C640" s="82" t="s">
        <v>258</v>
      </c>
      <c r="D640" s="116">
        <v>45799.0</v>
      </c>
      <c r="E640" s="64">
        <f t="shared" si="155"/>
        <v>45806</v>
      </c>
      <c r="F640" s="64">
        <f t="shared" si="158"/>
        <v>45827</v>
      </c>
      <c r="G640" s="96" t="s">
        <v>145</v>
      </c>
      <c r="H640" s="102">
        <v>237.0</v>
      </c>
      <c r="I640" s="103">
        <v>237.0</v>
      </c>
      <c r="J640" s="44">
        <f t="shared" si="113"/>
        <v>1</v>
      </c>
      <c r="K640" s="44">
        <f t="shared" si="114"/>
        <v>1</v>
      </c>
      <c r="L640" s="102">
        <v>238.0</v>
      </c>
      <c r="M640" s="103">
        <v>238.0</v>
      </c>
      <c r="N640" s="44">
        <f t="shared" si="111"/>
        <v>1</v>
      </c>
      <c r="O640" s="44">
        <f t="shared" si="112"/>
        <v>1</v>
      </c>
      <c r="P640" s="112">
        <v>358.0</v>
      </c>
      <c r="Q640" s="96" t="s">
        <v>254</v>
      </c>
      <c r="R640" s="71"/>
      <c r="S640" s="31"/>
    </row>
    <row r="641">
      <c r="A641" s="37" t="s">
        <v>48</v>
      </c>
      <c r="B641" s="81" t="s">
        <v>198</v>
      </c>
      <c r="C641" s="82" t="s">
        <v>258</v>
      </c>
      <c r="D641" s="116">
        <v>45799.0</v>
      </c>
      <c r="E641" s="64">
        <f t="shared" si="155"/>
        <v>45806</v>
      </c>
      <c r="F641" s="64">
        <f t="shared" si="158"/>
        <v>45827</v>
      </c>
      <c r="G641" s="96" t="s">
        <v>200</v>
      </c>
      <c r="H641" s="102">
        <v>93.0</v>
      </c>
      <c r="I641" s="103">
        <v>93.0</v>
      </c>
      <c r="J641" s="44">
        <f t="shared" si="113"/>
        <v>1</v>
      </c>
      <c r="K641" s="44">
        <f t="shared" si="114"/>
        <v>1</v>
      </c>
      <c r="L641" s="102">
        <v>92.0</v>
      </c>
      <c r="M641" s="103">
        <v>92.0</v>
      </c>
      <c r="N641" s="44">
        <f t="shared" si="111"/>
        <v>1</v>
      </c>
      <c r="O641" s="44">
        <f t="shared" si="112"/>
        <v>1</v>
      </c>
      <c r="P641" s="112">
        <v>358.0</v>
      </c>
      <c r="Q641" s="96" t="s">
        <v>254</v>
      </c>
      <c r="R641" s="71"/>
      <c r="S641" s="31"/>
    </row>
    <row r="642">
      <c r="A642" s="37" t="s">
        <v>48</v>
      </c>
      <c r="B642" s="81" t="s">
        <v>224</v>
      </c>
      <c r="C642" s="82" t="s">
        <v>258</v>
      </c>
      <c r="D642" s="116">
        <v>45799.0</v>
      </c>
      <c r="E642" s="64">
        <f t="shared" si="155"/>
        <v>45806</v>
      </c>
      <c r="F642" s="64">
        <f t="shared" si="158"/>
        <v>45827</v>
      </c>
      <c r="G642" s="96" t="s">
        <v>53</v>
      </c>
      <c r="H642" s="102">
        <v>1.0</v>
      </c>
      <c r="I642" s="103">
        <v>3.0</v>
      </c>
      <c r="J642" s="44">
        <f t="shared" si="113"/>
        <v>2</v>
      </c>
      <c r="K642" s="44">
        <f t="shared" si="114"/>
        <v>2</v>
      </c>
      <c r="L642" s="68"/>
      <c r="M642" s="69"/>
      <c r="N642" s="44" t="str">
        <f t="shared" si="111"/>
        <v/>
      </c>
      <c r="O642" s="44" t="str">
        <f t="shared" si="112"/>
        <v/>
      </c>
      <c r="P642" s="112">
        <v>358.0</v>
      </c>
      <c r="Q642" s="96" t="s">
        <v>254</v>
      </c>
      <c r="R642" s="71"/>
      <c r="S642" s="31"/>
    </row>
    <row r="643">
      <c r="A643" s="37" t="s">
        <v>48</v>
      </c>
      <c r="B643" s="81" t="s">
        <v>224</v>
      </c>
      <c r="C643" s="82" t="s">
        <v>258</v>
      </c>
      <c r="D643" s="116">
        <v>45799.0</v>
      </c>
      <c r="E643" s="64">
        <f t="shared" si="155"/>
        <v>45806</v>
      </c>
      <c r="F643" s="64">
        <f t="shared" si="158"/>
        <v>45827</v>
      </c>
      <c r="G643" s="96" t="s">
        <v>55</v>
      </c>
      <c r="H643" s="102">
        <v>1.0</v>
      </c>
      <c r="I643" s="103">
        <v>3.0</v>
      </c>
      <c r="J643" s="44">
        <f t="shared" si="113"/>
        <v>2</v>
      </c>
      <c r="K643" s="44">
        <f t="shared" si="114"/>
        <v>2</v>
      </c>
      <c r="L643" s="68"/>
      <c r="M643" s="69"/>
      <c r="N643" s="44" t="str">
        <f t="shared" si="111"/>
        <v/>
      </c>
      <c r="O643" s="44" t="str">
        <f t="shared" si="112"/>
        <v/>
      </c>
      <c r="P643" s="112">
        <v>358.0</v>
      </c>
      <c r="Q643" s="96" t="s">
        <v>254</v>
      </c>
      <c r="R643" s="71"/>
      <c r="S643" s="31"/>
    </row>
    <row r="644">
      <c r="A644" s="31"/>
      <c r="B644" s="81" t="s">
        <v>198</v>
      </c>
      <c r="C644" s="44"/>
      <c r="D644" s="116">
        <v>45799.0</v>
      </c>
      <c r="E644" s="64">
        <f t="shared" si="155"/>
        <v>45806</v>
      </c>
      <c r="F644" s="64">
        <f t="shared" si="158"/>
        <v>45827</v>
      </c>
      <c r="G644" s="96" t="s">
        <v>99</v>
      </c>
      <c r="H644" s="68"/>
      <c r="I644" s="69"/>
      <c r="J644" s="44" t="str">
        <f t="shared" si="113"/>
        <v/>
      </c>
      <c r="K644" s="44" t="str">
        <f t="shared" si="114"/>
        <v/>
      </c>
      <c r="L644" s="102">
        <v>2594.0</v>
      </c>
      <c r="M644" s="103">
        <v>2616.0</v>
      </c>
      <c r="N644" s="44">
        <f t="shared" si="111"/>
        <v>12</v>
      </c>
      <c r="O644" s="44">
        <f t="shared" si="112"/>
        <v>12</v>
      </c>
      <c r="P644" s="117">
        <v>358.0</v>
      </c>
      <c r="Q644" s="96" t="s">
        <v>254</v>
      </c>
      <c r="R644" s="71"/>
      <c r="S644" s="31"/>
    </row>
    <row r="645">
      <c r="A645" s="37" t="s">
        <v>48</v>
      </c>
      <c r="B645" s="81" t="s">
        <v>198</v>
      </c>
      <c r="C645" s="82" t="s">
        <v>259</v>
      </c>
      <c r="D645" s="116">
        <v>45801.0</v>
      </c>
      <c r="E645" s="64">
        <f t="shared" si="155"/>
        <v>45808</v>
      </c>
      <c r="F645" s="64">
        <f t="shared" si="158"/>
        <v>45829</v>
      </c>
      <c r="G645" s="96" t="s">
        <v>256</v>
      </c>
      <c r="H645" s="102">
        <v>261.0</v>
      </c>
      <c r="I645" s="103">
        <v>303.0</v>
      </c>
      <c r="J645" s="44">
        <f t="shared" si="113"/>
        <v>22</v>
      </c>
      <c r="K645" s="44">
        <f t="shared" si="114"/>
        <v>22</v>
      </c>
      <c r="L645" s="102">
        <v>68.0</v>
      </c>
      <c r="M645" s="103">
        <v>240.0</v>
      </c>
      <c r="N645" s="44">
        <f t="shared" si="111"/>
        <v>87</v>
      </c>
      <c r="O645" s="44">
        <f t="shared" si="112"/>
        <v>87</v>
      </c>
      <c r="P645" s="112">
        <v>359.0</v>
      </c>
      <c r="Q645" s="96" t="s">
        <v>254</v>
      </c>
      <c r="R645" s="96">
        <v>32.7</v>
      </c>
      <c r="S645" s="31"/>
    </row>
    <row r="646">
      <c r="A646" s="37" t="s">
        <v>48</v>
      </c>
      <c r="B646" s="81" t="s">
        <v>198</v>
      </c>
      <c r="C646" s="82" t="s">
        <v>260</v>
      </c>
      <c r="D646" s="116">
        <v>45801.0</v>
      </c>
      <c r="E646" s="64">
        <f t="shared" si="155"/>
        <v>45808</v>
      </c>
      <c r="F646" s="64">
        <f t="shared" si="158"/>
        <v>45829</v>
      </c>
      <c r="G646" s="96" t="s">
        <v>99</v>
      </c>
      <c r="H646" s="102">
        <v>59.0</v>
      </c>
      <c r="I646" s="103">
        <v>69.0</v>
      </c>
      <c r="J646" s="44">
        <f t="shared" si="113"/>
        <v>6</v>
      </c>
      <c r="K646" s="44">
        <f t="shared" si="114"/>
        <v>6</v>
      </c>
      <c r="L646" s="68"/>
      <c r="M646" s="69"/>
      <c r="N646" s="44" t="str">
        <f t="shared" si="111"/>
        <v/>
      </c>
      <c r="O646" s="44" t="str">
        <f t="shared" si="112"/>
        <v/>
      </c>
      <c r="P646" s="112">
        <v>360.0</v>
      </c>
      <c r="Q646" s="96" t="s">
        <v>254</v>
      </c>
      <c r="R646" s="96">
        <v>24.0</v>
      </c>
      <c r="S646" s="31"/>
    </row>
    <row r="647">
      <c r="A647" s="37" t="s">
        <v>48</v>
      </c>
      <c r="B647" s="81" t="s">
        <v>198</v>
      </c>
      <c r="C647" s="82" t="s">
        <v>260</v>
      </c>
      <c r="D647" s="116">
        <v>45801.0</v>
      </c>
      <c r="E647" s="64">
        <f t="shared" si="155"/>
        <v>45808</v>
      </c>
      <c r="F647" s="64">
        <f t="shared" si="158"/>
        <v>45829</v>
      </c>
      <c r="G647" s="96" t="s">
        <v>99</v>
      </c>
      <c r="H647" s="102">
        <v>2595.0</v>
      </c>
      <c r="I647" s="103">
        <v>2617.0</v>
      </c>
      <c r="J647" s="44">
        <f t="shared" si="113"/>
        <v>12</v>
      </c>
      <c r="K647" s="44">
        <f t="shared" si="114"/>
        <v>12</v>
      </c>
      <c r="L647" s="68"/>
      <c r="M647" s="69"/>
      <c r="N647" s="44" t="str">
        <f t="shared" si="111"/>
        <v/>
      </c>
      <c r="O647" s="44" t="str">
        <f t="shared" si="112"/>
        <v/>
      </c>
      <c r="P647" s="112">
        <v>360.0</v>
      </c>
      <c r="Q647" s="96" t="s">
        <v>254</v>
      </c>
      <c r="R647" s="96">
        <v>24.0</v>
      </c>
      <c r="S647" s="31"/>
    </row>
    <row r="648">
      <c r="A648" s="37" t="s">
        <v>48</v>
      </c>
      <c r="B648" s="81" t="s">
        <v>198</v>
      </c>
      <c r="C648" s="82" t="s">
        <v>261</v>
      </c>
      <c r="D648" s="116">
        <v>45802.0</v>
      </c>
      <c r="E648" s="64">
        <f t="shared" si="155"/>
        <v>45809</v>
      </c>
      <c r="F648" s="64">
        <f t="shared" si="158"/>
        <v>45830</v>
      </c>
      <c r="G648" s="96" t="s">
        <v>99</v>
      </c>
      <c r="H648" s="102">
        <v>875.0</v>
      </c>
      <c r="I648" s="103">
        <v>881.0</v>
      </c>
      <c r="J648" s="44">
        <f t="shared" si="113"/>
        <v>4</v>
      </c>
      <c r="K648" s="44">
        <f t="shared" si="114"/>
        <v>4</v>
      </c>
      <c r="L648" s="102">
        <v>60.0</v>
      </c>
      <c r="M648" s="103">
        <v>68.0</v>
      </c>
      <c r="N648" s="44">
        <f t="shared" si="111"/>
        <v>5</v>
      </c>
      <c r="O648" s="44">
        <f t="shared" si="112"/>
        <v>5</v>
      </c>
      <c r="P648" s="112">
        <v>361.0</v>
      </c>
      <c r="Q648" s="96" t="s">
        <v>254</v>
      </c>
      <c r="R648" s="96" t="s">
        <v>262</v>
      </c>
      <c r="S648" s="31"/>
    </row>
    <row r="649">
      <c r="A649" s="37" t="s">
        <v>48</v>
      </c>
      <c r="B649" s="81" t="s">
        <v>198</v>
      </c>
      <c r="C649" s="82" t="s">
        <v>261</v>
      </c>
      <c r="D649" s="116">
        <v>45802.0</v>
      </c>
      <c r="E649" s="64">
        <f t="shared" si="155"/>
        <v>45809</v>
      </c>
      <c r="F649" s="64">
        <f t="shared" si="158"/>
        <v>45830</v>
      </c>
      <c r="G649" s="96" t="s">
        <v>99</v>
      </c>
      <c r="H649" s="102">
        <v>483.0</v>
      </c>
      <c r="I649" s="103">
        <v>483.0</v>
      </c>
      <c r="J649" s="44">
        <f t="shared" si="113"/>
        <v>1</v>
      </c>
      <c r="K649" s="44">
        <f t="shared" si="114"/>
        <v>1</v>
      </c>
      <c r="L649" s="102">
        <v>1182.0</v>
      </c>
      <c r="M649" s="102">
        <v>1182.0</v>
      </c>
      <c r="N649" s="44">
        <f t="shared" si="111"/>
        <v>1</v>
      </c>
      <c r="O649" s="44">
        <f t="shared" si="112"/>
        <v>1</v>
      </c>
      <c r="P649" s="112">
        <v>361.0</v>
      </c>
      <c r="Q649" s="96" t="s">
        <v>254</v>
      </c>
      <c r="R649" s="96" t="s">
        <v>262</v>
      </c>
      <c r="S649" s="31"/>
    </row>
    <row r="650">
      <c r="A650" s="37" t="s">
        <v>48</v>
      </c>
      <c r="B650" s="81" t="s">
        <v>198</v>
      </c>
      <c r="C650" s="82" t="s">
        <v>261</v>
      </c>
      <c r="D650" s="116">
        <v>45802.0</v>
      </c>
      <c r="E650" s="64">
        <f t="shared" si="155"/>
        <v>45809</v>
      </c>
      <c r="F650" s="64">
        <f t="shared" si="158"/>
        <v>45830</v>
      </c>
      <c r="G650" s="96" t="s">
        <v>99</v>
      </c>
      <c r="H650" s="102">
        <v>1299.0</v>
      </c>
      <c r="I650" s="103">
        <v>1299.0</v>
      </c>
      <c r="J650" s="44">
        <f t="shared" si="113"/>
        <v>1</v>
      </c>
      <c r="K650" s="44">
        <f t="shared" si="114"/>
        <v>1</v>
      </c>
      <c r="L650" s="102">
        <v>1298.0</v>
      </c>
      <c r="M650" s="102">
        <v>1298.0</v>
      </c>
      <c r="N650" s="44">
        <f t="shared" si="111"/>
        <v>1</v>
      </c>
      <c r="O650" s="44">
        <f t="shared" si="112"/>
        <v>1</v>
      </c>
      <c r="P650" s="112">
        <v>361.0</v>
      </c>
      <c r="Q650" s="96" t="s">
        <v>254</v>
      </c>
      <c r="R650" s="96" t="s">
        <v>262</v>
      </c>
      <c r="S650" s="31"/>
    </row>
    <row r="651">
      <c r="A651" s="37" t="s">
        <v>48</v>
      </c>
      <c r="B651" s="81" t="s">
        <v>198</v>
      </c>
      <c r="C651" s="82" t="s">
        <v>261</v>
      </c>
      <c r="D651" s="116">
        <v>45802.0</v>
      </c>
      <c r="E651" s="64">
        <f t="shared" si="155"/>
        <v>45809</v>
      </c>
      <c r="F651" s="64">
        <f t="shared" si="158"/>
        <v>45830</v>
      </c>
      <c r="G651" s="96" t="s">
        <v>99</v>
      </c>
      <c r="H651" s="102">
        <v>77.0</v>
      </c>
      <c r="I651" s="103">
        <v>77.0</v>
      </c>
      <c r="J651" s="44">
        <f t="shared" si="113"/>
        <v>1</v>
      </c>
      <c r="K651" s="44">
        <f t="shared" si="114"/>
        <v>1</v>
      </c>
      <c r="L651" s="102">
        <v>1183.0</v>
      </c>
      <c r="M651" s="103">
        <v>1183.0</v>
      </c>
      <c r="N651" s="44">
        <f t="shared" si="111"/>
        <v>1</v>
      </c>
      <c r="O651" s="44">
        <f t="shared" si="112"/>
        <v>1</v>
      </c>
      <c r="P651" s="112">
        <v>361.0</v>
      </c>
      <c r="Q651" s="96" t="s">
        <v>254</v>
      </c>
      <c r="R651" s="96" t="s">
        <v>262</v>
      </c>
      <c r="S651" s="31"/>
    </row>
    <row r="652">
      <c r="A652" s="37" t="s">
        <v>48</v>
      </c>
      <c r="B652" s="81" t="s">
        <v>198</v>
      </c>
      <c r="C652" s="82" t="s">
        <v>263</v>
      </c>
      <c r="D652" s="116">
        <v>45802.0</v>
      </c>
      <c r="E652" s="64">
        <f t="shared" si="155"/>
        <v>45809</v>
      </c>
      <c r="F652" s="64">
        <f t="shared" si="158"/>
        <v>45830</v>
      </c>
      <c r="G652" s="96" t="s">
        <v>256</v>
      </c>
      <c r="H652" s="102">
        <v>1.0</v>
      </c>
      <c r="I652" s="103">
        <v>17.0</v>
      </c>
      <c r="J652" s="44">
        <f t="shared" si="113"/>
        <v>9</v>
      </c>
      <c r="K652" s="44">
        <f t="shared" si="114"/>
        <v>9</v>
      </c>
      <c r="L652" s="102">
        <v>242.0</v>
      </c>
      <c r="M652" s="103">
        <v>308.0</v>
      </c>
      <c r="N652" s="44">
        <f t="shared" si="111"/>
        <v>34</v>
      </c>
      <c r="O652" s="44">
        <f t="shared" si="112"/>
        <v>34</v>
      </c>
      <c r="P652" s="112">
        <v>362.0</v>
      </c>
      <c r="Q652" s="96" t="s">
        <v>254</v>
      </c>
      <c r="R652" s="96">
        <v>15.9</v>
      </c>
      <c r="S652" s="31"/>
    </row>
    <row r="653">
      <c r="A653" s="37" t="s">
        <v>48</v>
      </c>
      <c r="B653" s="81" t="s">
        <v>198</v>
      </c>
      <c r="C653" s="39" t="s">
        <v>264</v>
      </c>
      <c r="D653" s="116">
        <v>45802.0</v>
      </c>
      <c r="E653" s="64">
        <f t="shared" si="155"/>
        <v>45809</v>
      </c>
      <c r="F653" s="64">
        <f t="shared" si="158"/>
        <v>45830</v>
      </c>
      <c r="G653" s="96" t="s">
        <v>215</v>
      </c>
      <c r="H653" s="102">
        <v>1.0</v>
      </c>
      <c r="I653" s="103">
        <v>5.0</v>
      </c>
      <c r="J653" s="44">
        <f t="shared" si="113"/>
        <v>3</v>
      </c>
      <c r="K653" s="44">
        <f t="shared" si="114"/>
        <v>3</v>
      </c>
      <c r="L653" s="68"/>
      <c r="M653" s="69"/>
      <c r="N653" s="44" t="str">
        <f t="shared" si="111"/>
        <v/>
      </c>
      <c r="O653" s="44" t="str">
        <f t="shared" si="112"/>
        <v/>
      </c>
      <c r="P653" s="112">
        <v>362.0</v>
      </c>
      <c r="Q653" s="96" t="s">
        <v>254</v>
      </c>
      <c r="R653" s="96">
        <v>15.9</v>
      </c>
      <c r="S653" s="31"/>
    </row>
    <row r="654">
      <c r="A654" s="37" t="s">
        <v>48</v>
      </c>
      <c r="B654" s="81" t="s">
        <v>198</v>
      </c>
      <c r="C654" s="82" t="s">
        <v>263</v>
      </c>
      <c r="D654" s="116">
        <v>45802.0</v>
      </c>
      <c r="E654" s="64">
        <f t="shared" si="155"/>
        <v>45809</v>
      </c>
      <c r="F654" s="64">
        <f t="shared" si="158"/>
        <v>45830</v>
      </c>
      <c r="G654" s="96" t="s">
        <v>265</v>
      </c>
      <c r="H654" s="102">
        <v>1.0</v>
      </c>
      <c r="I654" s="103">
        <v>13.0</v>
      </c>
      <c r="J654" s="44">
        <f t="shared" si="113"/>
        <v>7</v>
      </c>
      <c r="K654" s="44">
        <f t="shared" si="114"/>
        <v>7</v>
      </c>
      <c r="L654" s="68"/>
      <c r="M654" s="69"/>
      <c r="N654" s="44" t="str">
        <f t="shared" si="111"/>
        <v/>
      </c>
      <c r="O654" s="44" t="str">
        <f t="shared" si="112"/>
        <v/>
      </c>
      <c r="P654" s="112">
        <v>362.0</v>
      </c>
      <c r="Q654" s="96" t="s">
        <v>254</v>
      </c>
      <c r="R654" s="96">
        <v>15.9</v>
      </c>
      <c r="S654" s="31"/>
    </row>
    <row r="655">
      <c r="A655" s="31"/>
      <c r="B655" s="81" t="s">
        <v>198</v>
      </c>
      <c r="C655" s="39" t="s">
        <v>266</v>
      </c>
      <c r="D655" s="116">
        <v>45805.0</v>
      </c>
      <c r="E655" s="64">
        <f t="shared" si="155"/>
        <v>45812</v>
      </c>
      <c r="F655" s="64">
        <f t="shared" si="158"/>
        <v>45833</v>
      </c>
      <c r="G655" s="96" t="s">
        <v>99</v>
      </c>
      <c r="H655" s="102">
        <v>527.0</v>
      </c>
      <c r="I655" s="103">
        <v>549.0</v>
      </c>
      <c r="J655" s="44">
        <f t="shared" si="113"/>
        <v>12</v>
      </c>
      <c r="K655" s="44">
        <f t="shared" si="114"/>
        <v>12</v>
      </c>
      <c r="L655" s="102">
        <v>876.0</v>
      </c>
      <c r="M655" s="103">
        <v>882.0</v>
      </c>
      <c r="N655" s="44">
        <f t="shared" si="111"/>
        <v>4</v>
      </c>
      <c r="O655" s="44">
        <f t="shared" si="112"/>
        <v>4</v>
      </c>
      <c r="P655" s="112">
        <v>363.0</v>
      </c>
      <c r="Q655" s="96" t="s">
        <v>267</v>
      </c>
      <c r="R655" s="96">
        <v>33.66</v>
      </c>
      <c r="S655" s="31"/>
    </row>
    <row r="656">
      <c r="A656" s="31"/>
      <c r="B656" s="81" t="s">
        <v>198</v>
      </c>
      <c r="C656" s="44"/>
      <c r="D656" s="116">
        <v>45805.0</v>
      </c>
      <c r="E656" s="64">
        <f t="shared" si="155"/>
        <v>45812</v>
      </c>
      <c r="F656" s="64">
        <f t="shared" si="158"/>
        <v>45833</v>
      </c>
      <c r="G656" s="96" t="s">
        <v>99</v>
      </c>
      <c r="H656" s="68"/>
      <c r="I656" s="69"/>
      <c r="J656" s="44" t="str">
        <f t="shared" si="113"/>
        <v/>
      </c>
      <c r="K656" s="44" t="str">
        <f t="shared" si="114"/>
        <v/>
      </c>
      <c r="L656" s="102">
        <v>1300.0</v>
      </c>
      <c r="M656" s="103">
        <v>1300.0</v>
      </c>
      <c r="N656" s="44">
        <f t="shared" si="111"/>
        <v>1</v>
      </c>
      <c r="O656" s="44">
        <f t="shared" si="112"/>
        <v>1</v>
      </c>
      <c r="P656" s="117">
        <v>363.0</v>
      </c>
      <c r="Q656" s="96" t="s">
        <v>267</v>
      </c>
      <c r="R656" s="96">
        <v>33.66</v>
      </c>
      <c r="S656" s="31"/>
    </row>
    <row r="657">
      <c r="A657" s="31"/>
      <c r="B657" s="81" t="s">
        <v>198</v>
      </c>
      <c r="C657" s="44"/>
      <c r="D657" s="116">
        <v>45805.0</v>
      </c>
      <c r="E657" s="64">
        <f t="shared" si="155"/>
        <v>45812</v>
      </c>
      <c r="F657" s="64">
        <f t="shared" si="158"/>
        <v>45833</v>
      </c>
      <c r="G657" s="96" t="s">
        <v>99</v>
      </c>
      <c r="H657" s="68"/>
      <c r="I657" s="69"/>
      <c r="J657" s="44" t="str">
        <f t="shared" si="113"/>
        <v/>
      </c>
      <c r="K657" s="44" t="str">
        <f t="shared" si="114"/>
        <v/>
      </c>
      <c r="L657" s="102">
        <v>2450.0</v>
      </c>
      <c r="M657" s="103">
        <v>2450.0</v>
      </c>
      <c r="N657" s="44">
        <f t="shared" si="111"/>
        <v>1</v>
      </c>
      <c r="O657" s="44">
        <f t="shared" si="112"/>
        <v>1</v>
      </c>
      <c r="P657" s="117">
        <v>363.0</v>
      </c>
      <c r="Q657" s="96" t="s">
        <v>267</v>
      </c>
      <c r="R657" s="96">
        <v>33.66</v>
      </c>
      <c r="S657" s="31"/>
    </row>
    <row r="658">
      <c r="A658" s="31"/>
      <c r="B658" s="81" t="s">
        <v>198</v>
      </c>
      <c r="C658" s="82" t="s">
        <v>268</v>
      </c>
      <c r="D658" s="116">
        <v>45805.0</v>
      </c>
      <c r="E658" s="64">
        <f t="shared" si="155"/>
        <v>45812</v>
      </c>
      <c r="F658" s="64">
        <f t="shared" si="158"/>
        <v>45833</v>
      </c>
      <c r="G658" s="96" t="s">
        <v>265</v>
      </c>
      <c r="H658" s="102">
        <v>15.0</v>
      </c>
      <c r="I658" s="103">
        <v>295.0</v>
      </c>
      <c r="J658" s="44">
        <f t="shared" si="113"/>
        <v>141</v>
      </c>
      <c r="K658" s="44">
        <f t="shared" si="114"/>
        <v>141</v>
      </c>
      <c r="L658" s="68"/>
      <c r="M658" s="69"/>
      <c r="N658" s="44" t="str">
        <f t="shared" si="111"/>
        <v/>
      </c>
      <c r="O658" s="44" t="str">
        <f t="shared" si="112"/>
        <v/>
      </c>
      <c r="P658" s="112">
        <v>364.0</v>
      </c>
      <c r="Q658" s="96" t="s">
        <v>267</v>
      </c>
      <c r="R658" s="96">
        <v>42.3</v>
      </c>
      <c r="S658" s="31"/>
    </row>
    <row r="659">
      <c r="A659" s="31"/>
      <c r="B659" s="81" t="s">
        <v>198</v>
      </c>
      <c r="C659" s="82" t="s">
        <v>269</v>
      </c>
      <c r="D659" s="116">
        <v>45806.0</v>
      </c>
      <c r="E659" s="64">
        <f t="shared" si="155"/>
        <v>45813</v>
      </c>
      <c r="F659" s="64">
        <f t="shared" si="158"/>
        <v>45834</v>
      </c>
      <c r="G659" s="96" t="s">
        <v>265</v>
      </c>
      <c r="H659" s="68"/>
      <c r="I659" s="69"/>
      <c r="J659" s="44" t="str">
        <f t="shared" si="113"/>
        <v/>
      </c>
      <c r="K659" s="44" t="str">
        <f t="shared" si="114"/>
        <v/>
      </c>
      <c r="L659" s="102">
        <v>2.0</v>
      </c>
      <c r="M659" s="103">
        <v>214.0</v>
      </c>
      <c r="N659" s="44">
        <f t="shared" si="111"/>
        <v>107</v>
      </c>
      <c r="O659" s="44">
        <f t="shared" si="112"/>
        <v>107</v>
      </c>
      <c r="P659" s="112">
        <v>365.0</v>
      </c>
      <c r="Q659" s="96" t="s">
        <v>267</v>
      </c>
      <c r="R659" s="71"/>
      <c r="S659" s="31"/>
    </row>
    <row r="660">
      <c r="A660" s="31"/>
      <c r="B660" s="81" t="s">
        <v>198</v>
      </c>
      <c r="C660" s="82" t="s">
        <v>270</v>
      </c>
      <c r="D660" s="116">
        <v>45806.0</v>
      </c>
      <c r="E660" s="64">
        <f t="shared" si="155"/>
        <v>45813</v>
      </c>
      <c r="F660" s="64">
        <f t="shared" si="158"/>
        <v>45834</v>
      </c>
      <c r="G660" s="96" t="s">
        <v>99</v>
      </c>
      <c r="H660" s="68"/>
      <c r="I660" s="69"/>
      <c r="J660" s="44" t="str">
        <f t="shared" si="113"/>
        <v/>
      </c>
      <c r="K660" s="44" t="str">
        <f t="shared" si="114"/>
        <v/>
      </c>
      <c r="L660" s="102">
        <v>528.0</v>
      </c>
      <c r="M660" s="103">
        <v>548.0</v>
      </c>
      <c r="N660" s="44">
        <f t="shared" si="111"/>
        <v>11</v>
      </c>
      <c r="O660" s="44">
        <f t="shared" si="112"/>
        <v>11</v>
      </c>
      <c r="P660" s="112">
        <v>366.0</v>
      </c>
      <c r="Q660" s="96" t="s">
        <v>267</v>
      </c>
      <c r="R660" s="96">
        <v>17.57</v>
      </c>
      <c r="S660" s="31"/>
    </row>
    <row r="661">
      <c r="A661" s="31"/>
      <c r="B661" s="81" t="s">
        <v>224</v>
      </c>
      <c r="C661" s="82" t="s">
        <v>271</v>
      </c>
      <c r="D661" s="116">
        <v>45808.0</v>
      </c>
      <c r="E661" s="64">
        <f t="shared" si="155"/>
        <v>45815</v>
      </c>
      <c r="F661" s="64">
        <f t="shared" si="158"/>
        <v>45836</v>
      </c>
      <c r="G661" s="96" t="s">
        <v>265</v>
      </c>
      <c r="H661" s="102">
        <v>297.0</v>
      </c>
      <c r="I661" s="103">
        <v>309.0</v>
      </c>
      <c r="J661" s="44">
        <f t="shared" si="113"/>
        <v>7</v>
      </c>
      <c r="K661" s="44">
        <f t="shared" si="114"/>
        <v>7</v>
      </c>
      <c r="L661" s="102">
        <v>216.0</v>
      </c>
      <c r="M661" s="103">
        <v>308.0</v>
      </c>
      <c r="N661" s="44">
        <f t="shared" si="111"/>
        <v>47</v>
      </c>
      <c r="O661" s="44">
        <f t="shared" si="112"/>
        <v>47</v>
      </c>
      <c r="P661" s="112">
        <v>367.0</v>
      </c>
      <c r="Q661" s="96" t="s">
        <v>267</v>
      </c>
      <c r="R661" s="96">
        <v>30.2</v>
      </c>
      <c r="S661" s="31"/>
    </row>
    <row r="662">
      <c r="A662" s="31"/>
      <c r="B662" s="81" t="s">
        <v>224</v>
      </c>
      <c r="C662" s="82" t="s">
        <v>271</v>
      </c>
      <c r="D662" s="116">
        <v>45808.0</v>
      </c>
      <c r="E662" s="64">
        <f t="shared" si="155"/>
        <v>45815</v>
      </c>
      <c r="F662" s="64">
        <f t="shared" si="158"/>
        <v>45836</v>
      </c>
      <c r="G662" s="96" t="s">
        <v>272</v>
      </c>
      <c r="H662" s="102">
        <v>1.0</v>
      </c>
      <c r="I662" s="103">
        <v>93.0</v>
      </c>
      <c r="J662" s="44">
        <f t="shared" si="113"/>
        <v>47</v>
      </c>
      <c r="K662" s="44">
        <f t="shared" si="114"/>
        <v>47</v>
      </c>
      <c r="L662" s="68"/>
      <c r="M662" s="69"/>
      <c r="N662" s="44" t="str">
        <f t="shared" si="111"/>
        <v/>
      </c>
      <c r="O662" s="44" t="str">
        <f t="shared" si="112"/>
        <v/>
      </c>
      <c r="P662" s="112">
        <v>367.0</v>
      </c>
      <c r="Q662" s="96" t="s">
        <v>267</v>
      </c>
      <c r="R662" s="96">
        <v>30.2</v>
      </c>
      <c r="S662" s="31"/>
    </row>
    <row r="663">
      <c r="A663" s="31"/>
      <c r="B663" s="81"/>
      <c r="C663" s="82" t="s">
        <v>273</v>
      </c>
      <c r="D663" s="116">
        <v>45809.0</v>
      </c>
      <c r="E663" s="64">
        <f t="shared" si="155"/>
        <v>45816</v>
      </c>
      <c r="F663" s="64">
        <f t="shared" si="158"/>
        <v>45837</v>
      </c>
      <c r="G663" s="96" t="s">
        <v>97</v>
      </c>
      <c r="H663" s="102">
        <v>289.0</v>
      </c>
      <c r="I663" s="103">
        <v>291.0</v>
      </c>
      <c r="J663" s="44">
        <f t="shared" si="113"/>
        <v>2</v>
      </c>
      <c r="K663" s="44">
        <f t="shared" si="114"/>
        <v>2</v>
      </c>
      <c r="L663" s="102">
        <v>272.0</v>
      </c>
      <c r="M663" s="103">
        <v>276.0</v>
      </c>
      <c r="N663" s="44">
        <f t="shared" si="111"/>
        <v>3</v>
      </c>
      <c r="O663" s="44">
        <f t="shared" si="112"/>
        <v>3</v>
      </c>
      <c r="P663" s="112">
        <v>368.0</v>
      </c>
      <c r="Q663" s="96" t="s">
        <v>274</v>
      </c>
      <c r="R663" s="96">
        <v>10.013</v>
      </c>
      <c r="S663" s="31"/>
    </row>
    <row r="664">
      <c r="A664" s="31"/>
      <c r="B664" s="81"/>
      <c r="C664" s="82" t="s">
        <v>273</v>
      </c>
      <c r="D664" s="116">
        <v>45809.0</v>
      </c>
      <c r="E664" s="64">
        <f t="shared" si="155"/>
        <v>45816</v>
      </c>
      <c r="F664" s="64">
        <f t="shared" si="158"/>
        <v>45837</v>
      </c>
      <c r="G664" s="96" t="s">
        <v>97</v>
      </c>
      <c r="H664" s="102">
        <v>279.0</v>
      </c>
      <c r="I664" s="103">
        <v>279.0</v>
      </c>
      <c r="J664" s="44">
        <f t="shared" si="113"/>
        <v>1</v>
      </c>
      <c r="K664" s="44"/>
      <c r="L664" s="102"/>
      <c r="M664" s="103"/>
      <c r="N664" s="44" t="str">
        <f t="shared" si="111"/>
        <v/>
      </c>
      <c r="O664" s="44" t="str">
        <f t="shared" si="112"/>
        <v/>
      </c>
      <c r="P664" s="112">
        <v>368.0</v>
      </c>
      <c r="Q664" s="96" t="s">
        <v>274</v>
      </c>
      <c r="R664" s="71"/>
      <c r="S664" s="31"/>
    </row>
    <row r="665">
      <c r="A665" s="31"/>
      <c r="B665" s="81"/>
      <c r="C665" s="82" t="s">
        <v>273</v>
      </c>
      <c r="D665" s="116">
        <v>45809.0</v>
      </c>
      <c r="E665" s="64">
        <f t="shared" si="155"/>
        <v>45816</v>
      </c>
      <c r="F665" s="64">
        <f t="shared" si="158"/>
        <v>45837</v>
      </c>
      <c r="G665" s="96" t="s">
        <v>97</v>
      </c>
      <c r="H665" s="102">
        <v>281.0</v>
      </c>
      <c r="I665" s="103">
        <v>281.0</v>
      </c>
      <c r="J665" s="44">
        <f t="shared" si="113"/>
        <v>1</v>
      </c>
      <c r="K665" s="44"/>
      <c r="L665" s="102"/>
      <c r="M665" s="103"/>
      <c r="N665" s="44" t="str">
        <f t="shared" si="111"/>
        <v/>
      </c>
      <c r="O665" s="44" t="str">
        <f t="shared" si="112"/>
        <v/>
      </c>
      <c r="P665" s="112">
        <v>368.0</v>
      </c>
      <c r="Q665" s="96" t="s">
        <v>274</v>
      </c>
      <c r="R665" s="71"/>
      <c r="S665" s="31"/>
    </row>
    <row r="666">
      <c r="A666" s="31"/>
      <c r="B666" s="81"/>
      <c r="C666" s="82" t="s">
        <v>273</v>
      </c>
      <c r="D666" s="116">
        <v>45809.0</v>
      </c>
      <c r="E666" s="64">
        <f t="shared" si="155"/>
        <v>45816</v>
      </c>
      <c r="F666" s="64">
        <f t="shared" si="158"/>
        <v>45837</v>
      </c>
      <c r="G666" s="96" t="s">
        <v>97</v>
      </c>
      <c r="H666" s="102">
        <v>681.0</v>
      </c>
      <c r="I666" s="103">
        <v>681.0</v>
      </c>
      <c r="J666" s="44">
        <f t="shared" si="113"/>
        <v>1</v>
      </c>
      <c r="K666" s="44"/>
      <c r="L666" s="102">
        <v>682.0</v>
      </c>
      <c r="M666" s="103">
        <v>682.0</v>
      </c>
      <c r="N666" s="44">
        <f t="shared" si="111"/>
        <v>1</v>
      </c>
      <c r="O666" s="44">
        <f t="shared" si="112"/>
        <v>1</v>
      </c>
      <c r="P666" s="112">
        <v>368.0</v>
      </c>
      <c r="Q666" s="96" t="s">
        <v>274</v>
      </c>
      <c r="R666" s="71"/>
      <c r="S666" s="31"/>
    </row>
    <row r="667">
      <c r="A667" s="31"/>
      <c r="B667" s="81" t="s">
        <v>224</v>
      </c>
      <c r="C667" s="82" t="s">
        <v>273</v>
      </c>
      <c r="D667" s="116">
        <v>45809.0</v>
      </c>
      <c r="E667" s="64">
        <f t="shared" si="155"/>
        <v>45816</v>
      </c>
      <c r="F667" s="64">
        <f t="shared" si="158"/>
        <v>45837</v>
      </c>
      <c r="G667" s="96" t="s">
        <v>191</v>
      </c>
      <c r="H667" s="102">
        <v>1.0</v>
      </c>
      <c r="I667" s="103">
        <v>1.0</v>
      </c>
      <c r="J667" s="44">
        <f t="shared" si="113"/>
        <v>1</v>
      </c>
      <c r="K667" s="44"/>
      <c r="L667" s="102"/>
      <c r="M667" s="103"/>
      <c r="N667" s="44" t="str">
        <f t="shared" si="111"/>
        <v/>
      </c>
      <c r="O667" s="44"/>
      <c r="P667" s="112">
        <v>368.0</v>
      </c>
      <c r="Q667" s="96" t="s">
        <v>274</v>
      </c>
      <c r="R667" s="71"/>
      <c r="S667" s="31"/>
    </row>
    <row r="668">
      <c r="A668" s="31"/>
      <c r="B668" s="81" t="s">
        <v>224</v>
      </c>
      <c r="C668" s="82" t="s">
        <v>273</v>
      </c>
      <c r="D668" s="116">
        <v>45809.0</v>
      </c>
      <c r="E668" s="64">
        <f t="shared" si="155"/>
        <v>45816</v>
      </c>
      <c r="F668" s="64">
        <f t="shared" si="158"/>
        <v>45837</v>
      </c>
      <c r="G668" s="96" t="s">
        <v>200</v>
      </c>
      <c r="H668" s="102">
        <v>1.0</v>
      </c>
      <c r="I668" s="103">
        <v>1.0</v>
      </c>
      <c r="J668" s="44">
        <f t="shared" si="113"/>
        <v>1</v>
      </c>
      <c r="K668" s="44"/>
      <c r="L668" s="102"/>
      <c r="M668" s="103"/>
      <c r="N668" s="44" t="str">
        <f t="shared" si="111"/>
        <v/>
      </c>
      <c r="O668" s="44"/>
      <c r="P668" s="112">
        <v>368.0</v>
      </c>
      <c r="Q668" s="96" t="s">
        <v>274</v>
      </c>
      <c r="R668" s="71"/>
      <c r="S668" s="31"/>
    </row>
    <row r="669">
      <c r="A669" s="31"/>
      <c r="B669" s="81" t="s">
        <v>224</v>
      </c>
      <c r="C669" s="82" t="s">
        <v>273</v>
      </c>
      <c r="D669" s="116">
        <v>45809.0</v>
      </c>
      <c r="E669" s="64">
        <f t="shared" si="155"/>
        <v>45816</v>
      </c>
      <c r="F669" s="64">
        <f t="shared" si="158"/>
        <v>45837</v>
      </c>
      <c r="G669" s="96" t="s">
        <v>181</v>
      </c>
      <c r="H669" s="102">
        <v>25.0</v>
      </c>
      <c r="I669" s="103">
        <v>41.0</v>
      </c>
      <c r="J669" s="44">
        <f t="shared" si="113"/>
        <v>9</v>
      </c>
      <c r="K669" s="44"/>
      <c r="L669" s="102"/>
      <c r="M669" s="103"/>
      <c r="N669" s="44" t="str">
        <f t="shared" si="111"/>
        <v/>
      </c>
      <c r="O669" s="44"/>
      <c r="P669" s="112">
        <v>368.0</v>
      </c>
      <c r="Q669" s="96" t="s">
        <v>274</v>
      </c>
      <c r="R669" s="71"/>
      <c r="S669" s="31"/>
    </row>
    <row r="670">
      <c r="A670" s="31"/>
      <c r="B670" s="81" t="s">
        <v>224</v>
      </c>
      <c r="C670" s="82" t="s">
        <v>275</v>
      </c>
      <c r="D670" s="116">
        <v>45809.0</v>
      </c>
      <c r="E670" s="64">
        <f t="shared" si="155"/>
        <v>45816</v>
      </c>
      <c r="F670" s="64">
        <f t="shared" si="158"/>
        <v>45837</v>
      </c>
      <c r="G670" s="96" t="s">
        <v>272</v>
      </c>
      <c r="H670" s="102">
        <v>95.0</v>
      </c>
      <c r="I670" s="103">
        <v>261.0</v>
      </c>
      <c r="J670" s="44">
        <f t="shared" si="113"/>
        <v>84</v>
      </c>
      <c r="K670" s="44">
        <f t="shared" ref="K670:K677" si="159">if($D670&lt;=$L$3,J670,0)</f>
        <v>84</v>
      </c>
      <c r="L670" s="102">
        <v>2.0</v>
      </c>
      <c r="M670" s="103">
        <v>92.0</v>
      </c>
      <c r="N670" s="44">
        <f t="shared" si="111"/>
        <v>46</v>
      </c>
      <c r="O670" s="44">
        <f t="shared" ref="O670:O677" si="160">if($D670&lt;=$L$3,N670,0)</f>
        <v>46</v>
      </c>
      <c r="P670" s="112">
        <v>369.0</v>
      </c>
      <c r="Q670" s="96" t="s">
        <v>276</v>
      </c>
      <c r="R670" s="96">
        <v>39.0</v>
      </c>
      <c r="S670" s="31"/>
    </row>
    <row r="671">
      <c r="A671" s="31"/>
      <c r="B671" s="81" t="s">
        <v>224</v>
      </c>
      <c r="C671" s="82" t="s">
        <v>277</v>
      </c>
      <c r="D671" s="116">
        <v>45810.0</v>
      </c>
      <c r="E671" s="64">
        <f t="shared" si="155"/>
        <v>45817</v>
      </c>
      <c r="F671" s="64">
        <f t="shared" si="158"/>
        <v>45838</v>
      </c>
      <c r="G671" s="96" t="s">
        <v>272</v>
      </c>
      <c r="H671" s="102">
        <v>263.0</v>
      </c>
      <c r="I671" s="103">
        <v>307.0</v>
      </c>
      <c r="J671" s="44">
        <f t="shared" si="113"/>
        <v>23</v>
      </c>
      <c r="K671" s="44">
        <f t="shared" si="159"/>
        <v>23</v>
      </c>
      <c r="L671" s="102">
        <v>94.0</v>
      </c>
      <c r="M671" s="103">
        <v>260.0</v>
      </c>
      <c r="N671" s="44">
        <f t="shared" si="111"/>
        <v>84</v>
      </c>
      <c r="O671" s="44">
        <f t="shared" si="160"/>
        <v>84</v>
      </c>
      <c r="P671" s="112">
        <v>370.0</v>
      </c>
      <c r="Q671" s="96" t="s">
        <v>274</v>
      </c>
      <c r="R671" s="96">
        <v>40.2</v>
      </c>
      <c r="S671" s="31"/>
    </row>
    <row r="672">
      <c r="A672" s="31"/>
      <c r="B672" s="81" t="s">
        <v>224</v>
      </c>
      <c r="C672" s="82" t="s">
        <v>277</v>
      </c>
      <c r="D672" s="116">
        <v>45810.0</v>
      </c>
      <c r="E672" s="64">
        <f t="shared" si="155"/>
        <v>45817</v>
      </c>
      <c r="F672" s="64">
        <f t="shared" si="158"/>
        <v>45838</v>
      </c>
      <c r="G672" s="96" t="s">
        <v>278</v>
      </c>
      <c r="H672" s="102">
        <v>1.0</v>
      </c>
      <c r="I672" s="103">
        <v>53.0</v>
      </c>
      <c r="J672" s="44">
        <f t="shared" si="113"/>
        <v>27</v>
      </c>
      <c r="K672" s="44">
        <f t="shared" si="159"/>
        <v>27</v>
      </c>
      <c r="L672" s="68"/>
      <c r="M672" s="69"/>
      <c r="N672" s="44" t="str">
        <f t="shared" si="111"/>
        <v/>
      </c>
      <c r="O672" s="44" t="str">
        <f t="shared" si="160"/>
        <v/>
      </c>
      <c r="P672" s="112">
        <v>370.0</v>
      </c>
      <c r="Q672" s="96" t="s">
        <v>274</v>
      </c>
      <c r="R672" s="96">
        <v>40.2</v>
      </c>
      <c r="S672" s="31"/>
    </row>
    <row r="673">
      <c r="A673" s="31"/>
      <c r="B673" s="81"/>
      <c r="C673" s="118" t="s">
        <v>279</v>
      </c>
      <c r="D673" s="116">
        <v>45810.0</v>
      </c>
      <c r="E673" s="64">
        <f t="shared" si="155"/>
        <v>45817</v>
      </c>
      <c r="F673" s="64">
        <f t="shared" si="158"/>
        <v>45838</v>
      </c>
      <c r="G673" s="96" t="s">
        <v>97</v>
      </c>
      <c r="H673" s="102">
        <v>273.0</v>
      </c>
      <c r="I673" s="103">
        <v>277.0</v>
      </c>
      <c r="J673" s="44">
        <f t="shared" si="113"/>
        <v>3</v>
      </c>
      <c r="K673" s="44">
        <f t="shared" si="159"/>
        <v>3</v>
      </c>
      <c r="L673" s="102">
        <v>278.0</v>
      </c>
      <c r="M673" s="102">
        <v>278.0</v>
      </c>
      <c r="N673" s="44">
        <f t="shared" si="111"/>
        <v>1</v>
      </c>
      <c r="O673" s="44">
        <f t="shared" si="160"/>
        <v>1</v>
      </c>
      <c r="P673" s="112">
        <v>371.0</v>
      </c>
      <c r="Q673" s="96" t="s">
        <v>274</v>
      </c>
      <c r="R673" s="96">
        <v>5.47</v>
      </c>
      <c r="S673" s="31"/>
    </row>
    <row r="674">
      <c r="A674" s="31"/>
      <c r="B674" s="81"/>
      <c r="C674" s="82" t="s">
        <v>280</v>
      </c>
      <c r="D674" s="116">
        <v>45810.0</v>
      </c>
      <c r="E674" s="64">
        <f t="shared" si="155"/>
        <v>45817</v>
      </c>
      <c r="F674" s="64">
        <f t="shared" si="158"/>
        <v>45838</v>
      </c>
      <c r="G674" s="96" t="s">
        <v>97</v>
      </c>
      <c r="H674" s="68"/>
      <c r="I674" s="69"/>
      <c r="J674" s="44" t="str">
        <f t="shared" si="113"/>
        <v/>
      </c>
      <c r="K674" s="44" t="str">
        <f t="shared" si="159"/>
        <v/>
      </c>
      <c r="L674" s="102">
        <v>280.0</v>
      </c>
      <c r="M674" s="102">
        <v>280.0</v>
      </c>
      <c r="N674" s="44">
        <f t="shared" si="111"/>
        <v>1</v>
      </c>
      <c r="O674" s="44">
        <f t="shared" si="160"/>
        <v>1</v>
      </c>
      <c r="P674" s="112">
        <v>371.0</v>
      </c>
      <c r="Q674" s="96" t="s">
        <v>274</v>
      </c>
      <c r="R674" s="71"/>
      <c r="S674" s="31"/>
    </row>
    <row r="675">
      <c r="A675" s="31"/>
      <c r="B675" s="81"/>
      <c r="C675" s="82" t="s">
        <v>280</v>
      </c>
      <c r="D675" s="116">
        <v>45810.0</v>
      </c>
      <c r="E675" s="64">
        <f t="shared" si="155"/>
        <v>45817</v>
      </c>
      <c r="F675" s="64">
        <f t="shared" si="158"/>
        <v>45838</v>
      </c>
      <c r="G675" s="96" t="s">
        <v>97</v>
      </c>
      <c r="H675" s="68"/>
      <c r="I675" s="69"/>
      <c r="J675" s="44" t="str">
        <f t="shared" si="113"/>
        <v/>
      </c>
      <c r="K675" s="44" t="str">
        <f t="shared" si="159"/>
        <v/>
      </c>
      <c r="L675" s="102">
        <v>290.0</v>
      </c>
      <c r="M675" s="102">
        <v>290.0</v>
      </c>
      <c r="N675" s="44">
        <f t="shared" si="111"/>
        <v>1</v>
      </c>
      <c r="O675" s="44">
        <f t="shared" si="160"/>
        <v>1</v>
      </c>
      <c r="P675" s="112">
        <v>371.0</v>
      </c>
      <c r="Q675" s="96" t="s">
        <v>274</v>
      </c>
      <c r="R675" s="71"/>
      <c r="S675" s="31"/>
    </row>
    <row r="676">
      <c r="A676" s="31"/>
      <c r="B676" s="81"/>
      <c r="C676" s="82" t="s">
        <v>280</v>
      </c>
      <c r="D676" s="116">
        <v>45810.0</v>
      </c>
      <c r="E676" s="64">
        <f t="shared" si="155"/>
        <v>45817</v>
      </c>
      <c r="F676" s="64">
        <f t="shared" si="158"/>
        <v>45838</v>
      </c>
      <c r="G676" s="96" t="s">
        <v>97</v>
      </c>
      <c r="H676" s="68"/>
      <c r="I676" s="69"/>
      <c r="J676" s="44" t="str">
        <f t="shared" si="113"/>
        <v/>
      </c>
      <c r="K676" s="44" t="str">
        <f t="shared" si="159"/>
        <v/>
      </c>
      <c r="L676" s="102">
        <v>292.0</v>
      </c>
      <c r="M676" s="102">
        <v>292.0</v>
      </c>
      <c r="N676" s="44">
        <f t="shared" si="111"/>
        <v>1</v>
      </c>
      <c r="O676" s="44">
        <f t="shared" si="160"/>
        <v>1</v>
      </c>
      <c r="P676" s="112">
        <v>371.0</v>
      </c>
      <c r="Q676" s="96" t="s">
        <v>274</v>
      </c>
      <c r="R676" s="71"/>
      <c r="S676" s="31"/>
    </row>
    <row r="677">
      <c r="A677" s="31"/>
      <c r="B677" s="81" t="s">
        <v>224</v>
      </c>
      <c r="C677" s="82" t="s">
        <v>280</v>
      </c>
      <c r="D677" s="116">
        <v>45810.0</v>
      </c>
      <c r="E677" s="64">
        <f t="shared" si="155"/>
        <v>45817</v>
      </c>
      <c r="F677" s="64">
        <f t="shared" si="158"/>
        <v>45838</v>
      </c>
      <c r="G677" s="96" t="s">
        <v>15</v>
      </c>
      <c r="H677" s="68"/>
      <c r="I677" s="69"/>
      <c r="J677" s="44" t="str">
        <f t="shared" si="113"/>
        <v/>
      </c>
      <c r="K677" s="44" t="str">
        <f t="shared" si="159"/>
        <v/>
      </c>
      <c r="L677" s="102">
        <v>296.0</v>
      </c>
      <c r="M677" s="103">
        <v>296.0</v>
      </c>
      <c r="N677" s="44">
        <f t="shared" si="111"/>
        <v>1</v>
      </c>
      <c r="O677" s="44">
        <f t="shared" si="160"/>
        <v>1</v>
      </c>
      <c r="P677" s="112">
        <v>371.0</v>
      </c>
      <c r="Q677" s="96" t="s">
        <v>274</v>
      </c>
      <c r="R677" s="71"/>
      <c r="S677" s="31"/>
    </row>
    <row r="678">
      <c r="A678" s="31"/>
      <c r="B678" s="81" t="s">
        <v>224</v>
      </c>
      <c r="C678" s="82" t="s">
        <v>281</v>
      </c>
      <c r="D678" s="116">
        <v>45811.0</v>
      </c>
      <c r="E678" s="64">
        <f t="shared" si="155"/>
        <v>45818</v>
      </c>
      <c r="F678" s="64">
        <f t="shared" si="158"/>
        <v>45839</v>
      </c>
      <c r="G678" s="96" t="s">
        <v>278</v>
      </c>
      <c r="H678" s="102">
        <v>55.0</v>
      </c>
      <c r="I678" s="103">
        <v>177.0</v>
      </c>
      <c r="J678" s="44">
        <f t="shared" si="113"/>
        <v>62</v>
      </c>
      <c r="K678" s="44"/>
      <c r="L678" s="102">
        <v>2.0</v>
      </c>
      <c r="M678" s="103">
        <v>28.0</v>
      </c>
      <c r="N678" s="44">
        <f t="shared" si="111"/>
        <v>14</v>
      </c>
      <c r="O678" s="44"/>
      <c r="P678" s="112">
        <v>374.0</v>
      </c>
      <c r="Q678" s="96"/>
      <c r="R678" s="96"/>
      <c r="S678" s="31"/>
    </row>
    <row r="679">
      <c r="A679" s="31"/>
      <c r="B679" s="81" t="s">
        <v>224</v>
      </c>
      <c r="C679" s="82" t="s">
        <v>281</v>
      </c>
      <c r="D679" s="116">
        <v>45811.0</v>
      </c>
      <c r="E679" s="64">
        <f t="shared" si="155"/>
        <v>45818</v>
      </c>
      <c r="F679" s="64">
        <f t="shared" si="158"/>
        <v>45839</v>
      </c>
      <c r="G679" s="96" t="s">
        <v>272</v>
      </c>
      <c r="H679" s="102"/>
      <c r="I679" s="103"/>
      <c r="J679" s="44" t="str">
        <f t="shared" si="113"/>
        <v/>
      </c>
      <c r="K679" s="44"/>
      <c r="L679" s="102">
        <v>264.0</v>
      </c>
      <c r="M679" s="103">
        <v>308.0</v>
      </c>
      <c r="N679" s="44">
        <f t="shared" si="111"/>
        <v>23</v>
      </c>
      <c r="O679" s="44"/>
      <c r="P679" s="112">
        <v>374.0</v>
      </c>
      <c r="Q679" s="96"/>
      <c r="R679" s="96"/>
      <c r="S679" s="31"/>
    </row>
    <row r="680">
      <c r="A680" s="31"/>
      <c r="B680" s="81" t="s">
        <v>224</v>
      </c>
      <c r="C680" s="82" t="s">
        <v>281</v>
      </c>
      <c r="D680" s="116">
        <v>45811.0</v>
      </c>
      <c r="E680" s="64">
        <f t="shared" si="155"/>
        <v>45818</v>
      </c>
      <c r="F680" s="64">
        <f t="shared" si="158"/>
        <v>45839</v>
      </c>
      <c r="G680" s="96" t="s">
        <v>256</v>
      </c>
      <c r="H680" s="102"/>
      <c r="I680" s="103"/>
      <c r="J680" s="44" t="str">
        <f t="shared" si="113"/>
        <v/>
      </c>
      <c r="K680" s="44"/>
      <c r="L680" s="102">
        <v>2.0</v>
      </c>
      <c r="M680" s="103">
        <v>18.0</v>
      </c>
      <c r="N680" s="44">
        <f t="shared" si="111"/>
        <v>9</v>
      </c>
      <c r="O680" s="44"/>
      <c r="P680" s="112">
        <v>374.0</v>
      </c>
      <c r="Q680" s="96"/>
      <c r="R680" s="96"/>
      <c r="S680" s="31"/>
    </row>
    <row r="681">
      <c r="A681" s="31"/>
      <c r="B681" s="81" t="s">
        <v>224</v>
      </c>
      <c r="C681" s="119"/>
      <c r="D681" s="116">
        <v>45824.0</v>
      </c>
      <c r="E681" s="64">
        <f t="shared" si="155"/>
        <v>45831</v>
      </c>
      <c r="F681" s="64">
        <f t="shared" si="158"/>
        <v>45852</v>
      </c>
      <c r="G681" s="96" t="s">
        <v>282</v>
      </c>
      <c r="H681" s="102">
        <v>1.0</v>
      </c>
      <c r="I681" s="103">
        <v>19.0</v>
      </c>
      <c r="J681" s="44">
        <f t="shared" si="113"/>
        <v>10</v>
      </c>
      <c r="K681" s="44">
        <f t="shared" ref="K681:K715" si="161">if($D681&lt;=$L$3,J681,0)</f>
        <v>10</v>
      </c>
      <c r="L681" s="102">
        <v>32.0</v>
      </c>
      <c r="M681" s="103">
        <v>40.0</v>
      </c>
      <c r="N681" s="44">
        <f t="shared" si="111"/>
        <v>5</v>
      </c>
      <c r="O681" s="44">
        <f t="shared" ref="O681:O715" si="162">if($D681&lt;=$L$3,N681,0)</f>
        <v>5</v>
      </c>
      <c r="P681" s="112">
        <v>375.0</v>
      </c>
      <c r="Q681" s="96" t="s">
        <v>274</v>
      </c>
      <c r="R681" s="96">
        <v>20.5</v>
      </c>
      <c r="S681" s="31"/>
    </row>
    <row r="682">
      <c r="A682" s="31"/>
      <c r="B682" s="81" t="s">
        <v>224</v>
      </c>
      <c r="C682" s="119"/>
      <c r="D682" s="116">
        <v>45824.0</v>
      </c>
      <c r="E682" s="64">
        <f t="shared" si="155"/>
        <v>45831</v>
      </c>
      <c r="F682" s="64">
        <f t="shared" si="158"/>
        <v>45852</v>
      </c>
      <c r="G682" s="96" t="s">
        <v>282</v>
      </c>
      <c r="H682" s="102">
        <v>47.0</v>
      </c>
      <c r="I682" s="103">
        <v>53.0</v>
      </c>
      <c r="J682" s="44">
        <f t="shared" si="113"/>
        <v>4</v>
      </c>
      <c r="K682" s="44">
        <f t="shared" si="161"/>
        <v>4</v>
      </c>
      <c r="L682" s="68"/>
      <c r="M682" s="69"/>
      <c r="N682" s="44" t="str">
        <f t="shared" si="111"/>
        <v/>
      </c>
      <c r="O682" s="44" t="str">
        <f t="shared" si="162"/>
        <v/>
      </c>
      <c r="P682" s="112">
        <v>375.0</v>
      </c>
      <c r="Q682" s="96" t="s">
        <v>274</v>
      </c>
      <c r="R682" s="71"/>
      <c r="S682" s="31"/>
    </row>
    <row r="683">
      <c r="A683" s="31"/>
      <c r="B683" s="81" t="s">
        <v>224</v>
      </c>
      <c r="C683" s="119"/>
      <c r="D683" s="116">
        <v>45824.0</v>
      </c>
      <c r="E683" s="64">
        <f t="shared" si="155"/>
        <v>45831</v>
      </c>
      <c r="F683" s="64">
        <f t="shared" si="158"/>
        <v>45852</v>
      </c>
      <c r="G683" s="96" t="s">
        <v>282</v>
      </c>
      <c r="H683" s="102">
        <v>75.0</v>
      </c>
      <c r="I683" s="103">
        <v>113.0</v>
      </c>
      <c r="J683" s="44">
        <f t="shared" si="113"/>
        <v>20</v>
      </c>
      <c r="K683" s="44">
        <f t="shared" si="161"/>
        <v>20</v>
      </c>
      <c r="L683" s="68"/>
      <c r="M683" s="69"/>
      <c r="N683" s="44" t="str">
        <f t="shared" si="111"/>
        <v/>
      </c>
      <c r="O683" s="44" t="str">
        <f t="shared" si="162"/>
        <v/>
      </c>
      <c r="P683" s="112">
        <v>375.0</v>
      </c>
      <c r="Q683" s="96" t="s">
        <v>274</v>
      </c>
      <c r="R683" s="71"/>
      <c r="S683" s="31"/>
    </row>
    <row r="684">
      <c r="A684" s="31"/>
      <c r="B684" s="81" t="s">
        <v>224</v>
      </c>
      <c r="C684" s="119"/>
      <c r="D684" s="116">
        <v>45824.0</v>
      </c>
      <c r="E684" s="64">
        <f t="shared" si="155"/>
        <v>45831</v>
      </c>
      <c r="F684" s="64">
        <f t="shared" si="158"/>
        <v>45852</v>
      </c>
      <c r="G684" s="96" t="s">
        <v>282</v>
      </c>
      <c r="H684" s="102">
        <v>119.0</v>
      </c>
      <c r="I684" s="103">
        <v>139.0</v>
      </c>
      <c r="J684" s="44">
        <f t="shared" si="113"/>
        <v>11</v>
      </c>
      <c r="K684" s="44">
        <f t="shared" si="161"/>
        <v>11</v>
      </c>
      <c r="L684" s="68"/>
      <c r="M684" s="69"/>
      <c r="N684" s="44" t="str">
        <f t="shared" si="111"/>
        <v/>
      </c>
      <c r="O684" s="44" t="str">
        <f t="shared" si="162"/>
        <v/>
      </c>
      <c r="P684" s="112">
        <v>375.0</v>
      </c>
      <c r="Q684" s="96" t="s">
        <v>274</v>
      </c>
      <c r="R684" s="71"/>
      <c r="S684" s="31"/>
    </row>
    <row r="685">
      <c r="A685" s="31"/>
      <c r="B685" s="81" t="s">
        <v>224</v>
      </c>
      <c r="C685" s="119"/>
      <c r="D685" s="116">
        <v>45824.0</v>
      </c>
      <c r="E685" s="64">
        <f t="shared" si="155"/>
        <v>45831</v>
      </c>
      <c r="F685" s="64">
        <f t="shared" si="158"/>
        <v>45852</v>
      </c>
      <c r="G685" s="96" t="s">
        <v>282</v>
      </c>
      <c r="H685" s="102">
        <v>153.0</v>
      </c>
      <c r="I685" s="103">
        <v>187.0</v>
      </c>
      <c r="J685" s="44">
        <f t="shared" si="113"/>
        <v>18</v>
      </c>
      <c r="K685" s="44">
        <f t="shared" si="161"/>
        <v>18</v>
      </c>
      <c r="L685" s="68"/>
      <c r="M685" s="69"/>
      <c r="N685" s="44" t="str">
        <f t="shared" si="111"/>
        <v/>
      </c>
      <c r="O685" s="44" t="str">
        <f t="shared" si="162"/>
        <v/>
      </c>
      <c r="P685" s="112">
        <v>375.0</v>
      </c>
      <c r="Q685" s="96" t="s">
        <v>274</v>
      </c>
      <c r="R685" s="71"/>
      <c r="S685" s="31"/>
    </row>
    <row r="686">
      <c r="A686" s="31"/>
      <c r="B686" s="81" t="s">
        <v>224</v>
      </c>
      <c r="C686" s="119"/>
      <c r="D686" s="116">
        <v>45825.0</v>
      </c>
      <c r="E686" s="64">
        <f t="shared" si="155"/>
        <v>45832</v>
      </c>
      <c r="F686" s="64">
        <f t="shared" si="158"/>
        <v>45853</v>
      </c>
      <c r="G686" s="96" t="s">
        <v>282</v>
      </c>
      <c r="H686" s="102">
        <v>33.0</v>
      </c>
      <c r="I686" s="103">
        <v>39.0</v>
      </c>
      <c r="J686" s="44">
        <f t="shared" si="113"/>
        <v>4</v>
      </c>
      <c r="K686" s="44">
        <f t="shared" si="161"/>
        <v>4</v>
      </c>
      <c r="L686" s="102">
        <v>12.0</v>
      </c>
      <c r="M686" s="103">
        <v>12.0</v>
      </c>
      <c r="N686" s="44">
        <f t="shared" si="111"/>
        <v>1</v>
      </c>
      <c r="O686" s="44">
        <f t="shared" si="162"/>
        <v>1</v>
      </c>
      <c r="P686" s="112">
        <v>376.0</v>
      </c>
      <c r="Q686" s="96" t="s">
        <v>274</v>
      </c>
      <c r="R686" s="96">
        <v>26.5</v>
      </c>
      <c r="S686" s="31"/>
    </row>
    <row r="687">
      <c r="A687" s="31"/>
      <c r="B687" s="81" t="s">
        <v>224</v>
      </c>
      <c r="C687" s="119"/>
      <c r="D687" s="116">
        <v>45825.0</v>
      </c>
      <c r="E687" s="64">
        <f t="shared" si="155"/>
        <v>45832</v>
      </c>
      <c r="F687" s="64">
        <f t="shared" si="158"/>
        <v>45853</v>
      </c>
      <c r="G687" s="96" t="s">
        <v>282</v>
      </c>
      <c r="H687" s="102">
        <v>189.0</v>
      </c>
      <c r="I687" s="103">
        <v>253.0</v>
      </c>
      <c r="J687" s="44">
        <f t="shared" si="113"/>
        <v>33</v>
      </c>
      <c r="K687" s="44">
        <f t="shared" si="161"/>
        <v>33</v>
      </c>
      <c r="L687" s="102">
        <v>6.0</v>
      </c>
      <c r="M687" s="103">
        <v>20.0</v>
      </c>
      <c r="N687" s="44">
        <f t="shared" si="111"/>
        <v>8</v>
      </c>
      <c r="O687" s="44">
        <f t="shared" si="162"/>
        <v>8</v>
      </c>
      <c r="P687" s="112">
        <v>376.0</v>
      </c>
      <c r="Q687" s="96" t="s">
        <v>274</v>
      </c>
      <c r="R687" s="71"/>
      <c r="S687" s="31"/>
    </row>
    <row r="688">
      <c r="A688" s="31"/>
      <c r="B688" s="81" t="s">
        <v>224</v>
      </c>
      <c r="C688" s="119"/>
      <c r="D688" s="116">
        <v>45825.0</v>
      </c>
      <c r="E688" s="64">
        <f t="shared" si="155"/>
        <v>45832</v>
      </c>
      <c r="F688" s="64">
        <f t="shared" si="158"/>
        <v>45853</v>
      </c>
      <c r="G688" s="96" t="s">
        <v>282</v>
      </c>
      <c r="H688" s="68"/>
      <c r="I688" s="69"/>
      <c r="J688" s="44" t="str">
        <f t="shared" si="113"/>
        <v/>
      </c>
      <c r="K688" s="44" t="str">
        <f t="shared" si="161"/>
        <v/>
      </c>
      <c r="L688" s="102">
        <v>48.0</v>
      </c>
      <c r="M688" s="103">
        <v>52.0</v>
      </c>
      <c r="N688" s="44">
        <f t="shared" si="111"/>
        <v>3</v>
      </c>
      <c r="O688" s="44">
        <f t="shared" si="162"/>
        <v>3</v>
      </c>
      <c r="P688" s="112">
        <v>376.0</v>
      </c>
      <c r="Q688" s="96" t="s">
        <v>274</v>
      </c>
      <c r="R688" s="71"/>
      <c r="S688" s="31"/>
    </row>
    <row r="689">
      <c r="A689" s="31"/>
      <c r="B689" s="81" t="s">
        <v>224</v>
      </c>
      <c r="C689" s="119"/>
      <c r="D689" s="116">
        <v>45825.0</v>
      </c>
      <c r="E689" s="64">
        <f t="shared" si="155"/>
        <v>45832</v>
      </c>
      <c r="F689" s="64">
        <f t="shared" si="158"/>
        <v>45853</v>
      </c>
      <c r="G689" s="96" t="s">
        <v>282</v>
      </c>
      <c r="H689" s="68"/>
      <c r="I689" s="69"/>
      <c r="J689" s="44" t="str">
        <f t="shared" si="113"/>
        <v/>
      </c>
      <c r="K689" s="44" t="str">
        <f t="shared" si="161"/>
        <v/>
      </c>
      <c r="L689" s="102">
        <v>78.0</v>
      </c>
      <c r="M689" s="103">
        <v>112.0</v>
      </c>
      <c r="N689" s="44">
        <f t="shared" si="111"/>
        <v>18</v>
      </c>
      <c r="O689" s="44">
        <f t="shared" si="162"/>
        <v>18</v>
      </c>
      <c r="P689" s="112">
        <v>376.0</v>
      </c>
      <c r="Q689" s="96" t="s">
        <v>274</v>
      </c>
      <c r="R689" s="71"/>
      <c r="S689" s="31"/>
    </row>
    <row r="690">
      <c r="A690" s="31"/>
      <c r="B690" s="81" t="s">
        <v>224</v>
      </c>
      <c r="C690" s="119"/>
      <c r="D690" s="116">
        <v>45825.0</v>
      </c>
      <c r="E690" s="64">
        <f t="shared" si="155"/>
        <v>45832</v>
      </c>
      <c r="F690" s="64">
        <f t="shared" si="158"/>
        <v>45853</v>
      </c>
      <c r="G690" s="96" t="s">
        <v>282</v>
      </c>
      <c r="H690" s="68"/>
      <c r="I690" s="69"/>
      <c r="J690" s="44" t="str">
        <f t="shared" si="113"/>
        <v/>
      </c>
      <c r="K690" s="44" t="str">
        <f t="shared" si="161"/>
        <v/>
      </c>
      <c r="L690" s="102">
        <v>122.0</v>
      </c>
      <c r="M690" s="103">
        <v>140.0</v>
      </c>
      <c r="N690" s="44">
        <f t="shared" si="111"/>
        <v>10</v>
      </c>
      <c r="O690" s="44">
        <f t="shared" si="162"/>
        <v>10</v>
      </c>
      <c r="P690" s="112">
        <v>376.0</v>
      </c>
      <c r="Q690" s="96" t="s">
        <v>274</v>
      </c>
      <c r="R690" s="71"/>
      <c r="S690" s="31"/>
    </row>
    <row r="691">
      <c r="A691" s="31"/>
      <c r="B691" s="81" t="s">
        <v>224</v>
      </c>
      <c r="C691" s="119"/>
      <c r="D691" s="116">
        <v>45825.0</v>
      </c>
      <c r="E691" s="64">
        <f t="shared" si="155"/>
        <v>45832</v>
      </c>
      <c r="F691" s="64">
        <f t="shared" si="158"/>
        <v>45853</v>
      </c>
      <c r="G691" s="96" t="s">
        <v>282</v>
      </c>
      <c r="H691" s="68"/>
      <c r="I691" s="69"/>
      <c r="J691" s="44" t="str">
        <f t="shared" si="113"/>
        <v/>
      </c>
      <c r="K691" s="44" t="str">
        <f t="shared" si="161"/>
        <v/>
      </c>
      <c r="L691" s="102">
        <v>156.0</v>
      </c>
      <c r="M691" s="103">
        <v>170.0</v>
      </c>
      <c r="N691" s="44">
        <f t="shared" si="111"/>
        <v>8</v>
      </c>
      <c r="O691" s="44">
        <f t="shared" si="162"/>
        <v>8</v>
      </c>
      <c r="P691" s="112">
        <v>376.0</v>
      </c>
      <c r="Q691" s="96" t="s">
        <v>274</v>
      </c>
      <c r="R691" s="71"/>
      <c r="S691" s="31"/>
    </row>
    <row r="692">
      <c r="A692" s="31"/>
      <c r="B692" s="81" t="s">
        <v>224</v>
      </c>
      <c r="C692" s="119"/>
      <c r="D692" s="116">
        <v>45826.0</v>
      </c>
      <c r="E692" s="64">
        <f t="shared" si="155"/>
        <v>45833</v>
      </c>
      <c r="F692" s="64">
        <f t="shared" si="158"/>
        <v>45854</v>
      </c>
      <c r="G692" s="96" t="s">
        <v>282</v>
      </c>
      <c r="H692" s="68"/>
      <c r="I692" s="69"/>
      <c r="J692" s="44" t="str">
        <f t="shared" si="113"/>
        <v/>
      </c>
      <c r="K692" s="44" t="str">
        <f t="shared" si="161"/>
        <v/>
      </c>
      <c r="L692" s="102">
        <v>172.0</v>
      </c>
      <c r="M692" s="103">
        <v>202.0</v>
      </c>
      <c r="N692" s="44">
        <f t="shared" si="111"/>
        <v>16</v>
      </c>
      <c r="O692" s="44">
        <f t="shared" si="162"/>
        <v>16</v>
      </c>
      <c r="P692" s="112">
        <v>377.0</v>
      </c>
      <c r="Q692" s="96" t="s">
        <v>283</v>
      </c>
      <c r="R692" s="96">
        <v>25.6</v>
      </c>
      <c r="S692" s="31"/>
    </row>
    <row r="693">
      <c r="A693" s="31"/>
      <c r="B693" s="81" t="s">
        <v>224</v>
      </c>
      <c r="C693" s="119"/>
      <c r="D693" s="116">
        <v>45826.0</v>
      </c>
      <c r="E693" s="64">
        <f t="shared" si="155"/>
        <v>45833</v>
      </c>
      <c r="F693" s="64">
        <f t="shared" si="158"/>
        <v>45854</v>
      </c>
      <c r="G693" s="96" t="s">
        <v>282</v>
      </c>
      <c r="H693" s="68"/>
      <c r="I693" s="69"/>
      <c r="J693" s="44" t="str">
        <f t="shared" si="113"/>
        <v/>
      </c>
      <c r="K693" s="44" t="str">
        <f t="shared" si="161"/>
        <v/>
      </c>
      <c r="L693" s="102">
        <v>206.0</v>
      </c>
      <c r="M693" s="103">
        <v>250.0</v>
      </c>
      <c r="N693" s="44">
        <f t="shared" si="111"/>
        <v>23</v>
      </c>
      <c r="O693" s="44">
        <f t="shared" si="162"/>
        <v>23</v>
      </c>
      <c r="P693" s="112">
        <v>377.0</v>
      </c>
      <c r="Q693" s="96" t="s">
        <v>283</v>
      </c>
      <c r="R693" s="71"/>
      <c r="S693" s="31"/>
    </row>
    <row r="694">
      <c r="A694" s="31"/>
      <c r="B694" s="81" t="s">
        <v>224</v>
      </c>
      <c r="C694" s="119"/>
      <c r="D694" s="116">
        <v>45826.0</v>
      </c>
      <c r="E694" s="64">
        <f t="shared" si="155"/>
        <v>45833</v>
      </c>
      <c r="F694" s="64">
        <f t="shared" si="158"/>
        <v>45854</v>
      </c>
      <c r="G694" s="96" t="s">
        <v>282</v>
      </c>
      <c r="H694" s="68"/>
      <c r="I694" s="69"/>
      <c r="J694" s="44" t="str">
        <f t="shared" si="113"/>
        <v/>
      </c>
      <c r="K694" s="44" t="str">
        <f t="shared" si="161"/>
        <v/>
      </c>
      <c r="L694" s="102">
        <v>254.0</v>
      </c>
      <c r="M694" s="103">
        <v>254.0</v>
      </c>
      <c r="N694" s="44">
        <f t="shared" si="111"/>
        <v>1</v>
      </c>
      <c r="O694" s="44">
        <f t="shared" si="162"/>
        <v>1</v>
      </c>
      <c r="P694" s="112">
        <v>377.0</v>
      </c>
      <c r="Q694" s="96" t="s">
        <v>283</v>
      </c>
      <c r="R694" s="71"/>
      <c r="S694" s="31"/>
    </row>
    <row r="695">
      <c r="A695" s="31"/>
      <c r="B695" s="81" t="s">
        <v>224</v>
      </c>
      <c r="C695" s="119"/>
      <c r="D695" s="116">
        <v>45826.0</v>
      </c>
      <c r="E695" s="64">
        <f t="shared" si="155"/>
        <v>45833</v>
      </c>
      <c r="F695" s="64">
        <f t="shared" si="158"/>
        <v>45854</v>
      </c>
      <c r="G695" s="96" t="s">
        <v>284</v>
      </c>
      <c r="H695" s="102">
        <v>23.0</v>
      </c>
      <c r="I695" s="103">
        <v>27.0</v>
      </c>
      <c r="J695" s="44">
        <f t="shared" si="113"/>
        <v>3</v>
      </c>
      <c r="K695" s="44">
        <f t="shared" si="161"/>
        <v>3</v>
      </c>
      <c r="L695" s="68"/>
      <c r="M695" s="69"/>
      <c r="N695" s="44" t="str">
        <f t="shared" si="111"/>
        <v/>
      </c>
      <c r="O695" s="44" t="str">
        <f t="shared" si="162"/>
        <v/>
      </c>
      <c r="P695" s="112">
        <v>377.0</v>
      </c>
      <c r="Q695" s="96" t="s">
        <v>283</v>
      </c>
      <c r="R695" s="71"/>
      <c r="S695" s="31"/>
    </row>
    <row r="696">
      <c r="A696" s="31"/>
      <c r="B696" s="81" t="s">
        <v>224</v>
      </c>
      <c r="C696" s="119"/>
      <c r="D696" s="116">
        <v>45826.0</v>
      </c>
      <c r="E696" s="64">
        <f t="shared" si="155"/>
        <v>45833</v>
      </c>
      <c r="F696" s="64">
        <f t="shared" si="158"/>
        <v>45854</v>
      </c>
      <c r="G696" s="96" t="s">
        <v>284</v>
      </c>
      <c r="H696" s="102">
        <v>35.0</v>
      </c>
      <c r="I696" s="103">
        <v>63.0</v>
      </c>
      <c r="J696" s="44">
        <f t="shared" si="113"/>
        <v>15</v>
      </c>
      <c r="K696" s="44">
        <f t="shared" si="161"/>
        <v>15</v>
      </c>
      <c r="L696" s="68"/>
      <c r="M696" s="69"/>
      <c r="N696" s="44" t="str">
        <f t="shared" si="111"/>
        <v/>
      </c>
      <c r="O696" s="44" t="str">
        <f t="shared" si="162"/>
        <v/>
      </c>
      <c r="P696" s="112">
        <v>377.0</v>
      </c>
      <c r="Q696" s="96" t="s">
        <v>283</v>
      </c>
      <c r="R696" s="71"/>
      <c r="S696" s="31"/>
    </row>
    <row r="697">
      <c r="A697" s="31"/>
      <c r="B697" s="81" t="s">
        <v>224</v>
      </c>
      <c r="C697" s="119"/>
      <c r="D697" s="116">
        <v>45826.0</v>
      </c>
      <c r="E697" s="64">
        <f t="shared" si="155"/>
        <v>45833</v>
      </c>
      <c r="F697" s="64">
        <f t="shared" si="158"/>
        <v>45854</v>
      </c>
      <c r="G697" s="96" t="s">
        <v>284</v>
      </c>
      <c r="H697" s="102">
        <v>77.0</v>
      </c>
      <c r="I697" s="103">
        <v>119.0</v>
      </c>
      <c r="J697" s="44">
        <f t="shared" si="113"/>
        <v>22</v>
      </c>
      <c r="K697" s="44">
        <f t="shared" si="161"/>
        <v>22</v>
      </c>
      <c r="L697" s="68"/>
      <c r="M697" s="69"/>
      <c r="N697" s="44" t="str">
        <f t="shared" si="111"/>
        <v/>
      </c>
      <c r="O697" s="44" t="str">
        <f t="shared" si="162"/>
        <v/>
      </c>
      <c r="P697" s="112">
        <v>377.0</v>
      </c>
      <c r="Q697" s="96" t="s">
        <v>283</v>
      </c>
      <c r="R697" s="71"/>
      <c r="S697" s="31"/>
    </row>
    <row r="698">
      <c r="A698" s="31"/>
      <c r="B698" s="81" t="s">
        <v>224</v>
      </c>
      <c r="C698" s="119"/>
      <c r="D698" s="116">
        <v>45826.0</v>
      </c>
      <c r="E698" s="64">
        <f t="shared" si="155"/>
        <v>45833</v>
      </c>
      <c r="F698" s="64">
        <f t="shared" si="158"/>
        <v>45854</v>
      </c>
      <c r="G698" s="96" t="s">
        <v>284</v>
      </c>
      <c r="H698" s="102">
        <v>127.0</v>
      </c>
      <c r="I698" s="103">
        <v>135.0</v>
      </c>
      <c r="J698" s="44">
        <f t="shared" si="113"/>
        <v>5</v>
      </c>
      <c r="K698" s="44">
        <f t="shared" si="161"/>
        <v>5</v>
      </c>
      <c r="L698" s="68"/>
      <c r="M698" s="69"/>
      <c r="N698" s="44" t="str">
        <f t="shared" si="111"/>
        <v/>
      </c>
      <c r="O698" s="44" t="str">
        <f t="shared" si="162"/>
        <v/>
      </c>
      <c r="P698" s="112">
        <v>377.0</v>
      </c>
      <c r="Q698" s="96" t="s">
        <v>283</v>
      </c>
      <c r="R698" s="71"/>
      <c r="S698" s="31"/>
    </row>
    <row r="699">
      <c r="A699" s="31"/>
      <c r="B699" s="81" t="s">
        <v>224</v>
      </c>
      <c r="C699" s="119"/>
      <c r="D699" s="116">
        <v>45827.0</v>
      </c>
      <c r="E699" s="64">
        <f t="shared" si="155"/>
        <v>45834</v>
      </c>
      <c r="F699" s="64">
        <f t="shared" si="158"/>
        <v>45855</v>
      </c>
      <c r="G699" s="96" t="s">
        <v>284</v>
      </c>
      <c r="H699" s="102">
        <v>137.0</v>
      </c>
      <c r="I699" s="103">
        <v>169.0</v>
      </c>
      <c r="J699" s="44">
        <f t="shared" si="113"/>
        <v>17</v>
      </c>
      <c r="K699" s="44">
        <f t="shared" si="161"/>
        <v>17</v>
      </c>
      <c r="L699" s="102">
        <v>172.0</v>
      </c>
      <c r="M699" s="103">
        <v>176.0</v>
      </c>
      <c r="N699" s="44">
        <f t="shared" si="111"/>
        <v>3</v>
      </c>
      <c r="O699" s="44">
        <f t="shared" si="162"/>
        <v>3</v>
      </c>
      <c r="P699" s="112">
        <v>378.0</v>
      </c>
      <c r="Q699" s="96" t="s">
        <v>283</v>
      </c>
      <c r="R699" s="96">
        <v>27.0</v>
      </c>
      <c r="S699" s="31"/>
    </row>
    <row r="700">
      <c r="A700" s="31"/>
      <c r="B700" s="81" t="s">
        <v>224</v>
      </c>
      <c r="C700" s="119"/>
      <c r="D700" s="116">
        <v>45827.0</v>
      </c>
      <c r="E700" s="64">
        <f t="shared" si="155"/>
        <v>45834</v>
      </c>
      <c r="F700" s="64">
        <f t="shared" si="158"/>
        <v>45855</v>
      </c>
      <c r="G700" s="96" t="s">
        <v>284</v>
      </c>
      <c r="H700" s="102">
        <v>185.0</v>
      </c>
      <c r="I700" s="103">
        <v>203.0</v>
      </c>
      <c r="J700" s="44">
        <f t="shared" si="113"/>
        <v>10</v>
      </c>
      <c r="K700" s="44">
        <f t="shared" si="161"/>
        <v>10</v>
      </c>
      <c r="L700" s="68"/>
      <c r="M700" s="69"/>
      <c r="N700" s="44" t="str">
        <f t="shared" si="111"/>
        <v/>
      </c>
      <c r="O700" s="44" t="str">
        <f t="shared" si="162"/>
        <v/>
      </c>
      <c r="P700" s="112">
        <v>378.0</v>
      </c>
      <c r="Q700" s="96" t="s">
        <v>283</v>
      </c>
      <c r="R700" s="71"/>
      <c r="S700" s="31"/>
    </row>
    <row r="701">
      <c r="A701" s="31"/>
      <c r="B701" s="81" t="s">
        <v>224</v>
      </c>
      <c r="C701" s="119"/>
      <c r="D701" s="116">
        <v>45827.0</v>
      </c>
      <c r="E701" s="64">
        <f t="shared" si="155"/>
        <v>45834</v>
      </c>
      <c r="F701" s="64">
        <f t="shared" si="158"/>
        <v>45855</v>
      </c>
      <c r="G701" s="96" t="s">
        <v>284</v>
      </c>
      <c r="H701" s="68"/>
      <c r="I701" s="69"/>
      <c r="J701" s="44" t="str">
        <f t="shared" si="113"/>
        <v/>
      </c>
      <c r="K701" s="44" t="str">
        <f t="shared" si="161"/>
        <v/>
      </c>
      <c r="L701" s="102">
        <v>206.0</v>
      </c>
      <c r="M701" s="103">
        <v>302.0</v>
      </c>
      <c r="N701" s="44">
        <f t="shared" si="111"/>
        <v>49</v>
      </c>
      <c r="O701" s="44">
        <f t="shared" si="162"/>
        <v>49</v>
      </c>
      <c r="P701" s="112">
        <v>378.0</v>
      </c>
      <c r="Q701" s="96" t="s">
        <v>283</v>
      </c>
      <c r="R701" s="71"/>
      <c r="S701" s="31"/>
    </row>
    <row r="702">
      <c r="A702" s="31"/>
      <c r="B702" s="81" t="s">
        <v>224</v>
      </c>
      <c r="C702" s="119"/>
      <c r="D702" s="116">
        <v>45827.0</v>
      </c>
      <c r="E702" s="64">
        <f t="shared" si="155"/>
        <v>45834</v>
      </c>
      <c r="F702" s="64">
        <f t="shared" si="158"/>
        <v>45855</v>
      </c>
      <c r="G702" s="96" t="s">
        <v>284</v>
      </c>
      <c r="H702" s="68"/>
      <c r="I702" s="69"/>
      <c r="J702" s="44" t="str">
        <f t="shared" si="113"/>
        <v/>
      </c>
      <c r="K702" s="44" t="str">
        <f t="shared" si="161"/>
        <v/>
      </c>
      <c r="L702" s="102">
        <v>24.0</v>
      </c>
      <c r="M702" s="103">
        <v>26.0</v>
      </c>
      <c r="N702" s="44">
        <f t="shared" si="111"/>
        <v>2</v>
      </c>
      <c r="O702" s="44">
        <f t="shared" si="162"/>
        <v>2</v>
      </c>
      <c r="P702" s="112">
        <v>378.0</v>
      </c>
      <c r="Q702" s="96" t="s">
        <v>283</v>
      </c>
      <c r="R702" s="71"/>
      <c r="S702" s="31"/>
    </row>
    <row r="703">
      <c r="A703" s="31"/>
      <c r="B703" s="81" t="s">
        <v>224</v>
      </c>
      <c r="C703" s="119"/>
      <c r="D703" s="116">
        <v>45827.0</v>
      </c>
      <c r="E703" s="64">
        <f t="shared" si="155"/>
        <v>45834</v>
      </c>
      <c r="F703" s="64">
        <f t="shared" si="158"/>
        <v>45855</v>
      </c>
      <c r="G703" s="96" t="s">
        <v>284</v>
      </c>
      <c r="H703" s="68"/>
      <c r="I703" s="69"/>
      <c r="J703" s="44" t="str">
        <f t="shared" si="113"/>
        <v/>
      </c>
      <c r="K703" s="44" t="str">
        <f t="shared" si="161"/>
        <v/>
      </c>
      <c r="L703" s="102">
        <v>36.0</v>
      </c>
      <c r="M703" s="103">
        <v>42.0</v>
      </c>
      <c r="N703" s="44">
        <f t="shared" si="111"/>
        <v>4</v>
      </c>
      <c r="O703" s="44">
        <f t="shared" si="162"/>
        <v>4</v>
      </c>
      <c r="P703" s="112">
        <v>378.0</v>
      </c>
      <c r="Q703" s="96" t="s">
        <v>283</v>
      </c>
      <c r="R703" s="71"/>
      <c r="S703" s="31"/>
    </row>
    <row r="704">
      <c r="A704" s="31"/>
      <c r="B704" s="81" t="s">
        <v>224</v>
      </c>
      <c r="C704" s="119"/>
      <c r="D704" s="116">
        <v>45829.0</v>
      </c>
      <c r="E704" s="64">
        <f t="shared" si="155"/>
        <v>45836</v>
      </c>
      <c r="F704" s="64">
        <f t="shared" si="158"/>
        <v>45857</v>
      </c>
      <c r="G704" s="96" t="s">
        <v>284</v>
      </c>
      <c r="H704" s="102">
        <v>171.0</v>
      </c>
      <c r="I704" s="103">
        <v>177.0</v>
      </c>
      <c r="J704" s="44">
        <f t="shared" si="113"/>
        <v>4</v>
      </c>
      <c r="K704" s="44">
        <f t="shared" si="161"/>
        <v>4</v>
      </c>
      <c r="L704" s="102">
        <v>46.0</v>
      </c>
      <c r="M704" s="103">
        <v>62.0</v>
      </c>
      <c r="N704" s="44">
        <f t="shared" si="111"/>
        <v>9</v>
      </c>
      <c r="O704" s="44">
        <f t="shared" si="162"/>
        <v>9</v>
      </c>
      <c r="P704" s="112">
        <v>379.0</v>
      </c>
      <c r="Q704" s="96" t="s">
        <v>283</v>
      </c>
      <c r="R704" s="96">
        <v>25.0</v>
      </c>
      <c r="S704" s="31"/>
    </row>
    <row r="705">
      <c r="A705" s="31"/>
      <c r="B705" s="81" t="s">
        <v>224</v>
      </c>
      <c r="C705" s="119"/>
      <c r="D705" s="116">
        <v>45829.0</v>
      </c>
      <c r="E705" s="64">
        <f t="shared" si="155"/>
        <v>45836</v>
      </c>
      <c r="F705" s="64">
        <f t="shared" si="158"/>
        <v>45857</v>
      </c>
      <c r="G705" s="96" t="s">
        <v>284</v>
      </c>
      <c r="H705" s="102">
        <v>205.0</v>
      </c>
      <c r="I705" s="103">
        <v>235.0</v>
      </c>
      <c r="J705" s="44">
        <f t="shared" si="113"/>
        <v>16</v>
      </c>
      <c r="K705" s="44">
        <f t="shared" si="161"/>
        <v>16</v>
      </c>
      <c r="L705" s="102">
        <v>80.0</v>
      </c>
      <c r="M705" s="103">
        <v>120.0</v>
      </c>
      <c r="N705" s="44">
        <f t="shared" si="111"/>
        <v>21</v>
      </c>
      <c r="O705" s="44">
        <f t="shared" si="162"/>
        <v>21</v>
      </c>
      <c r="P705" s="112">
        <v>379.0</v>
      </c>
      <c r="Q705" s="96" t="s">
        <v>283</v>
      </c>
      <c r="R705" s="71"/>
      <c r="S705" s="31"/>
    </row>
    <row r="706">
      <c r="A706" s="31"/>
      <c r="B706" s="81" t="s">
        <v>224</v>
      </c>
      <c r="C706" s="119"/>
      <c r="D706" s="116">
        <v>45829.0</v>
      </c>
      <c r="E706" s="64">
        <f t="shared" si="155"/>
        <v>45836</v>
      </c>
      <c r="F706" s="64">
        <f t="shared" si="158"/>
        <v>45857</v>
      </c>
      <c r="G706" s="96" t="s">
        <v>284</v>
      </c>
      <c r="H706" s="102">
        <v>239.0</v>
      </c>
      <c r="I706" s="103">
        <v>243.0</v>
      </c>
      <c r="J706" s="44">
        <f t="shared" si="113"/>
        <v>3</v>
      </c>
      <c r="K706" s="44">
        <f t="shared" si="161"/>
        <v>3</v>
      </c>
      <c r="L706" s="102">
        <v>130.0</v>
      </c>
      <c r="M706" s="103">
        <v>168.0</v>
      </c>
      <c r="N706" s="44">
        <f t="shared" si="111"/>
        <v>20</v>
      </c>
      <c r="O706" s="44">
        <f t="shared" si="162"/>
        <v>20</v>
      </c>
      <c r="P706" s="112">
        <v>379.0</v>
      </c>
      <c r="Q706" s="96" t="s">
        <v>283</v>
      </c>
      <c r="R706" s="71"/>
      <c r="S706" s="31"/>
    </row>
    <row r="707">
      <c r="A707" s="31"/>
      <c r="B707" s="81" t="s">
        <v>224</v>
      </c>
      <c r="C707" s="119"/>
      <c r="D707" s="116">
        <v>45829.0</v>
      </c>
      <c r="E707" s="64">
        <f t="shared" si="155"/>
        <v>45836</v>
      </c>
      <c r="F707" s="64">
        <f t="shared" si="158"/>
        <v>45857</v>
      </c>
      <c r="G707" s="96" t="s">
        <v>284</v>
      </c>
      <c r="H707" s="68"/>
      <c r="I707" s="69"/>
      <c r="J707" s="44" t="str">
        <f t="shared" si="113"/>
        <v/>
      </c>
      <c r="K707" s="44" t="str">
        <f t="shared" si="161"/>
        <v/>
      </c>
      <c r="L707" s="102">
        <v>170.0</v>
      </c>
      <c r="M707" s="103">
        <v>170.0</v>
      </c>
      <c r="N707" s="44">
        <f t="shared" si="111"/>
        <v>1</v>
      </c>
      <c r="O707" s="44">
        <f t="shared" si="162"/>
        <v>1</v>
      </c>
      <c r="P707" s="112">
        <v>379.0</v>
      </c>
      <c r="Q707" s="96" t="s">
        <v>283</v>
      </c>
      <c r="R707" s="71"/>
      <c r="S707" s="31"/>
    </row>
    <row r="708">
      <c r="A708" s="31"/>
      <c r="B708" s="81" t="s">
        <v>224</v>
      </c>
      <c r="C708" s="119"/>
      <c r="D708" s="116">
        <v>45829.0</v>
      </c>
      <c r="E708" s="64">
        <f t="shared" si="155"/>
        <v>45836</v>
      </c>
      <c r="F708" s="64">
        <f t="shared" si="158"/>
        <v>45857</v>
      </c>
      <c r="G708" s="96" t="s">
        <v>284</v>
      </c>
      <c r="H708" s="68"/>
      <c r="I708" s="69"/>
      <c r="J708" s="44" t="str">
        <f t="shared" si="113"/>
        <v/>
      </c>
      <c r="K708" s="44" t="str">
        <f t="shared" si="161"/>
        <v/>
      </c>
      <c r="L708" s="102">
        <v>188.0</v>
      </c>
      <c r="M708" s="103">
        <v>204.0</v>
      </c>
      <c r="N708" s="44">
        <f t="shared" si="111"/>
        <v>9</v>
      </c>
      <c r="O708" s="44">
        <f t="shared" si="162"/>
        <v>9</v>
      </c>
      <c r="P708" s="112">
        <v>379.0</v>
      </c>
      <c r="Q708" s="96" t="s">
        <v>283</v>
      </c>
      <c r="R708" s="71"/>
      <c r="S708" s="31"/>
    </row>
    <row r="709">
      <c r="A709" s="31"/>
      <c r="B709" s="81" t="s">
        <v>224</v>
      </c>
      <c r="C709" s="44"/>
      <c r="D709" s="116">
        <v>45831.0</v>
      </c>
      <c r="E709" s="64">
        <f t="shared" si="155"/>
        <v>45838</v>
      </c>
      <c r="F709" s="64">
        <f t="shared" si="158"/>
        <v>45859</v>
      </c>
      <c r="G709" s="96" t="s">
        <v>284</v>
      </c>
      <c r="H709" s="102">
        <v>245.0</v>
      </c>
      <c r="I709" s="103">
        <v>299.0</v>
      </c>
      <c r="J709" s="44">
        <f t="shared" si="113"/>
        <v>28</v>
      </c>
      <c r="K709" s="44">
        <f t="shared" si="161"/>
        <v>28</v>
      </c>
      <c r="L709" s="68"/>
      <c r="M709" s="69"/>
      <c r="N709" s="44" t="str">
        <f t="shared" si="111"/>
        <v/>
      </c>
      <c r="O709" s="44" t="str">
        <f t="shared" si="162"/>
        <v/>
      </c>
      <c r="P709" s="120">
        <v>380.0</v>
      </c>
      <c r="Q709" s="96" t="s">
        <v>283</v>
      </c>
      <c r="R709" s="96">
        <v>24.16</v>
      </c>
      <c r="S709" s="31"/>
    </row>
    <row r="710">
      <c r="A710" s="31"/>
      <c r="B710" s="81" t="s">
        <v>224</v>
      </c>
      <c r="C710" s="44"/>
      <c r="D710" s="116">
        <v>45831.0</v>
      </c>
      <c r="E710" s="64">
        <f t="shared" si="155"/>
        <v>45838</v>
      </c>
      <c r="F710" s="64">
        <f t="shared" si="158"/>
        <v>45859</v>
      </c>
      <c r="G710" s="96" t="s">
        <v>284</v>
      </c>
      <c r="H710" s="102">
        <v>303.0</v>
      </c>
      <c r="I710" s="103">
        <v>303.0</v>
      </c>
      <c r="J710" s="44">
        <f t="shared" si="113"/>
        <v>1</v>
      </c>
      <c r="K710" s="44">
        <f t="shared" si="161"/>
        <v>1</v>
      </c>
      <c r="L710" s="68"/>
      <c r="M710" s="69"/>
      <c r="N710" s="44" t="str">
        <f t="shared" si="111"/>
        <v/>
      </c>
      <c r="O710" s="44" t="str">
        <f t="shared" si="162"/>
        <v/>
      </c>
      <c r="P710" s="120">
        <v>380.0</v>
      </c>
      <c r="Q710" s="96" t="s">
        <v>283</v>
      </c>
      <c r="R710" s="71"/>
      <c r="S710" s="31"/>
    </row>
    <row r="711">
      <c r="A711" s="31"/>
      <c r="B711" s="81" t="s">
        <v>224</v>
      </c>
      <c r="C711" s="44"/>
      <c r="D711" s="116">
        <v>45831.0</v>
      </c>
      <c r="E711" s="64">
        <f t="shared" si="155"/>
        <v>45838</v>
      </c>
      <c r="F711" s="64">
        <f t="shared" si="158"/>
        <v>45859</v>
      </c>
      <c r="G711" s="96" t="s">
        <v>285</v>
      </c>
      <c r="H711" s="102">
        <v>15.0</v>
      </c>
      <c r="I711" s="103">
        <v>63.0</v>
      </c>
      <c r="J711" s="44">
        <f t="shared" si="113"/>
        <v>25</v>
      </c>
      <c r="K711" s="44">
        <f t="shared" si="161"/>
        <v>25</v>
      </c>
      <c r="L711" s="102">
        <v>84.0</v>
      </c>
      <c r="M711" s="103">
        <v>104.0</v>
      </c>
      <c r="N711" s="44">
        <f t="shared" si="111"/>
        <v>11</v>
      </c>
      <c r="O711" s="44">
        <f t="shared" si="162"/>
        <v>11</v>
      </c>
      <c r="P711" s="120">
        <v>380.0</v>
      </c>
      <c r="Q711" s="96" t="s">
        <v>283</v>
      </c>
      <c r="R711" s="71"/>
      <c r="S711" s="31"/>
    </row>
    <row r="712">
      <c r="A712" s="31"/>
      <c r="B712" s="81" t="s">
        <v>224</v>
      </c>
      <c r="C712" s="44"/>
      <c r="D712" s="116">
        <v>45831.0</v>
      </c>
      <c r="E712" s="64">
        <f t="shared" si="155"/>
        <v>45838</v>
      </c>
      <c r="F712" s="64">
        <f t="shared" si="158"/>
        <v>45859</v>
      </c>
      <c r="G712" s="96" t="s">
        <v>285</v>
      </c>
      <c r="H712" s="102">
        <v>107.0</v>
      </c>
      <c r="I712" s="103">
        <v>123.0</v>
      </c>
      <c r="J712" s="44">
        <f t="shared" si="113"/>
        <v>9</v>
      </c>
      <c r="K712" s="44">
        <f t="shared" si="161"/>
        <v>9</v>
      </c>
      <c r="L712" s="102">
        <v>130.0</v>
      </c>
      <c r="M712" s="103">
        <v>140.0</v>
      </c>
      <c r="N712" s="44">
        <f t="shared" si="111"/>
        <v>6</v>
      </c>
      <c r="O712" s="44">
        <f t="shared" si="162"/>
        <v>6</v>
      </c>
      <c r="P712" s="120">
        <v>380.0</v>
      </c>
      <c r="Q712" s="96" t="s">
        <v>283</v>
      </c>
      <c r="R712" s="71"/>
      <c r="S712" s="31"/>
    </row>
    <row r="713">
      <c r="A713" s="31"/>
      <c r="B713" s="81" t="s">
        <v>224</v>
      </c>
      <c r="C713" s="44"/>
      <c r="D713" s="116">
        <v>45832.0</v>
      </c>
      <c r="E713" s="64">
        <f t="shared" si="155"/>
        <v>45839</v>
      </c>
      <c r="F713" s="64">
        <f t="shared" si="158"/>
        <v>45860</v>
      </c>
      <c r="G713" s="96" t="s">
        <v>285</v>
      </c>
      <c r="H713" s="102">
        <v>303.0</v>
      </c>
      <c r="I713" s="103">
        <v>303.0</v>
      </c>
      <c r="J713" s="44">
        <f t="shared" si="113"/>
        <v>1</v>
      </c>
      <c r="K713" s="44">
        <f t="shared" si="161"/>
        <v>1</v>
      </c>
      <c r="L713" s="102">
        <v>142.0</v>
      </c>
      <c r="M713" s="103">
        <v>264.0</v>
      </c>
      <c r="N713" s="44">
        <f t="shared" si="111"/>
        <v>62</v>
      </c>
      <c r="O713" s="44">
        <f t="shared" si="162"/>
        <v>62</v>
      </c>
      <c r="P713" s="120">
        <v>381.0</v>
      </c>
      <c r="Q713" s="96" t="s">
        <v>283</v>
      </c>
      <c r="R713" s="96">
        <v>23.5</v>
      </c>
      <c r="S713" s="31"/>
    </row>
    <row r="714">
      <c r="A714" s="31"/>
      <c r="B714" s="81" t="s">
        <v>224</v>
      </c>
      <c r="C714" s="44"/>
      <c r="D714" s="116">
        <v>45832.0</v>
      </c>
      <c r="E714" s="64">
        <f t="shared" si="155"/>
        <v>45839</v>
      </c>
      <c r="F714" s="64">
        <f t="shared" si="158"/>
        <v>45860</v>
      </c>
      <c r="G714" s="96" t="s">
        <v>285</v>
      </c>
      <c r="H714" s="68"/>
      <c r="I714" s="69"/>
      <c r="J714" s="44" t="str">
        <f t="shared" si="113"/>
        <v/>
      </c>
      <c r="K714" s="44" t="str">
        <f t="shared" si="161"/>
        <v/>
      </c>
      <c r="L714" s="102">
        <v>274.0</v>
      </c>
      <c r="M714" s="103">
        <v>302.0</v>
      </c>
      <c r="N714" s="44">
        <f t="shared" si="111"/>
        <v>15</v>
      </c>
      <c r="O714" s="44">
        <f t="shared" si="162"/>
        <v>15</v>
      </c>
      <c r="P714" s="120">
        <v>381.0</v>
      </c>
      <c r="Q714" s="96" t="s">
        <v>283</v>
      </c>
      <c r="R714" s="71"/>
      <c r="S714" s="31"/>
    </row>
    <row r="715">
      <c r="A715" s="31"/>
      <c r="B715" s="81" t="s">
        <v>224</v>
      </c>
      <c r="C715" s="44"/>
      <c r="D715" s="116">
        <v>45832.0</v>
      </c>
      <c r="E715" s="64">
        <f t="shared" si="155"/>
        <v>45839</v>
      </c>
      <c r="F715" s="64">
        <f t="shared" si="158"/>
        <v>45860</v>
      </c>
      <c r="G715" s="96" t="s">
        <v>278</v>
      </c>
      <c r="H715" s="102">
        <v>179.0</v>
      </c>
      <c r="I715" s="103">
        <v>311.0</v>
      </c>
      <c r="J715" s="44">
        <f t="shared" si="113"/>
        <v>67</v>
      </c>
      <c r="K715" s="44">
        <f t="shared" si="161"/>
        <v>67</v>
      </c>
      <c r="L715" s="102">
        <v>30.0</v>
      </c>
      <c r="M715" s="103">
        <v>106.0</v>
      </c>
      <c r="N715" s="44">
        <f t="shared" si="111"/>
        <v>39</v>
      </c>
      <c r="O715" s="44">
        <f t="shared" si="162"/>
        <v>39</v>
      </c>
      <c r="P715" s="120">
        <v>382.0</v>
      </c>
      <c r="Q715" s="96" t="s">
        <v>283</v>
      </c>
      <c r="R715" s="96">
        <v>31.8</v>
      </c>
      <c r="S715" s="31"/>
    </row>
    <row r="716">
      <c r="A716" s="31"/>
      <c r="B716" s="77"/>
      <c r="C716" s="44"/>
      <c r="D716" s="121"/>
      <c r="E716" s="64">
        <f t="shared" si="155"/>
        <v>7</v>
      </c>
      <c r="F716" s="64">
        <f t="shared" si="158"/>
        <v>28</v>
      </c>
      <c r="G716" s="71"/>
      <c r="H716" s="68"/>
      <c r="I716" s="69"/>
      <c r="J716" s="44" t="str">
        <f t="shared" si="113"/>
        <v/>
      </c>
      <c r="K716" s="44"/>
      <c r="L716" s="68"/>
      <c r="M716" s="69"/>
      <c r="N716" s="44" t="str">
        <f t="shared" si="111"/>
        <v/>
      </c>
      <c r="O716" s="44"/>
      <c r="P716" s="70"/>
      <c r="Q716" s="71"/>
      <c r="R716" s="71"/>
      <c r="S716" s="31"/>
    </row>
    <row r="717">
      <c r="A717" s="31"/>
      <c r="B717" s="77"/>
      <c r="C717" s="44"/>
      <c r="D717" s="121"/>
      <c r="E717" s="64">
        <f t="shared" si="155"/>
        <v>7</v>
      </c>
      <c r="F717" s="64">
        <f t="shared" si="158"/>
        <v>28</v>
      </c>
      <c r="G717" s="71"/>
      <c r="H717" s="68"/>
      <c r="I717" s="69"/>
      <c r="J717" s="44" t="str">
        <f t="shared" si="113"/>
        <v/>
      </c>
      <c r="K717" s="44"/>
      <c r="L717" s="68"/>
      <c r="M717" s="69"/>
      <c r="N717" s="44" t="str">
        <f t="shared" si="111"/>
        <v/>
      </c>
      <c r="O717" s="44"/>
      <c r="P717" s="70"/>
      <c r="Q717" s="71"/>
      <c r="R717" s="71"/>
      <c r="S717" s="31"/>
    </row>
    <row r="718">
      <c r="A718" s="31"/>
      <c r="B718" s="77"/>
      <c r="C718" s="44"/>
      <c r="D718" s="121"/>
      <c r="E718" s="64">
        <f t="shared" si="155"/>
        <v>7</v>
      </c>
      <c r="F718" s="64">
        <f t="shared" si="158"/>
        <v>28</v>
      </c>
      <c r="G718" s="71"/>
      <c r="H718" s="68"/>
      <c r="I718" s="69"/>
      <c r="J718" s="44" t="str">
        <f t="shared" si="113"/>
        <v/>
      </c>
      <c r="K718" s="44" t="str">
        <f t="shared" ref="K718:K1054" si="163">if($D718&lt;=$L$3,J718,0)</f>
        <v/>
      </c>
      <c r="L718" s="68"/>
      <c r="M718" s="69"/>
      <c r="N718" s="44" t="str">
        <f t="shared" si="111"/>
        <v/>
      </c>
      <c r="O718" s="44" t="str">
        <f t="shared" ref="O718:O1054" si="164">if($D718&lt;=$L$3,N718,0)</f>
        <v/>
      </c>
      <c r="P718" s="70"/>
      <c r="Q718" s="71"/>
      <c r="R718" s="71"/>
      <c r="S718" s="31"/>
    </row>
    <row r="719">
      <c r="A719" s="31"/>
      <c r="B719" s="77"/>
      <c r="C719" s="44"/>
      <c r="D719" s="121"/>
      <c r="E719" s="64">
        <f t="shared" si="155"/>
        <v>7</v>
      </c>
      <c r="F719" s="64">
        <f t="shared" si="158"/>
        <v>28</v>
      </c>
      <c r="G719" s="71"/>
      <c r="H719" s="68"/>
      <c r="I719" s="69"/>
      <c r="J719" s="44" t="str">
        <f t="shared" si="113"/>
        <v/>
      </c>
      <c r="K719" s="44" t="str">
        <f t="shared" si="163"/>
        <v/>
      </c>
      <c r="L719" s="68"/>
      <c r="M719" s="69"/>
      <c r="N719" s="44" t="str">
        <f t="shared" si="111"/>
        <v/>
      </c>
      <c r="O719" s="44" t="str">
        <f t="shared" si="164"/>
        <v/>
      </c>
      <c r="P719" s="70"/>
      <c r="Q719" s="71"/>
      <c r="R719" s="71"/>
      <c r="S719" s="31"/>
    </row>
    <row r="720">
      <c r="A720" s="31"/>
      <c r="B720" s="77"/>
      <c r="C720" s="44"/>
      <c r="D720" s="116">
        <v>45833.0</v>
      </c>
      <c r="E720" s="64">
        <f t="shared" si="155"/>
        <v>45840</v>
      </c>
      <c r="F720" s="64">
        <f t="shared" si="158"/>
        <v>45861</v>
      </c>
      <c r="G720" s="96" t="s">
        <v>285</v>
      </c>
      <c r="H720" s="102">
        <v>67.0</v>
      </c>
      <c r="I720" s="103">
        <v>67.0</v>
      </c>
      <c r="J720" s="44">
        <f t="shared" si="113"/>
        <v>1</v>
      </c>
      <c r="K720" s="44">
        <f t="shared" si="163"/>
        <v>1</v>
      </c>
      <c r="L720" s="102">
        <v>18.0</v>
      </c>
      <c r="M720" s="103">
        <v>66.0</v>
      </c>
      <c r="N720" s="44">
        <f t="shared" si="111"/>
        <v>25</v>
      </c>
      <c r="O720" s="44">
        <f t="shared" si="164"/>
        <v>25</v>
      </c>
      <c r="P720" s="112">
        <v>385.0</v>
      </c>
      <c r="Q720" s="96" t="s">
        <v>286</v>
      </c>
      <c r="R720" s="96">
        <v>29.0</v>
      </c>
      <c r="S720" s="31"/>
    </row>
    <row r="721">
      <c r="A721" s="31"/>
      <c r="B721" s="77"/>
      <c r="C721" s="44"/>
      <c r="D721" s="116">
        <v>45833.0</v>
      </c>
      <c r="E721" s="64">
        <f t="shared" si="155"/>
        <v>45840</v>
      </c>
      <c r="F721" s="64">
        <f t="shared" si="158"/>
        <v>45861</v>
      </c>
      <c r="G721" s="96" t="s">
        <v>285</v>
      </c>
      <c r="H721" s="102">
        <v>87.0</v>
      </c>
      <c r="I721" s="103">
        <v>105.0</v>
      </c>
      <c r="J721" s="44">
        <f t="shared" si="113"/>
        <v>10</v>
      </c>
      <c r="K721" s="44">
        <f t="shared" si="163"/>
        <v>10</v>
      </c>
      <c r="L721" s="102">
        <v>106.0</v>
      </c>
      <c r="M721" s="103">
        <v>122.0</v>
      </c>
      <c r="N721" s="44">
        <f t="shared" si="111"/>
        <v>9</v>
      </c>
      <c r="O721" s="44">
        <f t="shared" si="164"/>
        <v>9</v>
      </c>
      <c r="P721" s="112">
        <v>385.0</v>
      </c>
      <c r="Q721" s="96" t="s">
        <v>286</v>
      </c>
      <c r="R721" s="71"/>
      <c r="S721" s="31"/>
    </row>
    <row r="722">
      <c r="A722" s="31"/>
      <c r="B722" s="77"/>
      <c r="C722" s="44"/>
      <c r="D722" s="116">
        <v>45833.0</v>
      </c>
      <c r="E722" s="64">
        <f t="shared" si="155"/>
        <v>45840</v>
      </c>
      <c r="F722" s="64">
        <f t="shared" si="158"/>
        <v>45861</v>
      </c>
      <c r="G722" s="96" t="s">
        <v>285</v>
      </c>
      <c r="H722" s="102">
        <v>131.0</v>
      </c>
      <c r="I722" s="103">
        <v>231.0</v>
      </c>
      <c r="J722" s="44">
        <f t="shared" si="113"/>
        <v>51</v>
      </c>
      <c r="K722" s="44">
        <f t="shared" si="163"/>
        <v>51</v>
      </c>
      <c r="L722" s="68"/>
      <c r="M722" s="69"/>
      <c r="N722" s="44" t="str">
        <f t="shared" si="111"/>
        <v/>
      </c>
      <c r="O722" s="44" t="str">
        <f t="shared" si="164"/>
        <v/>
      </c>
      <c r="P722" s="112">
        <v>385.0</v>
      </c>
      <c r="Q722" s="96" t="s">
        <v>286</v>
      </c>
      <c r="R722" s="71"/>
      <c r="S722" s="31"/>
    </row>
    <row r="723">
      <c r="A723" s="31"/>
      <c r="B723" s="77"/>
      <c r="C723" s="44"/>
      <c r="D723" s="116">
        <v>45833.0</v>
      </c>
      <c r="E723" s="64">
        <f t="shared" si="155"/>
        <v>45840</v>
      </c>
      <c r="F723" s="64">
        <f t="shared" si="158"/>
        <v>45861</v>
      </c>
      <c r="G723" s="96" t="s">
        <v>278</v>
      </c>
      <c r="H723" s="68"/>
      <c r="I723" s="69"/>
      <c r="J723" s="44" t="str">
        <f t="shared" si="113"/>
        <v/>
      </c>
      <c r="K723" s="44" t="str">
        <f t="shared" si="163"/>
        <v/>
      </c>
      <c r="L723" s="102">
        <v>108.0</v>
      </c>
      <c r="M723" s="103">
        <v>310.0</v>
      </c>
      <c r="N723" s="44">
        <f t="shared" si="111"/>
        <v>102</v>
      </c>
      <c r="O723" s="44">
        <f t="shared" si="164"/>
        <v>102</v>
      </c>
      <c r="P723" s="112">
        <v>386.0</v>
      </c>
      <c r="Q723" s="96" t="s">
        <v>286</v>
      </c>
      <c r="R723" s="96">
        <v>30.6</v>
      </c>
      <c r="S723" s="31"/>
    </row>
    <row r="724">
      <c r="A724" s="31"/>
      <c r="B724" s="77"/>
      <c r="C724" s="44"/>
      <c r="D724" s="116">
        <v>45836.0</v>
      </c>
      <c r="E724" s="64">
        <f t="shared" si="155"/>
        <v>45843</v>
      </c>
      <c r="F724" s="64">
        <f t="shared" si="158"/>
        <v>45864</v>
      </c>
      <c r="G724" s="96" t="s">
        <v>285</v>
      </c>
      <c r="H724" s="102">
        <v>233.0</v>
      </c>
      <c r="I724" s="103">
        <v>233.0</v>
      </c>
      <c r="J724" s="44">
        <f t="shared" si="113"/>
        <v>1</v>
      </c>
      <c r="K724" s="44">
        <f t="shared" si="163"/>
        <v>1</v>
      </c>
      <c r="L724" s="102">
        <v>304.0</v>
      </c>
      <c r="M724" s="103">
        <v>304.0</v>
      </c>
      <c r="N724" s="44">
        <f t="shared" si="111"/>
        <v>1</v>
      </c>
      <c r="O724" s="44">
        <f t="shared" si="164"/>
        <v>1</v>
      </c>
      <c r="P724" s="112">
        <v>387.0</v>
      </c>
      <c r="Q724" s="96" t="s">
        <v>287</v>
      </c>
      <c r="R724" s="96">
        <v>22.65</v>
      </c>
      <c r="S724" s="31"/>
    </row>
    <row r="725">
      <c r="A725" s="31"/>
      <c r="B725" s="77"/>
      <c r="C725" s="44"/>
      <c r="D725" s="116">
        <v>45836.0</v>
      </c>
      <c r="E725" s="64">
        <f t="shared" si="155"/>
        <v>45843</v>
      </c>
      <c r="F725" s="64">
        <f t="shared" si="158"/>
        <v>45864</v>
      </c>
      <c r="G725" s="96" t="s">
        <v>285</v>
      </c>
      <c r="H725" s="102">
        <v>237.0</v>
      </c>
      <c r="I725" s="103">
        <v>265.0</v>
      </c>
      <c r="J725" s="44">
        <f t="shared" si="113"/>
        <v>15</v>
      </c>
      <c r="K725" s="44">
        <f t="shared" si="163"/>
        <v>15</v>
      </c>
      <c r="L725" s="68"/>
      <c r="M725" s="69"/>
      <c r="N725" s="44" t="str">
        <f t="shared" si="111"/>
        <v/>
      </c>
      <c r="O725" s="44" t="str">
        <f t="shared" si="164"/>
        <v/>
      </c>
      <c r="P725" s="112">
        <v>387.0</v>
      </c>
      <c r="Q725" s="96" t="s">
        <v>287</v>
      </c>
      <c r="R725" s="71"/>
      <c r="S725" s="31"/>
    </row>
    <row r="726">
      <c r="A726" s="31"/>
      <c r="B726" s="77"/>
      <c r="C726" s="44"/>
      <c r="D726" s="116">
        <v>45836.0</v>
      </c>
      <c r="E726" s="64">
        <f t="shared" si="155"/>
        <v>45843</v>
      </c>
      <c r="F726" s="64">
        <f t="shared" si="158"/>
        <v>45864</v>
      </c>
      <c r="G726" s="96" t="s">
        <v>285</v>
      </c>
      <c r="H726" s="102">
        <v>277.0</v>
      </c>
      <c r="I726" s="103">
        <v>299.0</v>
      </c>
      <c r="J726" s="44">
        <f t="shared" si="113"/>
        <v>12</v>
      </c>
      <c r="K726" s="44">
        <f t="shared" si="163"/>
        <v>12</v>
      </c>
      <c r="L726" s="68"/>
      <c r="M726" s="69"/>
      <c r="N726" s="44" t="str">
        <f t="shared" si="111"/>
        <v/>
      </c>
      <c r="O726" s="44" t="str">
        <f t="shared" si="164"/>
        <v/>
      </c>
      <c r="P726" s="112">
        <v>387.0</v>
      </c>
      <c r="Q726" s="96" t="s">
        <v>287</v>
      </c>
      <c r="R726" s="71"/>
      <c r="S726" s="31"/>
    </row>
    <row r="727">
      <c r="A727" s="31"/>
      <c r="B727" s="77"/>
      <c r="C727" s="44"/>
      <c r="D727" s="116">
        <v>45836.0</v>
      </c>
      <c r="E727" s="64">
        <f t="shared" si="155"/>
        <v>45843</v>
      </c>
      <c r="F727" s="64">
        <f t="shared" si="158"/>
        <v>45864</v>
      </c>
      <c r="G727" s="96" t="s">
        <v>288</v>
      </c>
      <c r="H727" s="68"/>
      <c r="I727" s="69"/>
      <c r="J727" s="44" t="str">
        <f t="shared" si="113"/>
        <v/>
      </c>
      <c r="K727" s="44" t="str">
        <f t="shared" si="163"/>
        <v/>
      </c>
      <c r="L727" s="102">
        <v>2.0</v>
      </c>
      <c r="M727" s="103">
        <v>30.0</v>
      </c>
      <c r="N727" s="44">
        <f t="shared" si="111"/>
        <v>15</v>
      </c>
      <c r="O727" s="44">
        <f t="shared" si="164"/>
        <v>15</v>
      </c>
      <c r="P727" s="112">
        <v>387.0</v>
      </c>
      <c r="Q727" s="96" t="s">
        <v>287</v>
      </c>
      <c r="R727" s="71"/>
      <c r="S727" s="31"/>
    </row>
    <row r="728">
      <c r="A728" s="31"/>
      <c r="B728" s="77"/>
      <c r="C728" s="44"/>
      <c r="D728" s="116">
        <v>45836.0</v>
      </c>
      <c r="E728" s="64">
        <f t="shared" si="155"/>
        <v>45843</v>
      </c>
      <c r="F728" s="64">
        <f t="shared" si="158"/>
        <v>45864</v>
      </c>
      <c r="G728" s="96" t="s">
        <v>288</v>
      </c>
      <c r="H728" s="68"/>
      <c r="I728" s="69"/>
      <c r="J728" s="44" t="str">
        <f t="shared" si="113"/>
        <v/>
      </c>
      <c r="K728" s="44" t="str">
        <f t="shared" si="163"/>
        <v/>
      </c>
      <c r="L728" s="102">
        <v>44.0</v>
      </c>
      <c r="M728" s="103">
        <v>64.0</v>
      </c>
      <c r="N728" s="44">
        <f t="shared" si="111"/>
        <v>11</v>
      </c>
      <c r="O728" s="44">
        <f t="shared" si="164"/>
        <v>11</v>
      </c>
      <c r="P728" s="112">
        <v>387.0</v>
      </c>
      <c r="Q728" s="96" t="s">
        <v>287</v>
      </c>
      <c r="R728" s="71"/>
      <c r="S728" s="31"/>
    </row>
    <row r="729">
      <c r="A729" s="31"/>
      <c r="B729" s="77"/>
      <c r="C729" s="44"/>
      <c r="D729" s="116">
        <v>45836.0</v>
      </c>
      <c r="E729" s="64">
        <f t="shared" si="155"/>
        <v>45843</v>
      </c>
      <c r="F729" s="64">
        <f t="shared" si="158"/>
        <v>45864</v>
      </c>
      <c r="G729" s="96" t="s">
        <v>288</v>
      </c>
      <c r="H729" s="68"/>
      <c r="I729" s="69"/>
      <c r="J729" s="44" t="str">
        <f t="shared" si="113"/>
        <v/>
      </c>
      <c r="K729" s="44" t="str">
        <f t="shared" si="163"/>
        <v/>
      </c>
      <c r="L729" s="102">
        <v>82.0</v>
      </c>
      <c r="M729" s="103">
        <v>120.0</v>
      </c>
      <c r="N729" s="44">
        <f t="shared" si="111"/>
        <v>20</v>
      </c>
      <c r="O729" s="44">
        <f t="shared" si="164"/>
        <v>20</v>
      </c>
      <c r="P729" s="112">
        <v>387.0</v>
      </c>
      <c r="Q729" s="96" t="s">
        <v>287</v>
      </c>
      <c r="R729" s="71"/>
      <c r="S729" s="31"/>
    </row>
    <row r="730">
      <c r="A730" s="31"/>
      <c r="B730" s="77"/>
      <c r="C730" s="44"/>
      <c r="D730" s="116">
        <v>45837.0</v>
      </c>
      <c r="E730" s="64">
        <f t="shared" si="155"/>
        <v>45844</v>
      </c>
      <c r="F730" s="64">
        <f t="shared" si="158"/>
        <v>45865</v>
      </c>
      <c r="G730" s="96" t="s">
        <v>288</v>
      </c>
      <c r="H730" s="68"/>
      <c r="I730" s="69"/>
      <c r="J730" s="44" t="str">
        <f t="shared" si="113"/>
        <v/>
      </c>
      <c r="K730" s="44" t="str">
        <f t="shared" si="163"/>
        <v/>
      </c>
      <c r="L730" s="102">
        <v>122.0</v>
      </c>
      <c r="M730" s="103">
        <v>204.0</v>
      </c>
      <c r="N730" s="44">
        <f t="shared" si="111"/>
        <v>42</v>
      </c>
      <c r="O730" s="44">
        <f t="shared" si="164"/>
        <v>42</v>
      </c>
      <c r="P730" s="112">
        <v>389.0</v>
      </c>
      <c r="Q730" s="96" t="s">
        <v>287</v>
      </c>
      <c r="R730" s="96">
        <v>26.0</v>
      </c>
      <c r="S730" s="31"/>
    </row>
    <row r="731">
      <c r="A731" s="31"/>
      <c r="B731" s="77"/>
      <c r="C731" s="44"/>
      <c r="D731" s="116">
        <v>45837.0</v>
      </c>
      <c r="E731" s="64">
        <f t="shared" si="155"/>
        <v>45844</v>
      </c>
      <c r="F731" s="64">
        <f t="shared" si="158"/>
        <v>45865</v>
      </c>
      <c r="G731" s="96" t="s">
        <v>288</v>
      </c>
      <c r="H731" s="68"/>
      <c r="I731" s="69"/>
      <c r="J731" s="44" t="str">
        <f t="shared" si="113"/>
        <v/>
      </c>
      <c r="K731" s="44" t="str">
        <f t="shared" si="163"/>
        <v/>
      </c>
      <c r="L731" s="102">
        <v>210.0</v>
      </c>
      <c r="M731" s="103">
        <v>296.0</v>
      </c>
      <c r="N731" s="44">
        <f t="shared" si="111"/>
        <v>44</v>
      </c>
      <c r="O731" s="44">
        <f t="shared" si="164"/>
        <v>44</v>
      </c>
      <c r="P731" s="112">
        <v>389.0</v>
      </c>
      <c r="Q731" s="96" t="s">
        <v>287</v>
      </c>
      <c r="R731" s="71"/>
      <c r="S731" s="31"/>
    </row>
    <row r="732">
      <c r="A732" s="31"/>
      <c r="B732" s="77"/>
      <c r="C732" s="44"/>
      <c r="D732" s="116">
        <v>45838.0</v>
      </c>
      <c r="E732" s="64">
        <f t="shared" si="155"/>
        <v>45845</v>
      </c>
      <c r="F732" s="64">
        <f t="shared" si="158"/>
        <v>45866</v>
      </c>
      <c r="G732" s="96" t="s">
        <v>288</v>
      </c>
      <c r="H732" s="102">
        <v>1.0</v>
      </c>
      <c r="I732" s="103">
        <v>1.0</v>
      </c>
      <c r="J732" s="44">
        <f t="shared" si="113"/>
        <v>1</v>
      </c>
      <c r="K732" s="44">
        <f t="shared" si="163"/>
        <v>1</v>
      </c>
      <c r="L732" s="68"/>
      <c r="M732" s="69"/>
      <c r="N732" s="44" t="str">
        <f t="shared" si="111"/>
        <v/>
      </c>
      <c r="O732" s="44" t="str">
        <f t="shared" si="164"/>
        <v/>
      </c>
      <c r="P732" s="112">
        <v>390.0</v>
      </c>
      <c r="Q732" s="96" t="s">
        <v>287</v>
      </c>
      <c r="R732" s="96">
        <v>19.5</v>
      </c>
      <c r="S732" s="31"/>
    </row>
    <row r="733">
      <c r="A733" s="31"/>
      <c r="B733" s="77"/>
      <c r="C733" s="44"/>
      <c r="D733" s="116">
        <v>45838.0</v>
      </c>
      <c r="E733" s="64">
        <f t="shared" si="155"/>
        <v>45845</v>
      </c>
      <c r="F733" s="64">
        <f t="shared" si="158"/>
        <v>45866</v>
      </c>
      <c r="G733" s="96" t="s">
        <v>288</v>
      </c>
      <c r="H733" s="102">
        <v>5.0</v>
      </c>
      <c r="I733" s="103">
        <v>29.0</v>
      </c>
      <c r="J733" s="44">
        <f t="shared" si="113"/>
        <v>13</v>
      </c>
      <c r="K733" s="44">
        <f t="shared" si="163"/>
        <v>13</v>
      </c>
      <c r="L733" s="68"/>
      <c r="M733" s="69"/>
      <c r="N733" s="44" t="str">
        <f t="shared" si="111"/>
        <v/>
      </c>
      <c r="O733" s="44" t="str">
        <f t="shared" si="164"/>
        <v/>
      </c>
      <c r="P733" s="112">
        <v>390.0</v>
      </c>
      <c r="Q733" s="96" t="s">
        <v>287</v>
      </c>
      <c r="R733" s="71"/>
      <c r="S733" s="31"/>
    </row>
    <row r="734">
      <c r="A734" s="31"/>
      <c r="B734" s="77"/>
      <c r="C734" s="44"/>
      <c r="D734" s="116">
        <v>45838.0</v>
      </c>
      <c r="E734" s="64">
        <f t="shared" si="155"/>
        <v>45845</v>
      </c>
      <c r="F734" s="64">
        <f t="shared" si="158"/>
        <v>45866</v>
      </c>
      <c r="G734" s="96" t="s">
        <v>288</v>
      </c>
      <c r="H734" s="102">
        <v>47.0</v>
      </c>
      <c r="I734" s="103">
        <v>63.0</v>
      </c>
      <c r="J734" s="44">
        <f t="shared" si="113"/>
        <v>9</v>
      </c>
      <c r="K734" s="44">
        <f t="shared" si="163"/>
        <v>9</v>
      </c>
      <c r="L734" s="68"/>
      <c r="M734" s="69"/>
      <c r="N734" s="44" t="str">
        <f t="shared" si="111"/>
        <v/>
      </c>
      <c r="O734" s="44" t="str">
        <f t="shared" si="164"/>
        <v/>
      </c>
      <c r="P734" s="112">
        <v>390.0</v>
      </c>
      <c r="Q734" s="96" t="s">
        <v>287</v>
      </c>
      <c r="R734" s="71"/>
      <c r="S734" s="31"/>
    </row>
    <row r="735">
      <c r="A735" s="31"/>
      <c r="B735" s="77"/>
      <c r="C735" s="44"/>
      <c r="D735" s="116">
        <v>45838.0</v>
      </c>
      <c r="E735" s="64">
        <f t="shared" si="155"/>
        <v>45845</v>
      </c>
      <c r="F735" s="64">
        <f t="shared" si="158"/>
        <v>45866</v>
      </c>
      <c r="G735" s="96" t="s">
        <v>288</v>
      </c>
      <c r="H735" s="102">
        <v>85.0</v>
      </c>
      <c r="I735" s="103">
        <v>131.0</v>
      </c>
      <c r="J735" s="44">
        <f t="shared" si="113"/>
        <v>24</v>
      </c>
      <c r="K735" s="44">
        <f t="shared" si="163"/>
        <v>24</v>
      </c>
      <c r="L735" s="68"/>
      <c r="M735" s="69"/>
      <c r="N735" s="44" t="str">
        <f t="shared" si="111"/>
        <v/>
      </c>
      <c r="O735" s="44" t="str">
        <f t="shared" si="164"/>
        <v/>
      </c>
      <c r="P735" s="112">
        <v>390.0</v>
      </c>
      <c r="Q735" s="96" t="s">
        <v>287</v>
      </c>
      <c r="R735" s="71"/>
      <c r="S735" s="31"/>
    </row>
    <row r="736">
      <c r="A736" s="31"/>
      <c r="B736" s="77"/>
      <c r="C736" s="44"/>
      <c r="D736" s="116">
        <v>45838.0</v>
      </c>
      <c r="E736" s="64">
        <f t="shared" si="155"/>
        <v>45845</v>
      </c>
      <c r="F736" s="64">
        <f t="shared" si="158"/>
        <v>45866</v>
      </c>
      <c r="G736" s="96" t="s">
        <v>288</v>
      </c>
      <c r="H736" s="102">
        <v>135.0</v>
      </c>
      <c r="I736" s="103">
        <v>167.0</v>
      </c>
      <c r="J736" s="44">
        <f t="shared" si="113"/>
        <v>17</v>
      </c>
      <c r="K736" s="44">
        <f t="shared" si="163"/>
        <v>17</v>
      </c>
      <c r="L736" s="68"/>
      <c r="M736" s="69"/>
      <c r="N736" s="44" t="str">
        <f t="shared" si="111"/>
        <v/>
      </c>
      <c r="O736" s="44" t="str">
        <f t="shared" si="164"/>
        <v/>
      </c>
      <c r="P736" s="112">
        <v>390.0</v>
      </c>
      <c r="Q736" s="96" t="s">
        <v>287</v>
      </c>
      <c r="R736" s="71"/>
      <c r="S736" s="31"/>
    </row>
    <row r="737">
      <c r="A737" s="31"/>
      <c r="B737" s="77"/>
      <c r="C737" s="44"/>
      <c r="D737" s="116">
        <v>45839.0</v>
      </c>
      <c r="E737" s="64">
        <f t="shared" si="155"/>
        <v>45846</v>
      </c>
      <c r="F737" s="64">
        <f t="shared" si="158"/>
        <v>45867</v>
      </c>
      <c r="G737" s="96" t="s">
        <v>288</v>
      </c>
      <c r="H737" s="102">
        <v>171.0</v>
      </c>
      <c r="I737" s="103">
        <v>203.0</v>
      </c>
      <c r="J737" s="44">
        <f t="shared" si="113"/>
        <v>17</v>
      </c>
      <c r="K737" s="44">
        <f t="shared" si="163"/>
        <v>17</v>
      </c>
      <c r="L737" s="68"/>
      <c r="M737" s="69"/>
      <c r="N737" s="44" t="str">
        <f t="shared" si="111"/>
        <v/>
      </c>
      <c r="O737" s="44" t="str">
        <f t="shared" si="164"/>
        <v/>
      </c>
      <c r="P737" s="112">
        <v>391.0</v>
      </c>
      <c r="Q737" s="96" t="s">
        <v>287</v>
      </c>
      <c r="R737" s="96">
        <v>18.0</v>
      </c>
      <c r="S737" s="31"/>
    </row>
    <row r="738">
      <c r="A738" s="31"/>
      <c r="B738" s="77"/>
      <c r="C738" s="44"/>
      <c r="D738" s="116">
        <v>45839.0</v>
      </c>
      <c r="E738" s="64">
        <f t="shared" si="155"/>
        <v>45846</v>
      </c>
      <c r="F738" s="64">
        <f t="shared" si="158"/>
        <v>45867</v>
      </c>
      <c r="G738" s="96" t="s">
        <v>288</v>
      </c>
      <c r="H738" s="102">
        <v>211.0</v>
      </c>
      <c r="I738" s="103">
        <v>295.0</v>
      </c>
      <c r="J738" s="44">
        <f t="shared" si="113"/>
        <v>43</v>
      </c>
      <c r="K738" s="44">
        <f t="shared" si="163"/>
        <v>43</v>
      </c>
      <c r="L738" s="68"/>
      <c r="M738" s="69"/>
      <c r="N738" s="44" t="str">
        <f t="shared" si="111"/>
        <v/>
      </c>
      <c r="O738" s="44" t="str">
        <f t="shared" si="164"/>
        <v/>
      </c>
      <c r="P738" s="112">
        <v>391.0</v>
      </c>
      <c r="Q738" s="96" t="s">
        <v>287</v>
      </c>
      <c r="R738" s="71"/>
      <c r="S738" s="31"/>
    </row>
    <row r="739">
      <c r="A739" s="31"/>
      <c r="B739" s="77"/>
      <c r="C739" s="44"/>
      <c r="D739" s="116">
        <v>45840.0</v>
      </c>
      <c r="E739" s="64">
        <f t="shared" si="155"/>
        <v>45847</v>
      </c>
      <c r="F739" s="64">
        <f t="shared" si="158"/>
        <v>45868</v>
      </c>
      <c r="G739" s="96" t="s">
        <v>289</v>
      </c>
      <c r="H739" s="102">
        <v>15.0</v>
      </c>
      <c r="I739" s="103">
        <v>183.0</v>
      </c>
      <c r="J739" s="44">
        <f t="shared" si="113"/>
        <v>85</v>
      </c>
      <c r="K739" s="44">
        <f t="shared" si="163"/>
        <v>85</v>
      </c>
      <c r="L739" s="102">
        <v>2.0</v>
      </c>
      <c r="M739" s="103">
        <v>2.0</v>
      </c>
      <c r="N739" s="44">
        <f t="shared" si="111"/>
        <v>1</v>
      </c>
      <c r="O739" s="44">
        <f t="shared" si="164"/>
        <v>1</v>
      </c>
      <c r="P739" s="112">
        <v>392.0</v>
      </c>
      <c r="Q739" s="96" t="s">
        <v>287</v>
      </c>
      <c r="R739" s="96">
        <v>27.48</v>
      </c>
      <c r="S739" s="31"/>
    </row>
    <row r="740">
      <c r="A740" s="31"/>
      <c r="B740" s="77"/>
      <c r="C740" s="44"/>
      <c r="D740" s="116">
        <v>45840.0</v>
      </c>
      <c r="E740" s="64">
        <f t="shared" si="155"/>
        <v>45847</v>
      </c>
      <c r="F740" s="64">
        <f t="shared" si="158"/>
        <v>45868</v>
      </c>
      <c r="G740" s="96" t="s">
        <v>289</v>
      </c>
      <c r="H740" s="68"/>
      <c r="I740" s="69"/>
      <c r="J740" s="44" t="str">
        <f t="shared" si="113"/>
        <v/>
      </c>
      <c r="K740" s="44" t="str">
        <f t="shared" si="163"/>
        <v/>
      </c>
      <c r="L740" s="102">
        <v>6.0</v>
      </c>
      <c r="M740" s="103">
        <v>14.0</v>
      </c>
      <c r="N740" s="44">
        <f t="shared" si="111"/>
        <v>5</v>
      </c>
      <c r="O740" s="44">
        <f t="shared" si="164"/>
        <v>5</v>
      </c>
      <c r="P740" s="112">
        <v>392.0</v>
      </c>
      <c r="Q740" s="96" t="s">
        <v>287</v>
      </c>
      <c r="R740" s="71"/>
      <c r="S740" s="31"/>
    </row>
    <row r="741">
      <c r="A741" s="31"/>
      <c r="B741" s="77"/>
      <c r="C741" s="44"/>
      <c r="D741" s="116">
        <v>45847.0</v>
      </c>
      <c r="E741" s="64">
        <f t="shared" si="155"/>
        <v>45854</v>
      </c>
      <c r="F741" s="64">
        <f t="shared" si="158"/>
        <v>45875</v>
      </c>
      <c r="G741" s="96" t="s">
        <v>289</v>
      </c>
      <c r="H741" s="68"/>
      <c r="I741" s="69"/>
      <c r="J741" s="44" t="str">
        <f t="shared" si="113"/>
        <v/>
      </c>
      <c r="K741" s="44" t="str">
        <f t="shared" si="163"/>
        <v/>
      </c>
      <c r="L741" s="102">
        <v>16.0</v>
      </c>
      <c r="M741" s="103">
        <v>52.0</v>
      </c>
      <c r="N741" s="44">
        <f t="shared" si="111"/>
        <v>19</v>
      </c>
      <c r="O741" s="44">
        <f t="shared" si="164"/>
        <v>19</v>
      </c>
      <c r="P741" s="112">
        <v>393.0</v>
      </c>
      <c r="Q741" s="96" t="s">
        <v>287</v>
      </c>
      <c r="R741" s="96">
        <v>24.16</v>
      </c>
      <c r="S741" s="31"/>
    </row>
    <row r="742">
      <c r="A742" s="31"/>
      <c r="B742" s="77"/>
      <c r="C742" s="44"/>
      <c r="D742" s="116">
        <v>45847.0</v>
      </c>
      <c r="E742" s="64">
        <f t="shared" si="155"/>
        <v>45854</v>
      </c>
      <c r="F742" s="64">
        <f t="shared" si="158"/>
        <v>45875</v>
      </c>
      <c r="G742" s="96" t="s">
        <v>289</v>
      </c>
      <c r="H742" s="68"/>
      <c r="I742" s="69"/>
      <c r="J742" s="44" t="str">
        <f t="shared" si="113"/>
        <v/>
      </c>
      <c r="K742" s="44" t="str">
        <f t="shared" si="163"/>
        <v/>
      </c>
      <c r="L742" s="102">
        <v>56.0</v>
      </c>
      <c r="M742" s="103">
        <v>100.0</v>
      </c>
      <c r="N742" s="44">
        <f t="shared" si="111"/>
        <v>23</v>
      </c>
      <c r="O742" s="44">
        <f t="shared" si="164"/>
        <v>23</v>
      </c>
      <c r="P742" s="112">
        <v>393.0</v>
      </c>
      <c r="Q742" s="96" t="s">
        <v>287</v>
      </c>
      <c r="R742" s="71"/>
      <c r="S742" s="31"/>
    </row>
    <row r="743">
      <c r="A743" s="31"/>
      <c r="B743" s="77"/>
      <c r="C743" s="44"/>
      <c r="D743" s="116">
        <v>45847.0</v>
      </c>
      <c r="E743" s="64">
        <f t="shared" si="155"/>
        <v>45854</v>
      </c>
      <c r="F743" s="64">
        <f t="shared" si="158"/>
        <v>45875</v>
      </c>
      <c r="G743" s="96" t="s">
        <v>289</v>
      </c>
      <c r="H743" s="68"/>
      <c r="I743" s="69"/>
      <c r="J743" s="44" t="str">
        <f t="shared" si="113"/>
        <v/>
      </c>
      <c r="K743" s="44" t="str">
        <f t="shared" si="163"/>
        <v/>
      </c>
      <c r="L743" s="102">
        <v>104.0</v>
      </c>
      <c r="M743" s="103">
        <v>138.0</v>
      </c>
      <c r="N743" s="44">
        <f t="shared" si="111"/>
        <v>18</v>
      </c>
      <c r="O743" s="44">
        <f t="shared" si="164"/>
        <v>18</v>
      </c>
      <c r="P743" s="112">
        <v>393.0</v>
      </c>
      <c r="Q743" s="96" t="s">
        <v>287</v>
      </c>
      <c r="R743" s="71"/>
      <c r="S743" s="31"/>
    </row>
    <row r="744">
      <c r="A744" s="31"/>
      <c r="B744" s="77"/>
      <c r="C744" s="44"/>
      <c r="D744" s="116">
        <v>45847.0</v>
      </c>
      <c r="E744" s="64">
        <f t="shared" si="155"/>
        <v>45854</v>
      </c>
      <c r="F744" s="64">
        <f t="shared" si="158"/>
        <v>45875</v>
      </c>
      <c r="G744" s="96" t="s">
        <v>289</v>
      </c>
      <c r="H744" s="68"/>
      <c r="I744" s="69"/>
      <c r="J744" s="44" t="str">
        <f t="shared" si="113"/>
        <v/>
      </c>
      <c r="K744" s="44" t="str">
        <f t="shared" si="163"/>
        <v/>
      </c>
      <c r="L744" s="102">
        <v>142.0</v>
      </c>
      <c r="M744" s="103">
        <v>182.0</v>
      </c>
      <c r="N744" s="44">
        <f t="shared" si="111"/>
        <v>21</v>
      </c>
      <c r="O744" s="44">
        <f t="shared" si="164"/>
        <v>21</v>
      </c>
      <c r="P744" s="112">
        <v>393.0</v>
      </c>
      <c r="Q744" s="96" t="s">
        <v>287</v>
      </c>
      <c r="R744" s="71"/>
      <c r="S744" s="31"/>
    </row>
    <row r="745">
      <c r="A745" s="31"/>
      <c r="B745" s="77"/>
      <c r="C745" s="44"/>
      <c r="D745" s="116">
        <v>45848.0</v>
      </c>
      <c r="E745" s="64">
        <f t="shared" si="155"/>
        <v>45855</v>
      </c>
      <c r="F745" s="64">
        <f t="shared" si="158"/>
        <v>45876</v>
      </c>
      <c r="G745" s="96" t="s">
        <v>290</v>
      </c>
      <c r="H745" s="102">
        <v>1.0</v>
      </c>
      <c r="I745" s="103">
        <v>129.0</v>
      </c>
      <c r="J745" s="44">
        <f t="shared" si="113"/>
        <v>65</v>
      </c>
      <c r="K745" s="44">
        <f t="shared" si="163"/>
        <v>65</v>
      </c>
      <c r="L745" s="68"/>
      <c r="M745" s="69"/>
      <c r="N745" s="44" t="str">
        <f t="shared" si="111"/>
        <v/>
      </c>
      <c r="O745" s="44" t="str">
        <f t="shared" si="164"/>
        <v/>
      </c>
      <c r="P745" s="112">
        <v>394.0</v>
      </c>
      <c r="Q745" s="96" t="s">
        <v>291</v>
      </c>
      <c r="R745" s="96">
        <v>22.34</v>
      </c>
      <c r="S745" s="31"/>
    </row>
    <row r="746">
      <c r="A746" s="31"/>
      <c r="B746" s="77"/>
      <c r="C746" s="44"/>
      <c r="D746" s="116">
        <v>45848.0</v>
      </c>
      <c r="E746" s="64">
        <f t="shared" si="155"/>
        <v>45855</v>
      </c>
      <c r="F746" s="64">
        <f t="shared" si="158"/>
        <v>45876</v>
      </c>
      <c r="G746" s="96" t="s">
        <v>290</v>
      </c>
      <c r="H746" s="102">
        <v>141.0</v>
      </c>
      <c r="I746" s="103">
        <v>157.0</v>
      </c>
      <c r="J746" s="44">
        <f t="shared" si="113"/>
        <v>9</v>
      </c>
      <c r="K746" s="44">
        <f t="shared" si="163"/>
        <v>9</v>
      </c>
      <c r="L746" s="68"/>
      <c r="M746" s="69"/>
      <c r="N746" s="44" t="str">
        <f t="shared" si="111"/>
        <v/>
      </c>
      <c r="O746" s="44" t="str">
        <f t="shared" si="164"/>
        <v/>
      </c>
      <c r="P746" s="112">
        <v>394.0</v>
      </c>
      <c r="Q746" s="96" t="s">
        <v>291</v>
      </c>
      <c r="R746" s="71"/>
      <c r="S746" s="31"/>
    </row>
    <row r="747">
      <c r="A747" s="31"/>
      <c r="B747" s="77"/>
      <c r="C747" s="44"/>
      <c r="D747" s="116">
        <v>45850.0</v>
      </c>
      <c r="E747" s="64">
        <f t="shared" si="155"/>
        <v>45857</v>
      </c>
      <c r="F747" s="64">
        <f t="shared" si="158"/>
        <v>45878</v>
      </c>
      <c r="G747" s="96" t="s">
        <v>290</v>
      </c>
      <c r="H747" s="102">
        <v>159.0</v>
      </c>
      <c r="I747" s="103">
        <v>225.0</v>
      </c>
      <c r="J747" s="44">
        <f t="shared" si="113"/>
        <v>34</v>
      </c>
      <c r="K747" s="44">
        <f t="shared" si="163"/>
        <v>34</v>
      </c>
      <c r="L747" s="102">
        <v>2.0</v>
      </c>
      <c r="M747" s="103">
        <v>52.0</v>
      </c>
      <c r="N747" s="44">
        <f t="shared" si="111"/>
        <v>26</v>
      </c>
      <c r="O747" s="44">
        <f t="shared" si="164"/>
        <v>26</v>
      </c>
      <c r="P747" s="112">
        <v>395.0</v>
      </c>
      <c r="Q747" s="71"/>
      <c r="R747" s="71"/>
      <c r="S747" s="31"/>
    </row>
    <row r="748">
      <c r="A748" s="31"/>
      <c r="B748" s="77"/>
      <c r="C748" s="44"/>
      <c r="D748" s="116">
        <v>45850.0</v>
      </c>
      <c r="E748" s="64">
        <f t="shared" si="155"/>
        <v>45857</v>
      </c>
      <c r="F748" s="64">
        <f t="shared" si="158"/>
        <v>45878</v>
      </c>
      <c r="G748" s="96" t="s">
        <v>290</v>
      </c>
      <c r="H748" s="68"/>
      <c r="I748" s="69"/>
      <c r="J748" s="44" t="str">
        <f t="shared" si="113"/>
        <v/>
      </c>
      <c r="K748" s="44" t="str">
        <f t="shared" si="163"/>
        <v/>
      </c>
      <c r="L748" s="102">
        <v>56.0</v>
      </c>
      <c r="M748" s="103">
        <v>90.0</v>
      </c>
      <c r="N748" s="44">
        <f t="shared" si="111"/>
        <v>18</v>
      </c>
      <c r="O748" s="44">
        <f t="shared" si="164"/>
        <v>18</v>
      </c>
      <c r="P748" s="112">
        <v>395.0</v>
      </c>
      <c r="Q748" s="71"/>
      <c r="R748" s="71"/>
      <c r="S748" s="31"/>
    </row>
    <row r="749">
      <c r="A749" s="31"/>
      <c r="B749" s="77"/>
      <c r="C749" s="44"/>
      <c r="D749" s="116">
        <v>45850.0</v>
      </c>
      <c r="E749" s="64">
        <f t="shared" si="155"/>
        <v>45857</v>
      </c>
      <c r="F749" s="64">
        <f t="shared" si="158"/>
        <v>45878</v>
      </c>
      <c r="G749" s="96" t="s">
        <v>290</v>
      </c>
      <c r="H749" s="68"/>
      <c r="I749" s="69"/>
      <c r="J749" s="44" t="str">
        <f t="shared" si="113"/>
        <v/>
      </c>
      <c r="K749" s="44" t="str">
        <f t="shared" si="163"/>
        <v/>
      </c>
      <c r="L749" s="102">
        <v>94.0</v>
      </c>
      <c r="M749" s="103">
        <v>128.0</v>
      </c>
      <c r="N749" s="44">
        <f t="shared" si="111"/>
        <v>18</v>
      </c>
      <c r="O749" s="44">
        <f t="shared" si="164"/>
        <v>18</v>
      </c>
      <c r="P749" s="112">
        <v>395.0</v>
      </c>
      <c r="Q749" s="71"/>
      <c r="R749" s="71"/>
      <c r="S749" s="31"/>
    </row>
    <row r="750">
      <c r="A750" s="31"/>
      <c r="B750" s="77"/>
      <c r="C750" s="44"/>
      <c r="D750" s="116">
        <v>45850.0</v>
      </c>
      <c r="E750" s="64">
        <f t="shared" si="155"/>
        <v>45857</v>
      </c>
      <c r="F750" s="64">
        <f t="shared" si="158"/>
        <v>45878</v>
      </c>
      <c r="G750" s="96" t="s">
        <v>292</v>
      </c>
      <c r="H750" s="68"/>
      <c r="I750" s="69"/>
      <c r="J750" s="44" t="str">
        <f t="shared" si="113"/>
        <v/>
      </c>
      <c r="K750" s="44" t="str">
        <f t="shared" si="163"/>
        <v/>
      </c>
      <c r="L750" s="102">
        <v>2.0</v>
      </c>
      <c r="M750" s="103">
        <v>16.0</v>
      </c>
      <c r="N750" s="44">
        <f t="shared" si="111"/>
        <v>8</v>
      </c>
      <c r="O750" s="44">
        <f t="shared" si="164"/>
        <v>8</v>
      </c>
      <c r="P750" s="112">
        <v>396.0</v>
      </c>
      <c r="Q750" s="71"/>
      <c r="R750" s="71"/>
      <c r="S750" s="31"/>
    </row>
    <row r="751">
      <c r="A751" s="31"/>
      <c r="B751" s="77"/>
      <c r="C751" s="44"/>
      <c r="D751" s="116">
        <v>45851.0</v>
      </c>
      <c r="E751" s="64">
        <f t="shared" si="155"/>
        <v>45858</v>
      </c>
      <c r="F751" s="64">
        <f t="shared" si="158"/>
        <v>45879</v>
      </c>
      <c r="G751" s="96" t="s">
        <v>290</v>
      </c>
      <c r="H751" s="102">
        <v>227.0</v>
      </c>
      <c r="I751" s="103">
        <v>303.0</v>
      </c>
      <c r="J751" s="44">
        <f t="shared" si="113"/>
        <v>39</v>
      </c>
      <c r="K751" s="44">
        <f t="shared" si="163"/>
        <v>39</v>
      </c>
      <c r="L751" s="102">
        <v>142.0</v>
      </c>
      <c r="M751" s="103">
        <v>142.0</v>
      </c>
      <c r="N751" s="44">
        <f t="shared" si="111"/>
        <v>1</v>
      </c>
      <c r="O751" s="44">
        <f t="shared" si="164"/>
        <v>1</v>
      </c>
      <c r="P751" s="112">
        <v>397.0</v>
      </c>
      <c r="Q751" s="71"/>
      <c r="R751" s="71"/>
      <c r="S751" s="31"/>
    </row>
    <row r="752">
      <c r="A752" s="31"/>
      <c r="B752" s="77"/>
      <c r="C752" s="44"/>
      <c r="D752" s="116">
        <v>45851.0</v>
      </c>
      <c r="E752" s="64">
        <f t="shared" si="155"/>
        <v>45858</v>
      </c>
      <c r="F752" s="64">
        <f t="shared" si="158"/>
        <v>45879</v>
      </c>
      <c r="G752" s="96" t="s">
        <v>290</v>
      </c>
      <c r="H752" s="68"/>
      <c r="I752" s="69"/>
      <c r="J752" s="44" t="str">
        <f t="shared" si="113"/>
        <v/>
      </c>
      <c r="K752" s="44" t="str">
        <f t="shared" si="163"/>
        <v/>
      </c>
      <c r="L752" s="102">
        <v>146.0</v>
      </c>
      <c r="M752" s="103">
        <v>190.0</v>
      </c>
      <c r="N752" s="44">
        <f t="shared" si="111"/>
        <v>23</v>
      </c>
      <c r="O752" s="44">
        <f t="shared" si="164"/>
        <v>23</v>
      </c>
      <c r="P752" s="112">
        <v>397.0</v>
      </c>
      <c r="Q752" s="71"/>
      <c r="R752" s="71"/>
      <c r="S752" s="31"/>
    </row>
    <row r="753">
      <c r="A753" s="31"/>
      <c r="B753" s="77"/>
      <c r="C753" s="44"/>
      <c r="D753" s="116">
        <v>45851.0</v>
      </c>
      <c r="E753" s="64">
        <f t="shared" si="155"/>
        <v>45858</v>
      </c>
      <c r="F753" s="64">
        <f t="shared" si="158"/>
        <v>45879</v>
      </c>
      <c r="G753" s="96" t="s">
        <v>290</v>
      </c>
      <c r="H753" s="68"/>
      <c r="I753" s="69"/>
      <c r="J753" s="44" t="str">
        <f t="shared" si="113"/>
        <v/>
      </c>
      <c r="K753" s="44" t="str">
        <f t="shared" si="163"/>
        <v/>
      </c>
      <c r="L753" s="102">
        <v>194.0</v>
      </c>
      <c r="M753" s="103">
        <v>228.0</v>
      </c>
      <c r="N753" s="44">
        <f t="shared" si="111"/>
        <v>18</v>
      </c>
      <c r="O753" s="44">
        <f t="shared" si="164"/>
        <v>18</v>
      </c>
      <c r="P753" s="112">
        <v>397.0</v>
      </c>
      <c r="Q753" s="71"/>
      <c r="R753" s="71"/>
      <c r="S753" s="31"/>
    </row>
    <row r="754">
      <c r="A754" s="31"/>
      <c r="B754" s="77"/>
      <c r="C754" s="44"/>
      <c r="D754" s="116">
        <v>45851.0</v>
      </c>
      <c r="E754" s="64">
        <f t="shared" si="155"/>
        <v>45858</v>
      </c>
      <c r="F754" s="64">
        <f t="shared" si="158"/>
        <v>45879</v>
      </c>
      <c r="G754" s="96"/>
      <c r="H754" s="102"/>
      <c r="I754" s="103"/>
      <c r="J754" s="44" t="str">
        <f t="shared" si="113"/>
        <v/>
      </c>
      <c r="K754" s="44" t="str">
        <f t="shared" si="163"/>
        <v/>
      </c>
      <c r="L754" s="102"/>
      <c r="M754" s="103"/>
      <c r="N754" s="44" t="str">
        <f t="shared" si="111"/>
        <v/>
      </c>
      <c r="O754" s="44" t="str">
        <f t="shared" si="164"/>
        <v/>
      </c>
      <c r="P754" s="122">
        <v>398.0</v>
      </c>
      <c r="Q754" s="71"/>
      <c r="R754" s="98" t="s">
        <v>109</v>
      </c>
      <c r="S754" s="31"/>
    </row>
    <row r="755">
      <c r="A755" s="31"/>
      <c r="B755" s="77"/>
      <c r="C755" s="44"/>
      <c r="D755" s="116">
        <v>45851.0</v>
      </c>
      <c r="E755" s="64">
        <f t="shared" si="155"/>
        <v>45858</v>
      </c>
      <c r="F755" s="64">
        <f t="shared" si="158"/>
        <v>45879</v>
      </c>
      <c r="G755" s="96" t="s">
        <v>292</v>
      </c>
      <c r="H755" s="102">
        <v>18.0</v>
      </c>
      <c r="I755" s="103">
        <v>24.0</v>
      </c>
      <c r="J755" s="44">
        <f t="shared" si="113"/>
        <v>4</v>
      </c>
      <c r="K755" s="44">
        <f t="shared" si="163"/>
        <v>4</v>
      </c>
      <c r="L755" s="102">
        <v>8.0</v>
      </c>
      <c r="M755" s="103">
        <v>24.0</v>
      </c>
      <c r="N755" s="44">
        <f t="shared" si="111"/>
        <v>9</v>
      </c>
      <c r="O755" s="44">
        <f t="shared" si="164"/>
        <v>9</v>
      </c>
      <c r="P755" s="112">
        <v>399.0</v>
      </c>
      <c r="Q755" s="71"/>
      <c r="R755" s="71"/>
      <c r="S755" s="31"/>
    </row>
    <row r="756">
      <c r="A756" s="31"/>
      <c r="B756" s="77"/>
      <c r="C756" s="44"/>
      <c r="D756" s="116">
        <v>45851.0</v>
      </c>
      <c r="E756" s="64">
        <f t="shared" si="155"/>
        <v>45858</v>
      </c>
      <c r="F756" s="64">
        <f t="shared" si="158"/>
        <v>45879</v>
      </c>
      <c r="G756" s="96" t="s">
        <v>292</v>
      </c>
      <c r="H756" s="68"/>
      <c r="I756" s="69"/>
      <c r="J756" s="44" t="str">
        <f t="shared" si="113"/>
        <v/>
      </c>
      <c r="K756" s="44" t="str">
        <f t="shared" si="163"/>
        <v/>
      </c>
      <c r="L756" s="102">
        <v>554.0</v>
      </c>
      <c r="M756" s="103">
        <v>556.0</v>
      </c>
      <c r="N756" s="44">
        <f t="shared" si="111"/>
        <v>2</v>
      </c>
      <c r="O756" s="44">
        <f t="shared" si="164"/>
        <v>2</v>
      </c>
      <c r="P756" s="112">
        <v>399.0</v>
      </c>
      <c r="Q756" s="71"/>
      <c r="R756" s="71"/>
      <c r="S756" s="31"/>
    </row>
    <row r="757">
      <c r="A757" s="31"/>
      <c r="B757" s="77"/>
      <c r="C757" s="44"/>
      <c r="D757" s="116">
        <v>45851.0</v>
      </c>
      <c r="E757" s="64">
        <f t="shared" si="155"/>
        <v>45858</v>
      </c>
      <c r="F757" s="64">
        <f t="shared" si="158"/>
        <v>45879</v>
      </c>
      <c r="G757" s="96" t="s">
        <v>293</v>
      </c>
      <c r="H757" s="102">
        <v>3.0</v>
      </c>
      <c r="I757" s="103">
        <v>9.0</v>
      </c>
      <c r="J757" s="44">
        <f t="shared" si="113"/>
        <v>4</v>
      </c>
      <c r="K757" s="44">
        <f t="shared" si="163"/>
        <v>4</v>
      </c>
      <c r="L757" s="102"/>
      <c r="M757" s="103"/>
      <c r="N757" s="44" t="str">
        <f t="shared" si="111"/>
        <v/>
      </c>
      <c r="O757" s="44" t="str">
        <f t="shared" si="164"/>
        <v/>
      </c>
      <c r="P757" s="112">
        <v>399.0</v>
      </c>
      <c r="Q757" s="71"/>
      <c r="R757" s="71"/>
      <c r="S757" s="31"/>
    </row>
    <row r="758">
      <c r="A758" s="31"/>
      <c r="B758" s="77"/>
      <c r="C758" s="44"/>
      <c r="D758" s="116">
        <v>45852.0</v>
      </c>
      <c r="E758" s="64">
        <f t="shared" si="155"/>
        <v>45859</v>
      </c>
      <c r="F758" s="64">
        <f t="shared" si="158"/>
        <v>45880</v>
      </c>
      <c r="G758" s="96" t="s">
        <v>290</v>
      </c>
      <c r="H758" s="102"/>
      <c r="I758" s="103"/>
      <c r="J758" s="44" t="str">
        <f t="shared" si="113"/>
        <v/>
      </c>
      <c r="K758" s="44" t="str">
        <f t="shared" si="163"/>
        <v/>
      </c>
      <c r="L758" s="102">
        <v>230.0</v>
      </c>
      <c r="M758" s="103">
        <v>240.0</v>
      </c>
      <c r="N758" s="44">
        <f t="shared" si="111"/>
        <v>6</v>
      </c>
      <c r="O758" s="44">
        <f t="shared" si="164"/>
        <v>6</v>
      </c>
      <c r="P758" s="112">
        <v>400.0</v>
      </c>
      <c r="Q758" s="71"/>
      <c r="R758" s="71"/>
      <c r="S758" s="31"/>
    </row>
    <row r="759">
      <c r="A759" s="31"/>
      <c r="B759" s="77"/>
      <c r="C759" s="44"/>
      <c r="D759" s="116">
        <v>45852.0</v>
      </c>
      <c r="E759" s="64">
        <f t="shared" si="155"/>
        <v>45859</v>
      </c>
      <c r="F759" s="64">
        <f t="shared" si="158"/>
        <v>45880</v>
      </c>
      <c r="G759" s="96" t="s">
        <v>290</v>
      </c>
      <c r="H759" s="102"/>
      <c r="I759" s="103"/>
      <c r="J759" s="44" t="str">
        <f t="shared" si="113"/>
        <v/>
      </c>
      <c r="K759" s="44" t="str">
        <f t="shared" si="163"/>
        <v/>
      </c>
      <c r="L759" s="102">
        <v>244.0</v>
      </c>
      <c r="M759" s="103">
        <v>300.0</v>
      </c>
      <c r="N759" s="44">
        <f t="shared" si="111"/>
        <v>29</v>
      </c>
      <c r="O759" s="44">
        <f t="shared" si="164"/>
        <v>29</v>
      </c>
      <c r="P759" s="112">
        <v>400.0</v>
      </c>
      <c r="Q759" s="71"/>
      <c r="R759" s="71"/>
      <c r="S759" s="31"/>
    </row>
    <row r="760">
      <c r="A760" s="31"/>
      <c r="B760" s="77"/>
      <c r="C760" s="44"/>
      <c r="D760" s="116">
        <v>45852.0</v>
      </c>
      <c r="E760" s="64">
        <f t="shared" si="155"/>
        <v>45859</v>
      </c>
      <c r="F760" s="64">
        <f t="shared" si="158"/>
        <v>45880</v>
      </c>
      <c r="G760" s="96" t="s">
        <v>294</v>
      </c>
      <c r="H760" s="102">
        <v>1.0</v>
      </c>
      <c r="I760" s="103">
        <v>103.0</v>
      </c>
      <c r="J760" s="44">
        <f t="shared" si="113"/>
        <v>52</v>
      </c>
      <c r="K760" s="44">
        <f t="shared" si="163"/>
        <v>52</v>
      </c>
      <c r="L760" s="102"/>
      <c r="M760" s="103"/>
      <c r="N760" s="44" t="str">
        <f t="shared" si="111"/>
        <v/>
      </c>
      <c r="O760" s="44" t="str">
        <f t="shared" si="164"/>
        <v/>
      </c>
      <c r="P760" s="112">
        <v>401.0</v>
      </c>
      <c r="Q760" s="71"/>
      <c r="R760" s="71"/>
      <c r="S760" s="31"/>
    </row>
    <row r="761">
      <c r="A761" s="31"/>
      <c r="B761" s="77"/>
      <c r="C761" s="44"/>
      <c r="D761" s="116">
        <v>45853.0</v>
      </c>
      <c r="E761" s="64">
        <f t="shared" si="155"/>
        <v>45860</v>
      </c>
      <c r="F761" s="64">
        <f t="shared" si="158"/>
        <v>45881</v>
      </c>
      <c r="G761" s="96" t="s">
        <v>294</v>
      </c>
      <c r="H761" s="102">
        <v>105.0</v>
      </c>
      <c r="I761" s="103">
        <v>307.0</v>
      </c>
      <c r="J761" s="44">
        <f t="shared" si="113"/>
        <v>102</v>
      </c>
      <c r="K761" s="44">
        <f t="shared" si="163"/>
        <v>102</v>
      </c>
      <c r="L761" s="102"/>
      <c r="M761" s="103"/>
      <c r="N761" s="44" t="str">
        <f t="shared" si="111"/>
        <v/>
      </c>
      <c r="O761" s="44" t="str">
        <f t="shared" si="164"/>
        <v/>
      </c>
      <c r="P761" s="112">
        <v>402.0</v>
      </c>
      <c r="Q761" s="71"/>
      <c r="R761" s="71"/>
      <c r="S761" s="31"/>
    </row>
    <row r="762">
      <c r="A762" s="31"/>
      <c r="B762" s="77"/>
      <c r="C762" s="44"/>
      <c r="D762" s="116">
        <v>45853.0</v>
      </c>
      <c r="E762" s="64">
        <f t="shared" si="155"/>
        <v>45860</v>
      </c>
      <c r="F762" s="64">
        <f t="shared" si="158"/>
        <v>45881</v>
      </c>
      <c r="G762" s="96" t="s">
        <v>295</v>
      </c>
      <c r="H762" s="102"/>
      <c r="I762" s="103"/>
      <c r="J762" s="44" t="str">
        <f t="shared" si="113"/>
        <v/>
      </c>
      <c r="K762" s="44" t="str">
        <f t="shared" si="163"/>
        <v/>
      </c>
      <c r="L762" s="102">
        <v>2.0</v>
      </c>
      <c r="M762" s="103">
        <v>12.0</v>
      </c>
      <c r="N762" s="44">
        <f t="shared" si="111"/>
        <v>6</v>
      </c>
      <c r="O762" s="44">
        <f t="shared" si="164"/>
        <v>6</v>
      </c>
      <c r="P762" s="112">
        <v>403.0</v>
      </c>
      <c r="Q762" s="71"/>
      <c r="R762" s="71"/>
      <c r="S762" s="31"/>
    </row>
    <row r="763">
      <c r="A763" s="31"/>
      <c r="B763" s="77"/>
      <c r="C763" s="44"/>
      <c r="D763" s="116">
        <v>45853.0</v>
      </c>
      <c r="E763" s="64">
        <f t="shared" si="155"/>
        <v>45860</v>
      </c>
      <c r="F763" s="64">
        <f t="shared" si="158"/>
        <v>45881</v>
      </c>
      <c r="G763" s="96" t="s">
        <v>296</v>
      </c>
      <c r="H763" s="102"/>
      <c r="I763" s="103"/>
      <c r="J763" s="44" t="str">
        <f t="shared" si="113"/>
        <v/>
      </c>
      <c r="K763" s="44" t="str">
        <f t="shared" si="163"/>
        <v/>
      </c>
      <c r="L763" s="102">
        <v>2.0</v>
      </c>
      <c r="M763" s="103">
        <v>4.0</v>
      </c>
      <c r="N763" s="44">
        <f t="shared" si="111"/>
        <v>2</v>
      </c>
      <c r="O763" s="44">
        <f t="shared" si="164"/>
        <v>2</v>
      </c>
      <c r="P763" s="112">
        <v>403.0</v>
      </c>
      <c r="Q763" s="71"/>
      <c r="R763" s="71"/>
      <c r="S763" s="31"/>
    </row>
    <row r="764">
      <c r="A764" s="31"/>
      <c r="B764" s="77"/>
      <c r="C764" s="44"/>
      <c r="D764" s="116">
        <v>45853.0</v>
      </c>
      <c r="E764" s="64">
        <f t="shared" si="155"/>
        <v>45860</v>
      </c>
      <c r="F764" s="64">
        <f t="shared" si="158"/>
        <v>45881</v>
      </c>
      <c r="G764" s="96" t="s">
        <v>297</v>
      </c>
      <c r="H764" s="102">
        <v>1.0</v>
      </c>
      <c r="I764" s="103">
        <v>3.0</v>
      </c>
      <c r="J764" s="44">
        <f t="shared" si="113"/>
        <v>2</v>
      </c>
      <c r="K764" s="44">
        <f t="shared" si="163"/>
        <v>2</v>
      </c>
      <c r="L764" s="68"/>
      <c r="M764" s="69"/>
      <c r="N764" s="44" t="str">
        <f t="shared" si="111"/>
        <v/>
      </c>
      <c r="O764" s="44" t="str">
        <f t="shared" si="164"/>
        <v/>
      </c>
      <c r="P764" s="112">
        <v>403.0</v>
      </c>
      <c r="Q764" s="71"/>
      <c r="R764" s="71"/>
      <c r="S764" s="31"/>
    </row>
    <row r="765">
      <c r="A765" s="31"/>
      <c r="B765" s="77"/>
      <c r="C765" s="44"/>
      <c r="D765" s="116">
        <v>45853.0</v>
      </c>
      <c r="E765" s="64">
        <f t="shared" si="155"/>
        <v>45860</v>
      </c>
      <c r="F765" s="64">
        <f t="shared" si="158"/>
        <v>45881</v>
      </c>
      <c r="G765" s="96" t="s">
        <v>55</v>
      </c>
      <c r="H765" s="102"/>
      <c r="I765" s="103"/>
      <c r="J765" s="44" t="str">
        <f t="shared" si="113"/>
        <v/>
      </c>
      <c r="K765" s="44" t="str">
        <f t="shared" si="163"/>
        <v/>
      </c>
      <c r="L765" s="102">
        <v>2.0</v>
      </c>
      <c r="M765" s="103">
        <v>2.0</v>
      </c>
      <c r="N765" s="44">
        <f t="shared" si="111"/>
        <v>1</v>
      </c>
      <c r="O765" s="44">
        <f t="shared" si="164"/>
        <v>1</v>
      </c>
      <c r="P765" s="112">
        <v>403.0</v>
      </c>
      <c r="Q765" s="71"/>
      <c r="R765" s="71"/>
      <c r="S765" s="31"/>
    </row>
    <row r="766">
      <c r="A766" s="31"/>
      <c r="B766" s="77"/>
      <c r="C766" s="44"/>
      <c r="D766" s="116">
        <v>45853.0</v>
      </c>
      <c r="E766" s="64">
        <f t="shared" si="155"/>
        <v>45860</v>
      </c>
      <c r="F766" s="64">
        <f t="shared" si="158"/>
        <v>45881</v>
      </c>
      <c r="G766" s="96" t="s">
        <v>10</v>
      </c>
      <c r="H766" s="102"/>
      <c r="I766" s="103"/>
      <c r="J766" s="44" t="str">
        <f t="shared" si="113"/>
        <v/>
      </c>
      <c r="K766" s="44" t="str">
        <f t="shared" si="163"/>
        <v/>
      </c>
      <c r="L766" s="102">
        <v>60.0</v>
      </c>
      <c r="M766" s="103">
        <v>64.0</v>
      </c>
      <c r="N766" s="44">
        <f t="shared" si="111"/>
        <v>3</v>
      </c>
      <c r="O766" s="44">
        <f t="shared" si="164"/>
        <v>3</v>
      </c>
      <c r="P766" s="112">
        <v>403.0</v>
      </c>
      <c r="Q766" s="71"/>
      <c r="R766" s="71"/>
      <c r="S766" s="31"/>
    </row>
    <row r="767">
      <c r="A767" s="31"/>
      <c r="B767" s="77"/>
      <c r="C767" s="44"/>
      <c r="D767" s="116">
        <v>45853.0</v>
      </c>
      <c r="E767" s="64">
        <f t="shared" si="155"/>
        <v>45860</v>
      </c>
      <c r="F767" s="64">
        <f t="shared" si="158"/>
        <v>45881</v>
      </c>
      <c r="G767" s="96" t="s">
        <v>15</v>
      </c>
      <c r="H767" s="102">
        <v>581.0</v>
      </c>
      <c r="I767" s="103">
        <v>581.0</v>
      </c>
      <c r="J767" s="44">
        <f t="shared" si="113"/>
        <v>1</v>
      </c>
      <c r="K767" s="44">
        <f t="shared" si="163"/>
        <v>1</v>
      </c>
      <c r="L767" s="102">
        <v>558.0</v>
      </c>
      <c r="M767" s="103">
        <v>590.0</v>
      </c>
      <c r="N767" s="44">
        <f t="shared" si="111"/>
        <v>17</v>
      </c>
      <c r="O767" s="44">
        <f t="shared" si="164"/>
        <v>17</v>
      </c>
      <c r="P767" s="112">
        <v>404.0</v>
      </c>
      <c r="Q767" s="71"/>
      <c r="R767" s="71"/>
      <c r="S767" s="31"/>
    </row>
    <row r="768">
      <c r="A768" s="31"/>
      <c r="B768" s="77"/>
      <c r="C768" s="44"/>
      <c r="D768" s="116">
        <v>45853.0</v>
      </c>
      <c r="E768" s="64">
        <f t="shared" si="155"/>
        <v>45860</v>
      </c>
      <c r="F768" s="64">
        <f t="shared" si="158"/>
        <v>45881</v>
      </c>
      <c r="G768" s="96" t="s">
        <v>15</v>
      </c>
      <c r="H768" s="102">
        <v>587.0</v>
      </c>
      <c r="I768" s="103">
        <v>589.0</v>
      </c>
      <c r="J768" s="44">
        <f t="shared" si="113"/>
        <v>2</v>
      </c>
      <c r="K768" s="44">
        <f t="shared" si="163"/>
        <v>2</v>
      </c>
      <c r="L768" s="68"/>
      <c r="M768" s="69"/>
      <c r="N768" s="44" t="str">
        <f t="shared" si="111"/>
        <v/>
      </c>
      <c r="O768" s="44" t="str">
        <f t="shared" si="164"/>
        <v/>
      </c>
      <c r="P768" s="112">
        <v>404.0</v>
      </c>
      <c r="Q768" s="71"/>
      <c r="R768" s="71"/>
      <c r="S768" s="31"/>
    </row>
    <row r="769">
      <c r="A769" s="31"/>
      <c r="B769" s="77"/>
      <c r="C769" s="44"/>
      <c r="D769" s="116">
        <v>45853.0</v>
      </c>
      <c r="E769" s="64">
        <f t="shared" si="155"/>
        <v>45860</v>
      </c>
      <c r="F769" s="64">
        <f t="shared" si="158"/>
        <v>45881</v>
      </c>
      <c r="G769" s="96" t="s">
        <v>99</v>
      </c>
      <c r="H769" s="102">
        <v>2775.0</v>
      </c>
      <c r="I769" s="103">
        <v>2779.0</v>
      </c>
      <c r="J769" s="44">
        <f t="shared" si="113"/>
        <v>3</v>
      </c>
      <c r="K769" s="44">
        <f t="shared" si="163"/>
        <v>3</v>
      </c>
      <c r="L769" s="102">
        <v>2774.0</v>
      </c>
      <c r="M769" s="103">
        <v>2778.0</v>
      </c>
      <c r="N769" s="44">
        <f t="shared" si="111"/>
        <v>3</v>
      </c>
      <c r="O769" s="44">
        <f t="shared" si="164"/>
        <v>3</v>
      </c>
      <c r="P769" s="112">
        <v>404.0</v>
      </c>
      <c r="Q769" s="71"/>
      <c r="R769" s="71"/>
      <c r="S769" s="31"/>
    </row>
    <row r="770">
      <c r="A770" s="31"/>
      <c r="B770" s="77"/>
      <c r="C770" s="44"/>
      <c r="D770" s="116">
        <v>45853.0</v>
      </c>
      <c r="E770" s="64">
        <f t="shared" si="155"/>
        <v>45860</v>
      </c>
      <c r="F770" s="64">
        <f t="shared" si="158"/>
        <v>45881</v>
      </c>
      <c r="G770" s="96" t="s">
        <v>16</v>
      </c>
      <c r="H770" s="102">
        <v>1.0</v>
      </c>
      <c r="I770" s="103">
        <v>5.0</v>
      </c>
      <c r="J770" s="44">
        <f t="shared" si="113"/>
        <v>3</v>
      </c>
      <c r="K770" s="44">
        <f t="shared" si="163"/>
        <v>3</v>
      </c>
      <c r="L770" s="102">
        <v>2.0</v>
      </c>
      <c r="M770" s="103">
        <v>6.0</v>
      </c>
      <c r="N770" s="44">
        <f t="shared" si="111"/>
        <v>3</v>
      </c>
      <c r="O770" s="44">
        <f t="shared" si="164"/>
        <v>3</v>
      </c>
      <c r="P770" s="112">
        <v>404.0</v>
      </c>
      <c r="Q770" s="71"/>
      <c r="R770" s="71"/>
      <c r="S770" s="31"/>
    </row>
    <row r="771">
      <c r="A771" s="31"/>
      <c r="B771" s="44"/>
      <c r="C771" s="44"/>
      <c r="D771" s="116">
        <v>45854.0</v>
      </c>
      <c r="E771" s="64">
        <f t="shared" si="155"/>
        <v>45861</v>
      </c>
      <c r="F771" s="64">
        <f t="shared" si="158"/>
        <v>45882</v>
      </c>
      <c r="G771" s="96" t="s">
        <v>294</v>
      </c>
      <c r="H771" s="102"/>
      <c r="I771" s="103"/>
      <c r="J771" s="44" t="str">
        <f t="shared" si="113"/>
        <v/>
      </c>
      <c r="K771" s="44" t="str">
        <f t="shared" si="163"/>
        <v/>
      </c>
      <c r="L771" s="102">
        <v>2.0</v>
      </c>
      <c r="M771" s="103">
        <v>188.0</v>
      </c>
      <c r="N771" s="44">
        <f t="shared" si="111"/>
        <v>94</v>
      </c>
      <c r="O771" s="44">
        <f t="shared" si="164"/>
        <v>94</v>
      </c>
      <c r="P771" s="112">
        <v>405.0</v>
      </c>
      <c r="Q771" s="71"/>
      <c r="R771" s="71"/>
      <c r="S771" s="31"/>
    </row>
    <row r="772">
      <c r="A772" s="31"/>
      <c r="B772" s="44"/>
      <c r="C772" s="44"/>
      <c r="D772" s="116">
        <v>45854.0</v>
      </c>
      <c r="E772" s="64">
        <f t="shared" si="155"/>
        <v>45861</v>
      </c>
      <c r="F772" s="64">
        <f t="shared" si="158"/>
        <v>45882</v>
      </c>
      <c r="G772" s="96" t="s">
        <v>215</v>
      </c>
      <c r="H772" s="102">
        <v>7.0</v>
      </c>
      <c r="I772" s="103">
        <v>15.0</v>
      </c>
      <c r="J772" s="44">
        <f t="shared" si="113"/>
        <v>5</v>
      </c>
      <c r="K772" s="44">
        <f t="shared" si="163"/>
        <v>5</v>
      </c>
      <c r="L772" s="102"/>
      <c r="M772" s="103"/>
      <c r="N772" s="44" t="str">
        <f t="shared" si="111"/>
        <v/>
      </c>
      <c r="O772" s="44" t="str">
        <f t="shared" si="164"/>
        <v/>
      </c>
      <c r="P772" s="112">
        <v>405.0</v>
      </c>
      <c r="Q772" s="71"/>
      <c r="R772" s="71"/>
      <c r="S772" s="31"/>
    </row>
    <row r="773">
      <c r="A773" s="31"/>
      <c r="B773" s="44"/>
      <c r="C773" s="44"/>
      <c r="D773" s="116">
        <v>45854.0</v>
      </c>
      <c r="E773" s="123">
        <f t="shared" si="155"/>
        <v>45861</v>
      </c>
      <c r="F773" s="64">
        <f t="shared" si="158"/>
        <v>45882</v>
      </c>
      <c r="G773" s="96" t="s">
        <v>210</v>
      </c>
      <c r="H773" s="102">
        <v>1.0</v>
      </c>
      <c r="I773" s="103">
        <v>7.0</v>
      </c>
      <c r="J773" s="44">
        <f t="shared" si="113"/>
        <v>4</v>
      </c>
      <c r="K773" s="44">
        <f t="shared" si="163"/>
        <v>4</v>
      </c>
      <c r="L773" s="102"/>
      <c r="M773" s="103"/>
      <c r="N773" s="44" t="str">
        <f t="shared" si="111"/>
        <v/>
      </c>
      <c r="O773" s="44" t="str">
        <f t="shared" si="164"/>
        <v/>
      </c>
      <c r="P773" s="112">
        <v>405.0</v>
      </c>
      <c r="Q773" s="71"/>
      <c r="R773" s="71"/>
      <c r="S773" s="31"/>
    </row>
    <row r="774">
      <c r="A774" s="31"/>
      <c r="B774" s="77"/>
      <c r="C774" s="44"/>
      <c r="D774" s="116">
        <v>45854.0</v>
      </c>
      <c r="E774" s="64">
        <f t="shared" si="155"/>
        <v>45861</v>
      </c>
      <c r="F774" s="64">
        <f t="shared" si="158"/>
        <v>45882</v>
      </c>
      <c r="G774" s="96" t="s">
        <v>295</v>
      </c>
      <c r="H774" s="102">
        <v>1.0</v>
      </c>
      <c r="I774" s="103">
        <v>11.0</v>
      </c>
      <c r="J774" s="44">
        <f t="shared" si="113"/>
        <v>6</v>
      </c>
      <c r="K774" s="44">
        <f t="shared" si="163"/>
        <v>6</v>
      </c>
      <c r="L774" s="102">
        <v>10.0</v>
      </c>
      <c r="M774" s="103">
        <v>18.0</v>
      </c>
      <c r="N774" s="44">
        <f t="shared" si="111"/>
        <v>5</v>
      </c>
      <c r="O774" s="44">
        <f t="shared" si="164"/>
        <v>5</v>
      </c>
      <c r="P774" s="112">
        <v>406.0</v>
      </c>
      <c r="Q774" s="71"/>
      <c r="R774" s="71"/>
      <c r="S774" s="31"/>
    </row>
    <row r="775">
      <c r="A775" s="31"/>
      <c r="B775" s="77"/>
      <c r="C775" s="44"/>
      <c r="D775" s="116">
        <v>45854.0</v>
      </c>
      <c r="E775" s="64">
        <f t="shared" si="155"/>
        <v>45861</v>
      </c>
      <c r="F775" s="64">
        <f t="shared" si="158"/>
        <v>45882</v>
      </c>
      <c r="G775" s="96" t="s">
        <v>296</v>
      </c>
      <c r="H775" s="102">
        <v>1.0</v>
      </c>
      <c r="I775" s="103">
        <v>3.0</v>
      </c>
      <c r="J775" s="44">
        <f t="shared" si="113"/>
        <v>2</v>
      </c>
      <c r="K775" s="44">
        <f t="shared" si="163"/>
        <v>2</v>
      </c>
      <c r="L775" s="102">
        <v>22.0</v>
      </c>
      <c r="M775" s="103">
        <v>24.0</v>
      </c>
      <c r="N775" s="44">
        <f t="shared" si="111"/>
        <v>2</v>
      </c>
      <c r="O775" s="44">
        <f t="shared" si="164"/>
        <v>2</v>
      </c>
      <c r="P775" s="112">
        <v>406.0</v>
      </c>
      <c r="Q775" s="71"/>
      <c r="R775" s="71"/>
      <c r="S775" s="31"/>
    </row>
    <row r="776">
      <c r="A776" s="31"/>
      <c r="B776" s="77"/>
      <c r="C776" s="44"/>
      <c r="D776" s="116">
        <v>45854.0</v>
      </c>
      <c r="E776" s="64">
        <f t="shared" si="155"/>
        <v>45861</v>
      </c>
      <c r="F776" s="64">
        <f t="shared" si="158"/>
        <v>45882</v>
      </c>
      <c r="G776" s="96" t="s">
        <v>10</v>
      </c>
      <c r="H776" s="102">
        <v>59.0</v>
      </c>
      <c r="I776" s="103">
        <v>65.0</v>
      </c>
      <c r="J776" s="44">
        <f t="shared" si="113"/>
        <v>4</v>
      </c>
      <c r="K776" s="44">
        <f t="shared" si="163"/>
        <v>4</v>
      </c>
      <c r="L776" s="102"/>
      <c r="M776" s="103"/>
      <c r="N776" s="44" t="str">
        <f t="shared" si="111"/>
        <v/>
      </c>
      <c r="O776" s="44" t="str">
        <f t="shared" si="164"/>
        <v/>
      </c>
      <c r="P776" s="112">
        <v>406.0</v>
      </c>
      <c r="Q776" s="71"/>
      <c r="R776" s="71"/>
      <c r="S776" s="31"/>
    </row>
    <row r="777">
      <c r="A777" s="31"/>
      <c r="B777" s="77"/>
      <c r="C777" s="44"/>
      <c r="D777" s="116">
        <v>45854.0</v>
      </c>
      <c r="E777" s="64">
        <f t="shared" si="155"/>
        <v>45861</v>
      </c>
      <c r="F777" s="64">
        <f t="shared" si="158"/>
        <v>45882</v>
      </c>
      <c r="G777" s="96" t="s">
        <v>292</v>
      </c>
      <c r="H777" s="102">
        <v>407.0</v>
      </c>
      <c r="I777" s="103">
        <v>407.0</v>
      </c>
      <c r="J777" s="44">
        <f t="shared" si="113"/>
        <v>1</v>
      </c>
      <c r="K777" s="44">
        <f t="shared" si="163"/>
        <v>1</v>
      </c>
      <c r="L777" s="102">
        <v>12.0</v>
      </c>
      <c r="M777" s="103">
        <v>32.0</v>
      </c>
      <c r="N777" s="44">
        <f t="shared" si="111"/>
        <v>11</v>
      </c>
      <c r="O777" s="44">
        <f t="shared" si="164"/>
        <v>11</v>
      </c>
      <c r="P777" s="112">
        <v>407.0</v>
      </c>
      <c r="Q777" s="71"/>
      <c r="R777" s="71"/>
      <c r="S777" s="31"/>
    </row>
    <row r="778">
      <c r="A778" s="31"/>
      <c r="B778" s="77"/>
      <c r="C778" s="44"/>
      <c r="D778" s="116">
        <v>45854.0</v>
      </c>
      <c r="E778" s="64">
        <f t="shared" si="155"/>
        <v>45861</v>
      </c>
      <c r="F778" s="64">
        <f t="shared" si="158"/>
        <v>45882</v>
      </c>
      <c r="G778" s="96" t="s">
        <v>292</v>
      </c>
      <c r="H778" s="102">
        <v>565.0</v>
      </c>
      <c r="I778" s="103">
        <v>565.0</v>
      </c>
      <c r="J778" s="44">
        <f t="shared" si="113"/>
        <v>1</v>
      </c>
      <c r="K778" s="44">
        <f t="shared" si="163"/>
        <v>1</v>
      </c>
      <c r="L778" s="102">
        <v>220.0</v>
      </c>
      <c r="M778" s="103">
        <v>232.0</v>
      </c>
      <c r="N778" s="44">
        <f t="shared" si="111"/>
        <v>7</v>
      </c>
      <c r="O778" s="44">
        <f t="shared" si="164"/>
        <v>7</v>
      </c>
      <c r="P778" s="112">
        <v>407.0</v>
      </c>
      <c r="Q778" s="71"/>
      <c r="R778" s="71"/>
      <c r="S778" s="31"/>
    </row>
    <row r="779">
      <c r="A779" s="31"/>
      <c r="B779" s="77"/>
      <c r="C779" s="44"/>
      <c r="D779" s="116">
        <v>45854.0</v>
      </c>
      <c r="E779" s="64">
        <f t="shared" si="155"/>
        <v>45861</v>
      </c>
      <c r="F779" s="64">
        <f t="shared" si="158"/>
        <v>45882</v>
      </c>
      <c r="G779" s="96" t="s">
        <v>292</v>
      </c>
      <c r="H779" s="102"/>
      <c r="I779" s="103"/>
      <c r="J779" s="44" t="str">
        <f t="shared" si="113"/>
        <v/>
      </c>
      <c r="K779" s="44" t="str">
        <f t="shared" si="163"/>
        <v/>
      </c>
      <c r="L779" s="102">
        <v>386.0</v>
      </c>
      <c r="M779" s="103">
        <v>386.0</v>
      </c>
      <c r="N779" s="44">
        <f t="shared" si="111"/>
        <v>1</v>
      </c>
      <c r="O779" s="44">
        <f t="shared" si="164"/>
        <v>1</v>
      </c>
      <c r="P779" s="112">
        <v>407.0</v>
      </c>
      <c r="Q779" s="71"/>
      <c r="R779" s="71"/>
      <c r="S779" s="31"/>
    </row>
    <row r="780">
      <c r="A780" s="31"/>
      <c r="B780" s="77"/>
      <c r="C780" s="44"/>
      <c r="D780" s="116">
        <v>45854.0</v>
      </c>
      <c r="E780" s="64">
        <f t="shared" si="155"/>
        <v>45861</v>
      </c>
      <c r="F780" s="64">
        <f t="shared" si="158"/>
        <v>45882</v>
      </c>
      <c r="G780" s="96" t="s">
        <v>292</v>
      </c>
      <c r="H780" s="102"/>
      <c r="I780" s="103"/>
      <c r="J780" s="44" t="str">
        <f t="shared" si="113"/>
        <v/>
      </c>
      <c r="K780" s="44" t="str">
        <f t="shared" si="163"/>
        <v/>
      </c>
      <c r="L780" s="102">
        <v>558.0</v>
      </c>
      <c r="M780" s="103">
        <v>564.0</v>
      </c>
      <c r="N780" s="44">
        <f t="shared" si="111"/>
        <v>4</v>
      </c>
      <c r="O780" s="44">
        <f t="shared" si="164"/>
        <v>4</v>
      </c>
      <c r="P780" s="112">
        <v>407.0</v>
      </c>
      <c r="Q780" s="71"/>
      <c r="R780" s="71"/>
      <c r="S780" s="31"/>
    </row>
    <row r="781">
      <c r="A781" s="31"/>
      <c r="B781" s="77"/>
      <c r="C781" s="44"/>
      <c r="D781" s="116">
        <v>45854.0</v>
      </c>
      <c r="E781" s="64">
        <f t="shared" si="155"/>
        <v>45861</v>
      </c>
      <c r="F781" s="64">
        <f t="shared" si="158"/>
        <v>45882</v>
      </c>
      <c r="G781" s="96" t="s">
        <v>293</v>
      </c>
      <c r="H781" s="102"/>
      <c r="I781" s="103"/>
      <c r="J781" s="44" t="str">
        <f t="shared" si="113"/>
        <v/>
      </c>
      <c r="K781" s="44" t="str">
        <f t="shared" si="163"/>
        <v/>
      </c>
      <c r="L781" s="102">
        <v>2.0</v>
      </c>
      <c r="M781" s="103">
        <v>8.0</v>
      </c>
      <c r="N781" s="44">
        <f t="shared" si="111"/>
        <v>4</v>
      </c>
      <c r="O781" s="44">
        <f t="shared" si="164"/>
        <v>4</v>
      </c>
      <c r="P781" s="112">
        <v>407.0</v>
      </c>
      <c r="Q781" s="71"/>
      <c r="R781" s="71"/>
      <c r="S781" s="31"/>
    </row>
    <row r="782">
      <c r="A782" s="31"/>
      <c r="B782" s="77"/>
      <c r="C782" s="44"/>
      <c r="D782" s="116">
        <v>45854.0</v>
      </c>
      <c r="E782" s="64">
        <f t="shared" si="155"/>
        <v>45861</v>
      </c>
      <c r="F782" s="64">
        <f t="shared" si="158"/>
        <v>45882</v>
      </c>
      <c r="G782" s="96" t="s">
        <v>8</v>
      </c>
      <c r="H782" s="102">
        <v>225.0</v>
      </c>
      <c r="I782" s="103">
        <v>225.0</v>
      </c>
      <c r="J782" s="44">
        <f t="shared" si="113"/>
        <v>1</v>
      </c>
      <c r="K782" s="44">
        <f t="shared" si="163"/>
        <v>1</v>
      </c>
      <c r="L782" s="102">
        <v>6.0</v>
      </c>
      <c r="M782" s="103">
        <v>10.0</v>
      </c>
      <c r="N782" s="44">
        <f t="shared" si="111"/>
        <v>3</v>
      </c>
      <c r="O782" s="44">
        <f t="shared" si="164"/>
        <v>3</v>
      </c>
      <c r="P782" s="112">
        <v>407.0</v>
      </c>
      <c r="Q782" s="71"/>
      <c r="R782" s="71"/>
      <c r="S782" s="31"/>
    </row>
    <row r="783">
      <c r="A783" s="31"/>
      <c r="B783" s="77"/>
      <c r="C783" s="44"/>
      <c r="D783" s="116">
        <v>45854.0</v>
      </c>
      <c r="E783" s="64">
        <f t="shared" si="155"/>
        <v>45861</v>
      </c>
      <c r="F783" s="64">
        <f t="shared" si="158"/>
        <v>45882</v>
      </c>
      <c r="G783" s="96" t="s">
        <v>68</v>
      </c>
      <c r="H783" s="102">
        <v>1.0</v>
      </c>
      <c r="I783" s="103">
        <v>1.0</v>
      </c>
      <c r="J783" s="44">
        <f t="shared" si="113"/>
        <v>1</v>
      </c>
      <c r="K783" s="44">
        <f t="shared" si="163"/>
        <v>1</v>
      </c>
      <c r="L783" s="102"/>
      <c r="M783" s="103"/>
      <c r="N783" s="44" t="str">
        <f t="shared" si="111"/>
        <v/>
      </c>
      <c r="O783" s="44" t="str">
        <f t="shared" si="164"/>
        <v/>
      </c>
      <c r="P783" s="112">
        <v>407.0</v>
      </c>
      <c r="Q783" s="71"/>
      <c r="R783" s="71"/>
      <c r="S783" s="31"/>
    </row>
    <row r="784">
      <c r="A784" s="31"/>
      <c r="B784" s="77"/>
      <c r="C784" s="44"/>
      <c r="D784" s="116">
        <v>45854.0</v>
      </c>
      <c r="E784" s="64">
        <f t="shared" si="155"/>
        <v>45861</v>
      </c>
      <c r="F784" s="64">
        <f t="shared" si="158"/>
        <v>45882</v>
      </c>
      <c r="G784" s="96" t="s">
        <v>76</v>
      </c>
      <c r="H784" s="102"/>
      <c r="I784" s="103"/>
      <c r="J784" s="44" t="str">
        <f t="shared" si="113"/>
        <v/>
      </c>
      <c r="K784" s="44" t="str">
        <f t="shared" si="163"/>
        <v/>
      </c>
      <c r="L784" s="102">
        <v>6.0</v>
      </c>
      <c r="M784" s="103">
        <v>8.0</v>
      </c>
      <c r="N784" s="44">
        <f t="shared" si="111"/>
        <v>2</v>
      </c>
      <c r="O784" s="44">
        <f t="shared" si="164"/>
        <v>2</v>
      </c>
      <c r="P784" s="112">
        <v>407.0</v>
      </c>
      <c r="Q784" s="71"/>
      <c r="R784" s="71"/>
      <c r="S784" s="31"/>
    </row>
    <row r="785">
      <c r="A785" s="31"/>
      <c r="B785" s="77"/>
      <c r="C785" s="44"/>
      <c r="D785" s="116">
        <v>45855.0</v>
      </c>
      <c r="E785" s="64">
        <f t="shared" si="155"/>
        <v>45862</v>
      </c>
      <c r="F785" s="64">
        <f t="shared" si="158"/>
        <v>45883</v>
      </c>
      <c r="G785" s="96" t="s">
        <v>294</v>
      </c>
      <c r="H785" s="102"/>
      <c r="I785" s="103"/>
      <c r="J785" s="44" t="str">
        <f t="shared" si="113"/>
        <v/>
      </c>
      <c r="K785" s="44" t="str">
        <f t="shared" si="163"/>
        <v/>
      </c>
      <c r="L785" s="102">
        <v>120.0</v>
      </c>
      <c r="M785" s="103">
        <v>308.0</v>
      </c>
      <c r="N785" s="44">
        <f t="shared" si="111"/>
        <v>95</v>
      </c>
      <c r="O785" s="44">
        <f t="shared" si="164"/>
        <v>95</v>
      </c>
      <c r="P785" s="112">
        <v>408.0</v>
      </c>
      <c r="Q785" s="71"/>
      <c r="R785" s="71"/>
      <c r="S785" s="31"/>
    </row>
    <row r="786">
      <c r="A786" s="31"/>
      <c r="B786" s="77"/>
      <c r="C786" s="44"/>
      <c r="D786" s="116">
        <v>45855.0</v>
      </c>
      <c r="E786" s="64">
        <f t="shared" si="155"/>
        <v>45862</v>
      </c>
      <c r="F786" s="64">
        <f t="shared" si="158"/>
        <v>45883</v>
      </c>
      <c r="G786" s="96" t="s">
        <v>210</v>
      </c>
      <c r="H786" s="102"/>
      <c r="I786" s="103"/>
      <c r="J786" s="44" t="str">
        <f t="shared" si="113"/>
        <v/>
      </c>
      <c r="K786" s="44" t="str">
        <f t="shared" si="163"/>
        <v/>
      </c>
      <c r="L786" s="102">
        <v>2.0</v>
      </c>
      <c r="M786" s="103">
        <v>6.0</v>
      </c>
      <c r="N786" s="44">
        <f t="shared" si="111"/>
        <v>3</v>
      </c>
      <c r="O786" s="44">
        <f t="shared" si="164"/>
        <v>3</v>
      </c>
      <c r="P786" s="112">
        <v>408.0</v>
      </c>
      <c r="Q786" s="71"/>
      <c r="R786" s="71"/>
      <c r="S786" s="31"/>
    </row>
    <row r="787">
      <c r="A787" s="31"/>
      <c r="B787" s="77"/>
      <c r="C787" s="44"/>
      <c r="D787" s="116">
        <v>45855.0</v>
      </c>
      <c r="E787" s="64">
        <f t="shared" si="155"/>
        <v>45862</v>
      </c>
      <c r="F787" s="64">
        <f t="shared" si="158"/>
        <v>45883</v>
      </c>
      <c r="G787" s="96" t="s">
        <v>215</v>
      </c>
      <c r="H787" s="68"/>
      <c r="I787" s="69"/>
      <c r="J787" s="44" t="str">
        <f t="shared" si="113"/>
        <v/>
      </c>
      <c r="K787" s="44" t="str">
        <f t="shared" si="163"/>
        <v/>
      </c>
      <c r="L787" s="102">
        <v>2.0</v>
      </c>
      <c r="M787" s="103">
        <v>14.0</v>
      </c>
      <c r="N787" s="44">
        <f t="shared" si="111"/>
        <v>7</v>
      </c>
      <c r="O787" s="44">
        <f t="shared" si="164"/>
        <v>7</v>
      </c>
      <c r="P787" s="112">
        <v>408.0</v>
      </c>
      <c r="Q787" s="71"/>
      <c r="R787" s="71"/>
      <c r="S787" s="31"/>
    </row>
    <row r="788">
      <c r="A788" s="31"/>
      <c r="B788" s="77"/>
      <c r="C788" s="44"/>
      <c r="D788" s="116">
        <v>45855.0</v>
      </c>
      <c r="E788" s="64">
        <f t="shared" si="155"/>
        <v>45862</v>
      </c>
      <c r="F788" s="64">
        <f t="shared" si="158"/>
        <v>45883</v>
      </c>
      <c r="G788" s="96" t="s">
        <v>296</v>
      </c>
      <c r="H788" s="102">
        <v>232.0</v>
      </c>
      <c r="I788" s="103">
        <v>232.0</v>
      </c>
      <c r="J788" s="44">
        <f t="shared" si="113"/>
        <v>1</v>
      </c>
      <c r="K788" s="44">
        <f t="shared" si="163"/>
        <v>1</v>
      </c>
      <c r="L788" s="102">
        <v>66.0</v>
      </c>
      <c r="M788" s="103">
        <v>66.0</v>
      </c>
      <c r="N788" s="44">
        <f t="shared" si="111"/>
        <v>1</v>
      </c>
      <c r="O788" s="44">
        <f t="shared" si="164"/>
        <v>1</v>
      </c>
      <c r="P788" s="112">
        <v>409.0</v>
      </c>
      <c r="Q788" s="71"/>
      <c r="R788" s="71"/>
      <c r="S788" s="31"/>
    </row>
    <row r="789">
      <c r="A789" s="31"/>
      <c r="B789" s="77"/>
      <c r="C789" s="44"/>
      <c r="D789" s="116">
        <v>45855.0</v>
      </c>
      <c r="E789" s="64">
        <f t="shared" si="155"/>
        <v>45862</v>
      </c>
      <c r="F789" s="64">
        <f t="shared" si="158"/>
        <v>45883</v>
      </c>
      <c r="G789" s="96" t="s">
        <v>296</v>
      </c>
      <c r="H789" s="102">
        <v>413.0</v>
      </c>
      <c r="I789" s="103">
        <v>413.0</v>
      </c>
      <c r="J789" s="44">
        <f t="shared" si="113"/>
        <v>1</v>
      </c>
      <c r="K789" s="44">
        <f t="shared" si="163"/>
        <v>1</v>
      </c>
      <c r="L789" s="102">
        <v>406.0</v>
      </c>
      <c r="M789" s="103">
        <v>412.0</v>
      </c>
      <c r="N789" s="44">
        <f t="shared" si="111"/>
        <v>4</v>
      </c>
      <c r="O789" s="44">
        <f t="shared" si="164"/>
        <v>4</v>
      </c>
      <c r="P789" s="112">
        <v>409.0</v>
      </c>
      <c r="Q789" s="71"/>
      <c r="R789" s="71"/>
      <c r="S789" s="31"/>
    </row>
    <row r="790">
      <c r="A790" s="31"/>
      <c r="B790" s="77"/>
      <c r="C790" s="44"/>
      <c r="D790" s="116">
        <v>45855.0</v>
      </c>
      <c r="E790" s="64">
        <f t="shared" si="155"/>
        <v>45862</v>
      </c>
      <c r="F790" s="64">
        <f t="shared" si="158"/>
        <v>45883</v>
      </c>
      <c r="G790" s="96" t="s">
        <v>296</v>
      </c>
      <c r="H790" s="102">
        <v>571.0</v>
      </c>
      <c r="I790" s="103">
        <v>571.0</v>
      </c>
      <c r="J790" s="44">
        <f t="shared" si="113"/>
        <v>1</v>
      </c>
      <c r="K790" s="44">
        <f t="shared" si="163"/>
        <v>1</v>
      </c>
      <c r="L790" s="102">
        <v>402.0</v>
      </c>
      <c r="M790" s="103">
        <v>406.0</v>
      </c>
      <c r="N790" s="44">
        <f t="shared" si="111"/>
        <v>3</v>
      </c>
      <c r="O790" s="44">
        <f t="shared" si="164"/>
        <v>3</v>
      </c>
      <c r="P790" s="112">
        <v>409.0</v>
      </c>
      <c r="Q790" s="71"/>
      <c r="R790" s="71"/>
      <c r="S790" s="31"/>
    </row>
    <row r="791">
      <c r="A791" s="31"/>
      <c r="B791" s="77"/>
      <c r="C791" s="44"/>
      <c r="D791" s="116">
        <v>45855.0</v>
      </c>
      <c r="E791" s="64">
        <f t="shared" si="155"/>
        <v>45862</v>
      </c>
      <c r="F791" s="64">
        <f t="shared" si="158"/>
        <v>45883</v>
      </c>
      <c r="G791" s="96" t="s">
        <v>296</v>
      </c>
      <c r="H791" s="102">
        <v>741.0</v>
      </c>
      <c r="I791" s="103">
        <v>749.0</v>
      </c>
      <c r="J791" s="44">
        <f t="shared" si="113"/>
        <v>5</v>
      </c>
      <c r="K791" s="44">
        <f t="shared" si="163"/>
        <v>5</v>
      </c>
      <c r="L791" s="102">
        <v>572.0</v>
      </c>
      <c r="M791" s="103">
        <v>572.0</v>
      </c>
      <c r="N791" s="44">
        <f t="shared" si="111"/>
        <v>1</v>
      </c>
      <c r="O791" s="44">
        <f t="shared" si="164"/>
        <v>1</v>
      </c>
      <c r="P791" s="112">
        <v>409.0</v>
      </c>
      <c r="Q791" s="71"/>
      <c r="R791" s="71"/>
      <c r="S791" s="31"/>
    </row>
    <row r="792">
      <c r="A792" s="31"/>
      <c r="B792" s="77"/>
      <c r="C792" s="44"/>
      <c r="D792" s="116">
        <v>45855.0</v>
      </c>
      <c r="E792" s="64">
        <f t="shared" si="155"/>
        <v>45862</v>
      </c>
      <c r="F792" s="64">
        <f t="shared" si="158"/>
        <v>45883</v>
      </c>
      <c r="G792" s="96" t="s">
        <v>296</v>
      </c>
      <c r="H792" s="102"/>
      <c r="I792" s="103"/>
      <c r="J792" s="44" t="str">
        <f t="shared" si="113"/>
        <v/>
      </c>
      <c r="K792" s="44" t="str">
        <f t="shared" si="163"/>
        <v/>
      </c>
      <c r="L792" s="102">
        <v>750.0</v>
      </c>
      <c r="M792" s="103">
        <v>750.0</v>
      </c>
      <c r="N792" s="44">
        <f t="shared" si="111"/>
        <v>1</v>
      </c>
      <c r="O792" s="44">
        <f t="shared" si="164"/>
        <v>1</v>
      </c>
      <c r="P792" s="112">
        <v>409.0</v>
      </c>
      <c r="Q792" s="71"/>
      <c r="R792" s="71"/>
      <c r="S792" s="31"/>
    </row>
    <row r="793">
      <c r="A793" s="31"/>
      <c r="B793" s="77"/>
      <c r="C793" s="44"/>
      <c r="D793" s="116">
        <v>45855.0</v>
      </c>
      <c r="E793" s="64">
        <f t="shared" si="155"/>
        <v>45862</v>
      </c>
      <c r="F793" s="64">
        <f t="shared" si="158"/>
        <v>45883</v>
      </c>
      <c r="G793" s="96" t="s">
        <v>295</v>
      </c>
      <c r="H793" s="102">
        <v>11.0</v>
      </c>
      <c r="I793" s="103">
        <v>19.0</v>
      </c>
      <c r="J793" s="44">
        <f t="shared" si="113"/>
        <v>5</v>
      </c>
      <c r="K793" s="44">
        <f t="shared" si="163"/>
        <v>5</v>
      </c>
      <c r="L793" s="102">
        <v>20.0</v>
      </c>
      <c r="M793" s="103">
        <v>20.0</v>
      </c>
      <c r="N793" s="44">
        <f t="shared" si="111"/>
        <v>1</v>
      </c>
      <c r="O793" s="44">
        <f t="shared" si="164"/>
        <v>1</v>
      </c>
      <c r="P793" s="112">
        <v>409.0</v>
      </c>
      <c r="Q793" s="71"/>
      <c r="R793" s="71"/>
      <c r="S793" s="31"/>
    </row>
    <row r="794">
      <c r="A794" s="31"/>
      <c r="B794" s="77"/>
      <c r="C794" s="44"/>
      <c r="D794" s="116">
        <v>45855.0</v>
      </c>
      <c r="E794" s="64">
        <f t="shared" si="155"/>
        <v>45862</v>
      </c>
      <c r="F794" s="64">
        <f t="shared" si="158"/>
        <v>45883</v>
      </c>
      <c r="G794" s="96" t="s">
        <v>295</v>
      </c>
      <c r="H794" s="102">
        <v>21.0</v>
      </c>
      <c r="I794" s="103">
        <v>23.0</v>
      </c>
      <c r="J794" s="44">
        <f t="shared" si="113"/>
        <v>2</v>
      </c>
      <c r="K794" s="44">
        <f t="shared" si="163"/>
        <v>2</v>
      </c>
      <c r="L794" s="102"/>
      <c r="M794" s="103"/>
      <c r="N794" s="44" t="str">
        <f t="shared" si="111"/>
        <v/>
      </c>
      <c r="O794" s="44" t="str">
        <f t="shared" si="164"/>
        <v/>
      </c>
      <c r="P794" s="112">
        <v>409.0</v>
      </c>
      <c r="Q794" s="71"/>
      <c r="R794" s="71"/>
      <c r="S794" s="31"/>
    </row>
    <row r="795">
      <c r="A795" s="31"/>
      <c r="B795" s="77"/>
      <c r="C795" s="44"/>
      <c r="D795" s="116">
        <v>45857.0</v>
      </c>
      <c r="E795" s="64">
        <f t="shared" si="155"/>
        <v>45864</v>
      </c>
      <c r="F795" s="64">
        <f t="shared" si="158"/>
        <v>45885</v>
      </c>
      <c r="G795" s="96" t="s">
        <v>8</v>
      </c>
      <c r="H795" s="102">
        <v>231.0</v>
      </c>
      <c r="I795" s="103">
        <v>231.0</v>
      </c>
      <c r="J795" s="44">
        <f t="shared" si="113"/>
        <v>1</v>
      </c>
      <c r="K795" s="44">
        <f t="shared" si="163"/>
        <v>1</v>
      </c>
      <c r="L795" s="102"/>
      <c r="M795" s="103"/>
      <c r="N795" s="44" t="str">
        <f t="shared" si="111"/>
        <v/>
      </c>
      <c r="O795" s="44" t="str">
        <f t="shared" si="164"/>
        <v/>
      </c>
      <c r="P795" s="112">
        <v>410.0</v>
      </c>
      <c r="Q795" s="71"/>
      <c r="R795" s="71"/>
      <c r="S795" s="31"/>
    </row>
    <row r="796">
      <c r="A796" s="31"/>
      <c r="B796" s="77"/>
      <c r="C796" s="44"/>
      <c r="D796" s="116">
        <v>45857.0</v>
      </c>
      <c r="E796" s="64">
        <f t="shared" si="155"/>
        <v>45864</v>
      </c>
      <c r="F796" s="64">
        <f t="shared" si="158"/>
        <v>45885</v>
      </c>
      <c r="G796" s="96" t="s">
        <v>8</v>
      </c>
      <c r="H796" s="102">
        <v>231.0</v>
      </c>
      <c r="I796" s="103">
        <v>233.0</v>
      </c>
      <c r="J796" s="44">
        <f t="shared" si="113"/>
        <v>2</v>
      </c>
      <c r="K796" s="44">
        <f t="shared" si="163"/>
        <v>2</v>
      </c>
      <c r="L796" s="68"/>
      <c r="M796" s="69"/>
      <c r="N796" s="44" t="str">
        <f t="shared" si="111"/>
        <v/>
      </c>
      <c r="O796" s="44" t="str">
        <f t="shared" si="164"/>
        <v/>
      </c>
      <c r="P796" s="112">
        <v>410.0</v>
      </c>
      <c r="Q796" s="71"/>
      <c r="R796" s="71"/>
      <c r="S796" s="31"/>
    </row>
    <row r="797">
      <c r="A797" s="31"/>
      <c r="B797" s="77"/>
      <c r="C797" s="44"/>
      <c r="D797" s="116">
        <v>45857.0</v>
      </c>
      <c r="E797" s="64">
        <f t="shared" si="155"/>
        <v>45864</v>
      </c>
      <c r="F797" s="64">
        <f t="shared" si="158"/>
        <v>45885</v>
      </c>
      <c r="G797" s="96" t="s">
        <v>292</v>
      </c>
      <c r="H797" s="102">
        <v>3.0</v>
      </c>
      <c r="I797" s="103">
        <v>9.0</v>
      </c>
      <c r="J797" s="44">
        <f t="shared" si="113"/>
        <v>4</v>
      </c>
      <c r="K797" s="44">
        <f t="shared" si="163"/>
        <v>4</v>
      </c>
      <c r="L797" s="68"/>
      <c r="M797" s="69"/>
      <c r="N797" s="44" t="str">
        <f t="shared" si="111"/>
        <v/>
      </c>
      <c r="O797" s="44" t="str">
        <f t="shared" si="164"/>
        <v/>
      </c>
      <c r="P797" s="112">
        <v>410.0</v>
      </c>
      <c r="Q797" s="71"/>
      <c r="R797" s="71"/>
      <c r="S797" s="31"/>
    </row>
    <row r="798">
      <c r="A798" s="31"/>
      <c r="B798" s="77"/>
      <c r="C798" s="44"/>
      <c r="D798" s="116">
        <v>45857.0</v>
      </c>
      <c r="E798" s="64">
        <f t="shared" si="155"/>
        <v>45864</v>
      </c>
      <c r="F798" s="64">
        <f t="shared" si="158"/>
        <v>45885</v>
      </c>
      <c r="G798" s="96" t="s">
        <v>126</v>
      </c>
      <c r="H798" s="68"/>
      <c r="I798" s="69"/>
      <c r="J798" s="44" t="str">
        <f t="shared" si="113"/>
        <v/>
      </c>
      <c r="K798" s="44" t="str">
        <f t="shared" si="163"/>
        <v/>
      </c>
      <c r="L798" s="102">
        <v>2.0</v>
      </c>
      <c r="M798" s="103">
        <v>6.0</v>
      </c>
      <c r="N798" s="44">
        <f t="shared" si="111"/>
        <v>3</v>
      </c>
      <c r="O798" s="44">
        <f t="shared" si="164"/>
        <v>3</v>
      </c>
      <c r="P798" s="112">
        <v>410.0</v>
      </c>
      <c r="Q798" s="71"/>
      <c r="R798" s="71"/>
      <c r="S798" s="31"/>
    </row>
    <row r="799">
      <c r="A799" s="31"/>
      <c r="B799" s="77"/>
      <c r="C799" s="44"/>
      <c r="D799" s="116">
        <v>45857.0</v>
      </c>
      <c r="E799" s="64">
        <f t="shared" si="155"/>
        <v>45864</v>
      </c>
      <c r="F799" s="64">
        <f t="shared" si="158"/>
        <v>45885</v>
      </c>
      <c r="G799" s="96" t="s">
        <v>64</v>
      </c>
      <c r="H799" s="102">
        <v>1.0</v>
      </c>
      <c r="I799" s="103">
        <v>1.0</v>
      </c>
      <c r="J799" s="44">
        <f t="shared" si="113"/>
        <v>1</v>
      </c>
      <c r="K799" s="44">
        <f t="shared" si="163"/>
        <v>1</v>
      </c>
      <c r="L799" s="68"/>
      <c r="M799" s="69"/>
      <c r="N799" s="44" t="str">
        <f t="shared" si="111"/>
        <v/>
      </c>
      <c r="O799" s="44" t="str">
        <f t="shared" si="164"/>
        <v/>
      </c>
      <c r="P799" s="112">
        <v>410.0</v>
      </c>
      <c r="Q799" s="71"/>
      <c r="R799" s="71"/>
      <c r="S799" s="31"/>
    </row>
    <row r="800">
      <c r="A800" s="31"/>
      <c r="B800" s="77"/>
      <c r="C800" s="44"/>
      <c r="D800" s="116">
        <v>45858.0</v>
      </c>
      <c r="E800" s="64">
        <f t="shared" si="155"/>
        <v>45865</v>
      </c>
      <c r="F800" s="64">
        <f t="shared" si="158"/>
        <v>45886</v>
      </c>
      <c r="G800" s="96" t="s">
        <v>14</v>
      </c>
      <c r="H800" s="102">
        <v>5.0</v>
      </c>
      <c r="I800" s="103">
        <v>7.0</v>
      </c>
      <c r="J800" s="44">
        <f t="shared" si="113"/>
        <v>2</v>
      </c>
      <c r="K800" s="44">
        <f t="shared" si="163"/>
        <v>2</v>
      </c>
      <c r="L800" s="102">
        <v>6.0</v>
      </c>
      <c r="M800" s="103">
        <v>6.0</v>
      </c>
      <c r="N800" s="44">
        <f t="shared" si="111"/>
        <v>1</v>
      </c>
      <c r="O800" s="44">
        <f t="shared" si="164"/>
        <v>1</v>
      </c>
      <c r="P800" s="112">
        <v>411.0</v>
      </c>
      <c r="Q800" s="71"/>
      <c r="R800" s="71"/>
      <c r="S800" s="31"/>
    </row>
    <row r="801">
      <c r="A801" s="31"/>
      <c r="B801" s="77"/>
      <c r="C801" s="44"/>
      <c r="D801" s="116">
        <v>45858.0</v>
      </c>
      <c r="E801" s="64">
        <f t="shared" si="155"/>
        <v>45865</v>
      </c>
      <c r="F801" s="64">
        <f t="shared" si="158"/>
        <v>45886</v>
      </c>
      <c r="G801" s="96" t="s">
        <v>14</v>
      </c>
      <c r="H801" s="102">
        <v>377.0</v>
      </c>
      <c r="I801" s="103">
        <v>379.0</v>
      </c>
      <c r="J801" s="44">
        <f t="shared" si="113"/>
        <v>2</v>
      </c>
      <c r="K801" s="44">
        <f t="shared" si="163"/>
        <v>2</v>
      </c>
      <c r="L801" s="68">
        <v>378.0</v>
      </c>
      <c r="M801" s="103">
        <v>380.0</v>
      </c>
      <c r="N801" s="44">
        <f t="shared" si="111"/>
        <v>2</v>
      </c>
      <c r="O801" s="44">
        <f t="shared" si="164"/>
        <v>2</v>
      </c>
      <c r="P801" s="78">
        <v>411.0</v>
      </c>
      <c r="Q801" s="71"/>
      <c r="R801" s="71"/>
      <c r="S801" s="31"/>
    </row>
    <row r="802">
      <c r="A802" s="31"/>
      <c r="B802" s="77"/>
      <c r="C802" s="44"/>
      <c r="D802" s="116">
        <v>45858.0</v>
      </c>
      <c r="E802" s="64">
        <f t="shared" si="155"/>
        <v>45865</v>
      </c>
      <c r="F802" s="64">
        <f t="shared" si="158"/>
        <v>45886</v>
      </c>
      <c r="G802" s="96" t="s">
        <v>9</v>
      </c>
      <c r="H802" s="102">
        <v>7.0</v>
      </c>
      <c r="I802" s="103">
        <v>11.0</v>
      </c>
      <c r="J802" s="44">
        <f t="shared" si="113"/>
        <v>3</v>
      </c>
      <c r="K802" s="44">
        <f t="shared" si="163"/>
        <v>3</v>
      </c>
      <c r="L802" s="102">
        <v>8.0</v>
      </c>
      <c r="M802" s="103">
        <v>10.0</v>
      </c>
      <c r="N802" s="44">
        <f t="shared" si="111"/>
        <v>2</v>
      </c>
      <c r="O802" s="44">
        <f t="shared" si="164"/>
        <v>2</v>
      </c>
      <c r="P802" s="112">
        <v>411.0</v>
      </c>
      <c r="Q802" s="71"/>
      <c r="R802" s="71"/>
      <c r="S802" s="31"/>
    </row>
    <row r="803">
      <c r="A803" s="31"/>
      <c r="B803" s="77"/>
      <c r="C803" s="44"/>
      <c r="D803" s="116">
        <v>45858.0</v>
      </c>
      <c r="E803" s="64">
        <f t="shared" si="155"/>
        <v>45865</v>
      </c>
      <c r="F803" s="64">
        <f t="shared" si="158"/>
        <v>45886</v>
      </c>
      <c r="G803" s="96" t="s">
        <v>97</v>
      </c>
      <c r="H803" s="102"/>
      <c r="I803" s="69"/>
      <c r="J803" s="44" t="str">
        <f t="shared" si="113"/>
        <v/>
      </c>
      <c r="K803" s="44" t="str">
        <f t="shared" si="163"/>
        <v/>
      </c>
      <c r="L803" s="102">
        <v>6.0</v>
      </c>
      <c r="M803" s="103">
        <v>6.0</v>
      </c>
      <c r="N803" s="44">
        <f t="shared" si="111"/>
        <v>1</v>
      </c>
      <c r="O803" s="44">
        <f t="shared" si="164"/>
        <v>1</v>
      </c>
      <c r="P803" s="112">
        <v>411.0</v>
      </c>
      <c r="Q803" s="71"/>
      <c r="R803" s="71"/>
      <c r="S803" s="31"/>
    </row>
    <row r="804">
      <c r="A804" s="31"/>
      <c r="B804" s="77"/>
      <c r="C804" s="44"/>
      <c r="D804" s="116">
        <v>45858.0</v>
      </c>
      <c r="E804" s="64">
        <f t="shared" si="155"/>
        <v>45865</v>
      </c>
      <c r="F804" s="64">
        <f t="shared" si="158"/>
        <v>45886</v>
      </c>
      <c r="G804" s="96" t="s">
        <v>97</v>
      </c>
      <c r="H804" s="68"/>
      <c r="I804" s="69"/>
      <c r="J804" s="44" t="str">
        <f t="shared" si="113"/>
        <v/>
      </c>
      <c r="K804" s="44" t="str">
        <f t="shared" si="163"/>
        <v/>
      </c>
      <c r="L804" s="102">
        <v>282.0</v>
      </c>
      <c r="M804" s="103">
        <v>282.0</v>
      </c>
      <c r="N804" s="44">
        <f t="shared" si="111"/>
        <v>1</v>
      </c>
      <c r="O804" s="44">
        <f t="shared" si="164"/>
        <v>1</v>
      </c>
      <c r="P804" s="112">
        <v>411.0</v>
      </c>
      <c r="Q804" s="71"/>
      <c r="R804" s="71"/>
      <c r="S804" s="31"/>
    </row>
    <row r="805">
      <c r="A805" s="31"/>
      <c r="B805" s="77"/>
      <c r="C805" s="44"/>
      <c r="D805" s="116">
        <v>45858.0</v>
      </c>
      <c r="E805" s="64">
        <f t="shared" si="155"/>
        <v>45865</v>
      </c>
      <c r="F805" s="64">
        <f t="shared" si="158"/>
        <v>45886</v>
      </c>
      <c r="G805" s="96" t="s">
        <v>97</v>
      </c>
      <c r="H805" s="68"/>
      <c r="I805" s="69"/>
      <c r="J805" s="44" t="str">
        <f t="shared" si="113"/>
        <v/>
      </c>
      <c r="K805" s="44" t="str">
        <f t="shared" si="163"/>
        <v/>
      </c>
      <c r="L805" s="102">
        <v>283.0</v>
      </c>
      <c r="M805" s="103">
        <v>283.0</v>
      </c>
      <c r="N805" s="44">
        <f t="shared" si="111"/>
        <v>1</v>
      </c>
      <c r="O805" s="44">
        <f t="shared" si="164"/>
        <v>1</v>
      </c>
      <c r="P805" s="112">
        <v>411.0</v>
      </c>
      <c r="Q805" s="71"/>
      <c r="R805" s="71"/>
      <c r="S805" s="31"/>
    </row>
    <row r="806">
      <c r="A806" s="31"/>
      <c r="B806" s="77"/>
      <c r="C806" s="44"/>
      <c r="D806" s="116">
        <v>45858.0</v>
      </c>
      <c r="E806" s="64">
        <f t="shared" si="155"/>
        <v>45865</v>
      </c>
      <c r="F806" s="64">
        <f t="shared" si="158"/>
        <v>45886</v>
      </c>
      <c r="G806" s="96" t="s">
        <v>97</v>
      </c>
      <c r="H806" s="68"/>
      <c r="I806" s="69"/>
      <c r="J806" s="44" t="str">
        <f t="shared" si="113"/>
        <v/>
      </c>
      <c r="K806" s="44" t="str">
        <f t="shared" si="163"/>
        <v/>
      </c>
      <c r="L806" s="102">
        <v>288.0</v>
      </c>
      <c r="M806" s="103">
        <v>288.0</v>
      </c>
      <c r="N806" s="44">
        <f t="shared" si="111"/>
        <v>1</v>
      </c>
      <c r="O806" s="44">
        <f t="shared" si="164"/>
        <v>1</v>
      </c>
      <c r="P806" s="112">
        <v>411.0</v>
      </c>
      <c r="Q806" s="71"/>
      <c r="R806" s="71"/>
      <c r="S806" s="31"/>
    </row>
    <row r="807">
      <c r="A807" s="31"/>
      <c r="B807" s="77"/>
      <c r="C807" s="44"/>
      <c r="D807" s="116">
        <v>45858.0</v>
      </c>
      <c r="E807" s="64">
        <f t="shared" si="155"/>
        <v>45865</v>
      </c>
      <c r="F807" s="64">
        <f t="shared" si="158"/>
        <v>45886</v>
      </c>
      <c r="G807" s="96" t="s">
        <v>8</v>
      </c>
      <c r="H807" s="102">
        <v>7.0</v>
      </c>
      <c r="I807" s="103">
        <v>7.0</v>
      </c>
      <c r="J807" s="44">
        <f t="shared" si="113"/>
        <v>1</v>
      </c>
      <c r="K807" s="44">
        <f t="shared" si="163"/>
        <v>1</v>
      </c>
      <c r="L807" s="102">
        <v>232.0</v>
      </c>
      <c r="M807" s="103">
        <v>234.0</v>
      </c>
      <c r="N807" s="44">
        <f t="shared" si="111"/>
        <v>2</v>
      </c>
      <c r="O807" s="44">
        <f t="shared" si="164"/>
        <v>2</v>
      </c>
      <c r="P807" s="112">
        <v>412.0</v>
      </c>
      <c r="Q807" s="71"/>
      <c r="R807" s="71"/>
      <c r="S807" s="31"/>
    </row>
    <row r="808">
      <c r="A808" s="31"/>
      <c r="B808" s="77"/>
      <c r="C808" s="44"/>
      <c r="D808" s="116">
        <v>45858.0</v>
      </c>
      <c r="E808" s="64">
        <f t="shared" si="155"/>
        <v>45865</v>
      </c>
      <c r="F808" s="64">
        <f t="shared" si="158"/>
        <v>45886</v>
      </c>
      <c r="G808" s="96" t="s">
        <v>8</v>
      </c>
      <c r="H808" s="102">
        <v>229.0</v>
      </c>
      <c r="I808" s="103">
        <v>229.0</v>
      </c>
      <c r="J808" s="44">
        <f t="shared" si="113"/>
        <v>1</v>
      </c>
      <c r="K808" s="44">
        <f t="shared" si="163"/>
        <v>1</v>
      </c>
      <c r="L808" s="102">
        <v>230.0</v>
      </c>
      <c r="M808" s="103">
        <v>230.0</v>
      </c>
      <c r="N808" s="44">
        <f t="shared" si="111"/>
        <v>1</v>
      </c>
      <c r="O808" s="44">
        <f t="shared" si="164"/>
        <v>1</v>
      </c>
      <c r="P808" s="112">
        <v>412.0</v>
      </c>
      <c r="Q808" s="71"/>
      <c r="R808" s="71"/>
      <c r="S808" s="31"/>
    </row>
    <row r="809">
      <c r="A809" s="31"/>
      <c r="B809" s="77"/>
      <c r="C809" s="44"/>
      <c r="D809" s="116">
        <v>45858.0</v>
      </c>
      <c r="E809" s="64">
        <f t="shared" si="155"/>
        <v>45865</v>
      </c>
      <c r="F809" s="64">
        <f t="shared" si="158"/>
        <v>45886</v>
      </c>
      <c r="G809" s="96" t="s">
        <v>83</v>
      </c>
      <c r="H809" s="68"/>
      <c r="I809" s="69"/>
      <c r="J809" s="44" t="str">
        <f t="shared" si="113"/>
        <v/>
      </c>
      <c r="K809" s="44" t="str">
        <f t="shared" si="163"/>
        <v/>
      </c>
      <c r="L809" s="102">
        <v>2.0</v>
      </c>
      <c r="M809" s="103">
        <v>4.0</v>
      </c>
      <c r="N809" s="44">
        <f t="shared" si="111"/>
        <v>2</v>
      </c>
      <c r="O809" s="44">
        <f t="shared" si="164"/>
        <v>2</v>
      </c>
      <c r="P809" s="112">
        <v>412.0</v>
      </c>
      <c r="Q809" s="71"/>
      <c r="R809" s="71"/>
      <c r="S809" s="31"/>
    </row>
    <row r="810">
      <c r="A810" s="31"/>
      <c r="B810" s="77"/>
      <c r="C810" s="44"/>
      <c r="D810" s="116">
        <v>45858.0</v>
      </c>
      <c r="E810" s="64">
        <f t="shared" si="155"/>
        <v>45865</v>
      </c>
      <c r="F810" s="64">
        <f t="shared" si="158"/>
        <v>45886</v>
      </c>
      <c r="G810" s="96" t="s">
        <v>76</v>
      </c>
      <c r="H810" s="102">
        <v>5.0</v>
      </c>
      <c r="I810" s="103">
        <v>7.0</v>
      </c>
      <c r="J810" s="44">
        <f t="shared" si="113"/>
        <v>2</v>
      </c>
      <c r="K810" s="44">
        <f t="shared" si="163"/>
        <v>2</v>
      </c>
      <c r="L810" s="68"/>
      <c r="M810" s="69"/>
      <c r="N810" s="44" t="str">
        <f t="shared" si="111"/>
        <v/>
      </c>
      <c r="O810" s="44" t="str">
        <f t="shared" si="164"/>
        <v/>
      </c>
      <c r="P810" s="112">
        <v>412.0</v>
      </c>
      <c r="Q810" s="71"/>
      <c r="R810" s="71"/>
      <c r="S810" s="31"/>
    </row>
    <row r="811">
      <c r="A811" s="31"/>
      <c r="B811" s="77"/>
      <c r="C811" s="44"/>
      <c r="D811" s="116">
        <v>45858.0</v>
      </c>
      <c r="E811" s="64">
        <f t="shared" si="155"/>
        <v>45865</v>
      </c>
      <c r="F811" s="64">
        <f t="shared" si="158"/>
        <v>45886</v>
      </c>
      <c r="G811" s="96" t="s">
        <v>89</v>
      </c>
      <c r="H811" s="102">
        <v>1.0</v>
      </c>
      <c r="I811" s="103">
        <v>1.0</v>
      </c>
      <c r="J811" s="44">
        <f t="shared" si="113"/>
        <v>1</v>
      </c>
      <c r="K811" s="44">
        <f t="shared" si="163"/>
        <v>1</v>
      </c>
      <c r="L811" s="68"/>
      <c r="M811" s="69"/>
      <c r="N811" s="44" t="str">
        <f t="shared" si="111"/>
        <v/>
      </c>
      <c r="O811" s="44" t="str">
        <f t="shared" si="164"/>
        <v/>
      </c>
      <c r="P811" s="112">
        <v>412.0</v>
      </c>
      <c r="Q811" s="71"/>
      <c r="R811" s="71"/>
      <c r="S811" s="31"/>
    </row>
    <row r="812">
      <c r="A812" s="31"/>
      <c r="B812" s="77"/>
      <c r="C812" s="44"/>
      <c r="D812" s="116">
        <v>45858.0</v>
      </c>
      <c r="E812" s="64">
        <f t="shared" si="155"/>
        <v>45865</v>
      </c>
      <c r="F812" s="64">
        <f t="shared" si="158"/>
        <v>45886</v>
      </c>
      <c r="G812" s="96" t="s">
        <v>80</v>
      </c>
      <c r="H812" s="102">
        <v>3.0</v>
      </c>
      <c r="I812" s="103">
        <v>3.0</v>
      </c>
      <c r="J812" s="44">
        <f t="shared" si="113"/>
        <v>1</v>
      </c>
      <c r="K812" s="44">
        <f t="shared" si="163"/>
        <v>1</v>
      </c>
      <c r="L812" s="68"/>
      <c r="M812" s="69"/>
      <c r="N812" s="44" t="str">
        <f t="shared" si="111"/>
        <v/>
      </c>
      <c r="O812" s="44" t="str">
        <f t="shared" si="164"/>
        <v/>
      </c>
      <c r="P812" s="112">
        <v>412.0</v>
      </c>
      <c r="Q812" s="71"/>
      <c r="R812" s="71"/>
      <c r="S812" s="31"/>
    </row>
    <row r="813">
      <c r="A813" s="31"/>
      <c r="B813" s="77"/>
      <c r="C813" s="44"/>
      <c r="D813" s="116">
        <v>45858.0</v>
      </c>
      <c r="E813" s="64">
        <f t="shared" si="155"/>
        <v>45865</v>
      </c>
      <c r="F813" s="64">
        <f t="shared" si="158"/>
        <v>45886</v>
      </c>
      <c r="G813" s="96" t="s">
        <v>64</v>
      </c>
      <c r="H813" s="102">
        <v>2.0</v>
      </c>
      <c r="I813" s="103">
        <v>2.0</v>
      </c>
      <c r="J813" s="44">
        <f t="shared" si="113"/>
        <v>1</v>
      </c>
      <c r="K813" s="44">
        <f t="shared" si="163"/>
        <v>1</v>
      </c>
      <c r="L813" s="68"/>
      <c r="M813" s="69"/>
      <c r="N813" s="44" t="str">
        <f t="shared" si="111"/>
        <v/>
      </c>
      <c r="O813" s="44" t="str">
        <f t="shared" si="164"/>
        <v/>
      </c>
      <c r="P813" s="112">
        <v>412.0</v>
      </c>
      <c r="Q813" s="71"/>
      <c r="R813" s="71"/>
      <c r="S813" s="31"/>
    </row>
    <row r="814">
      <c r="A814" s="31"/>
      <c r="B814" s="77"/>
      <c r="C814" s="44"/>
      <c r="D814" s="116">
        <v>45858.0</v>
      </c>
      <c r="E814" s="64">
        <f t="shared" si="155"/>
        <v>45865</v>
      </c>
      <c r="F814" s="64">
        <f t="shared" si="158"/>
        <v>45886</v>
      </c>
      <c r="G814" s="96" t="s">
        <v>51</v>
      </c>
      <c r="H814" s="102">
        <v>1.0</v>
      </c>
      <c r="I814" s="103">
        <v>1.0</v>
      </c>
      <c r="J814" s="44">
        <f t="shared" si="113"/>
        <v>1</v>
      </c>
      <c r="K814" s="44">
        <f t="shared" si="163"/>
        <v>1</v>
      </c>
      <c r="L814" s="68"/>
      <c r="M814" s="69"/>
      <c r="N814" s="44" t="str">
        <f t="shared" si="111"/>
        <v/>
      </c>
      <c r="O814" s="44" t="str">
        <f t="shared" si="164"/>
        <v/>
      </c>
      <c r="P814" s="112">
        <v>412.0</v>
      </c>
      <c r="Q814" s="71"/>
      <c r="R814" s="71"/>
      <c r="S814" s="31"/>
    </row>
    <row r="815">
      <c r="A815" s="31"/>
      <c r="B815" s="77"/>
      <c r="C815" s="44"/>
      <c r="D815" s="116">
        <v>45860.0</v>
      </c>
      <c r="E815" s="64">
        <f t="shared" si="155"/>
        <v>45867</v>
      </c>
      <c r="F815" s="64">
        <f t="shared" si="158"/>
        <v>45888</v>
      </c>
      <c r="G815" s="96" t="s">
        <v>16</v>
      </c>
      <c r="H815" s="68"/>
      <c r="I815" s="69"/>
      <c r="J815" s="44" t="str">
        <f t="shared" si="113"/>
        <v/>
      </c>
      <c r="K815" s="44" t="str">
        <f t="shared" si="163"/>
        <v/>
      </c>
      <c r="L815" s="68"/>
      <c r="M815" s="69"/>
      <c r="N815" s="44" t="str">
        <f t="shared" si="111"/>
        <v/>
      </c>
      <c r="O815" s="44" t="str">
        <f t="shared" si="164"/>
        <v/>
      </c>
      <c r="P815" s="112">
        <v>413.0</v>
      </c>
      <c r="Q815" s="71"/>
      <c r="R815" s="71"/>
      <c r="S815" s="31"/>
    </row>
    <row r="816">
      <c r="A816" s="31"/>
      <c r="B816" s="77"/>
      <c r="C816" s="44"/>
      <c r="D816" s="116">
        <v>45860.0</v>
      </c>
      <c r="E816" s="64">
        <f t="shared" si="155"/>
        <v>45867</v>
      </c>
      <c r="F816" s="64">
        <f t="shared" si="158"/>
        <v>45888</v>
      </c>
      <c r="G816" s="96" t="s">
        <v>292</v>
      </c>
      <c r="H816" s="102">
        <v>559.0</v>
      </c>
      <c r="I816" s="103">
        <v>563.0</v>
      </c>
      <c r="J816" s="44">
        <f t="shared" si="113"/>
        <v>3</v>
      </c>
      <c r="K816" s="44">
        <f t="shared" si="163"/>
        <v>3</v>
      </c>
      <c r="L816" s="68"/>
      <c r="M816" s="69"/>
      <c r="N816" s="44" t="str">
        <f t="shared" si="111"/>
        <v/>
      </c>
      <c r="O816" s="44" t="str">
        <f t="shared" si="164"/>
        <v/>
      </c>
      <c r="P816" s="112">
        <v>414.0</v>
      </c>
      <c r="Q816" s="71"/>
      <c r="R816" s="71"/>
      <c r="S816" s="31"/>
    </row>
    <row r="817">
      <c r="A817" s="31"/>
      <c r="B817" s="77"/>
      <c r="C817" s="44"/>
      <c r="D817" s="116">
        <v>45860.0</v>
      </c>
      <c r="E817" s="64">
        <f t="shared" si="155"/>
        <v>45867</v>
      </c>
      <c r="F817" s="64">
        <f t="shared" si="158"/>
        <v>45888</v>
      </c>
      <c r="G817" s="96" t="s">
        <v>126</v>
      </c>
      <c r="H817" s="102">
        <v>1.0</v>
      </c>
      <c r="I817" s="103">
        <v>1.0</v>
      </c>
      <c r="J817" s="44">
        <f t="shared" si="113"/>
        <v>1</v>
      </c>
      <c r="K817" s="44">
        <f t="shared" si="163"/>
        <v>1</v>
      </c>
      <c r="L817" s="68"/>
      <c r="M817" s="69"/>
      <c r="N817" s="44" t="str">
        <f t="shared" si="111"/>
        <v/>
      </c>
      <c r="O817" s="44" t="str">
        <f t="shared" si="164"/>
        <v/>
      </c>
      <c r="P817" s="112">
        <v>414.0</v>
      </c>
      <c r="Q817" s="71"/>
      <c r="R817" s="71"/>
      <c r="S817" s="31"/>
    </row>
    <row r="818">
      <c r="A818" s="31"/>
      <c r="B818" s="77"/>
      <c r="C818" s="44"/>
      <c r="D818" s="116">
        <v>45860.0</v>
      </c>
      <c r="E818" s="64">
        <f t="shared" si="155"/>
        <v>45867</v>
      </c>
      <c r="F818" s="64">
        <f t="shared" si="158"/>
        <v>45888</v>
      </c>
      <c r="G818" s="96" t="s">
        <v>137</v>
      </c>
      <c r="H818" s="102">
        <v>1.0</v>
      </c>
      <c r="I818" s="103">
        <v>1.0</v>
      </c>
      <c r="J818" s="44">
        <f t="shared" si="113"/>
        <v>1</v>
      </c>
      <c r="K818" s="44">
        <f t="shared" si="163"/>
        <v>1</v>
      </c>
      <c r="L818" s="68"/>
      <c r="M818" s="69"/>
      <c r="N818" s="44" t="str">
        <f t="shared" si="111"/>
        <v/>
      </c>
      <c r="O818" s="44" t="str">
        <f t="shared" si="164"/>
        <v/>
      </c>
      <c r="P818" s="112">
        <v>414.0</v>
      </c>
      <c r="Q818" s="71"/>
      <c r="R818" s="71"/>
      <c r="S818" s="31"/>
    </row>
    <row r="819">
      <c r="A819" s="31"/>
      <c r="B819" s="77"/>
      <c r="C819" s="44"/>
      <c r="D819" s="116">
        <v>45860.0</v>
      </c>
      <c r="E819" s="64">
        <f t="shared" si="155"/>
        <v>45867</v>
      </c>
      <c r="F819" s="64">
        <f t="shared" si="158"/>
        <v>45888</v>
      </c>
      <c r="G819" s="96" t="s">
        <v>148</v>
      </c>
      <c r="H819" s="102">
        <v>1.0</v>
      </c>
      <c r="I819" s="103">
        <v>1.0</v>
      </c>
      <c r="J819" s="44">
        <f t="shared" si="113"/>
        <v>1</v>
      </c>
      <c r="K819" s="44">
        <f t="shared" si="163"/>
        <v>1</v>
      </c>
      <c r="L819" s="68"/>
      <c r="M819" s="69"/>
      <c r="N819" s="44" t="str">
        <f t="shared" si="111"/>
        <v/>
      </c>
      <c r="O819" s="44" t="str">
        <f t="shared" si="164"/>
        <v/>
      </c>
      <c r="P819" s="112">
        <v>414.0</v>
      </c>
      <c r="Q819" s="71"/>
      <c r="R819" s="71"/>
      <c r="S819" s="31"/>
    </row>
    <row r="820">
      <c r="A820" s="31"/>
      <c r="B820" s="77"/>
      <c r="C820" s="44"/>
      <c r="D820" s="116">
        <v>45860.0</v>
      </c>
      <c r="E820" s="64">
        <f t="shared" si="155"/>
        <v>45867</v>
      </c>
      <c r="F820" s="64">
        <f t="shared" si="158"/>
        <v>45888</v>
      </c>
      <c r="G820" s="96" t="s">
        <v>154</v>
      </c>
      <c r="H820" s="102">
        <v>1.0</v>
      </c>
      <c r="I820" s="103">
        <v>1.0</v>
      </c>
      <c r="J820" s="44">
        <f t="shared" si="113"/>
        <v>1</v>
      </c>
      <c r="K820" s="44">
        <f t="shared" si="163"/>
        <v>1</v>
      </c>
      <c r="L820" s="68"/>
      <c r="M820" s="69"/>
      <c r="N820" s="44" t="str">
        <f t="shared" si="111"/>
        <v/>
      </c>
      <c r="O820" s="44" t="str">
        <f t="shared" si="164"/>
        <v/>
      </c>
      <c r="P820" s="112">
        <v>414.0</v>
      </c>
      <c r="Q820" s="71"/>
      <c r="R820" s="71"/>
      <c r="S820" s="31"/>
    </row>
    <row r="821">
      <c r="A821" s="31"/>
      <c r="B821" s="77"/>
      <c r="C821" s="44"/>
      <c r="D821" s="116">
        <v>45860.0</v>
      </c>
      <c r="E821" s="64">
        <f t="shared" si="155"/>
        <v>45867</v>
      </c>
      <c r="F821" s="64">
        <f t="shared" si="158"/>
        <v>45888</v>
      </c>
      <c r="G821" s="96" t="s">
        <v>83</v>
      </c>
      <c r="H821" s="102">
        <v>3.0</v>
      </c>
      <c r="I821" s="103">
        <v>3.0</v>
      </c>
      <c r="J821" s="44">
        <f t="shared" si="113"/>
        <v>1</v>
      </c>
      <c r="K821" s="44">
        <f t="shared" si="163"/>
        <v>1</v>
      </c>
      <c r="L821" s="68"/>
      <c r="M821" s="69"/>
      <c r="N821" s="44" t="str">
        <f t="shared" si="111"/>
        <v/>
      </c>
      <c r="O821" s="44" t="str">
        <f t="shared" si="164"/>
        <v/>
      </c>
      <c r="P821" s="112">
        <v>414.0</v>
      </c>
      <c r="Q821" s="71"/>
      <c r="R821" s="71"/>
      <c r="S821" s="31"/>
    </row>
    <row r="822">
      <c r="A822" s="31"/>
      <c r="B822" s="77"/>
      <c r="C822" s="44"/>
      <c r="D822" s="116">
        <v>45860.0</v>
      </c>
      <c r="E822" s="64">
        <f t="shared" si="155"/>
        <v>45867</v>
      </c>
      <c r="F822" s="64">
        <f t="shared" si="158"/>
        <v>45888</v>
      </c>
      <c r="G822" s="96" t="s">
        <v>89</v>
      </c>
      <c r="H822" s="102">
        <v>2.0</v>
      </c>
      <c r="I822" s="103">
        <v>2.0</v>
      </c>
      <c r="J822" s="44">
        <f t="shared" si="113"/>
        <v>1</v>
      </c>
      <c r="K822" s="44">
        <f t="shared" si="163"/>
        <v>1</v>
      </c>
      <c r="L822" s="68"/>
      <c r="M822" s="69"/>
      <c r="N822" s="44" t="str">
        <f t="shared" si="111"/>
        <v/>
      </c>
      <c r="O822" s="44" t="str">
        <f t="shared" si="164"/>
        <v/>
      </c>
      <c r="P822" s="112">
        <v>414.0</v>
      </c>
      <c r="Q822" s="71"/>
      <c r="R822" s="71"/>
      <c r="S822" s="31"/>
    </row>
    <row r="823">
      <c r="A823" s="31"/>
      <c r="B823" s="77"/>
      <c r="C823" s="44"/>
      <c r="D823" s="116">
        <v>45860.0</v>
      </c>
      <c r="E823" s="64">
        <f t="shared" si="155"/>
        <v>45867</v>
      </c>
      <c r="F823" s="64">
        <f t="shared" si="158"/>
        <v>45888</v>
      </c>
      <c r="G823" s="96" t="s">
        <v>80</v>
      </c>
      <c r="H823" s="102">
        <v>4.0</v>
      </c>
      <c r="I823" s="103">
        <v>4.0</v>
      </c>
      <c r="J823" s="44">
        <f t="shared" si="113"/>
        <v>1</v>
      </c>
      <c r="K823" s="44">
        <f t="shared" si="163"/>
        <v>1</v>
      </c>
      <c r="L823" s="68"/>
      <c r="M823" s="69"/>
      <c r="N823" s="44" t="str">
        <f t="shared" si="111"/>
        <v/>
      </c>
      <c r="O823" s="44" t="str">
        <f t="shared" si="164"/>
        <v/>
      </c>
      <c r="P823" s="112">
        <v>414.0</v>
      </c>
      <c r="Q823" s="71"/>
      <c r="R823" s="71"/>
      <c r="S823" s="31"/>
    </row>
    <row r="824">
      <c r="A824" s="31"/>
      <c r="B824" s="77"/>
      <c r="C824" s="44"/>
      <c r="D824" s="121"/>
      <c r="E824" s="64">
        <f t="shared" si="155"/>
        <v>7</v>
      </c>
      <c r="F824" s="64">
        <f t="shared" si="158"/>
        <v>28</v>
      </c>
      <c r="G824" s="71"/>
      <c r="H824" s="68"/>
      <c r="I824" s="69"/>
      <c r="J824" s="44" t="str">
        <f t="shared" si="113"/>
        <v/>
      </c>
      <c r="K824" s="44" t="str">
        <f t="shared" si="163"/>
        <v/>
      </c>
      <c r="L824" s="68"/>
      <c r="M824" s="69"/>
      <c r="N824" s="44" t="str">
        <f t="shared" si="111"/>
        <v/>
      </c>
      <c r="O824" s="44" t="str">
        <f t="shared" si="164"/>
        <v/>
      </c>
      <c r="P824" s="70"/>
      <c r="Q824" s="71"/>
      <c r="R824" s="71"/>
      <c r="S824" s="31"/>
    </row>
    <row r="825">
      <c r="A825" s="31"/>
      <c r="B825" s="77"/>
      <c r="C825" s="44"/>
      <c r="D825" s="121"/>
      <c r="E825" s="64">
        <f t="shared" si="155"/>
        <v>7</v>
      </c>
      <c r="F825" s="64">
        <f t="shared" si="158"/>
        <v>28</v>
      </c>
      <c r="G825" s="71"/>
      <c r="H825" s="68"/>
      <c r="I825" s="69"/>
      <c r="J825" s="44" t="str">
        <f t="shared" si="113"/>
        <v/>
      </c>
      <c r="K825" s="44" t="str">
        <f t="shared" si="163"/>
        <v/>
      </c>
      <c r="L825" s="68"/>
      <c r="M825" s="69"/>
      <c r="N825" s="44" t="str">
        <f t="shared" si="111"/>
        <v/>
      </c>
      <c r="O825" s="44" t="str">
        <f t="shared" si="164"/>
        <v/>
      </c>
      <c r="P825" s="70"/>
      <c r="Q825" s="71"/>
      <c r="R825" s="71"/>
      <c r="S825" s="31"/>
    </row>
    <row r="826">
      <c r="A826" s="31"/>
      <c r="B826" s="77"/>
      <c r="C826" s="44"/>
      <c r="D826" s="121"/>
      <c r="E826" s="64">
        <f t="shared" si="155"/>
        <v>7</v>
      </c>
      <c r="F826" s="64">
        <f t="shared" si="158"/>
        <v>28</v>
      </c>
      <c r="G826" s="71"/>
      <c r="H826" s="68"/>
      <c r="I826" s="69"/>
      <c r="J826" s="44" t="str">
        <f t="shared" si="113"/>
        <v/>
      </c>
      <c r="K826" s="44" t="str">
        <f t="shared" si="163"/>
        <v/>
      </c>
      <c r="L826" s="68"/>
      <c r="M826" s="69"/>
      <c r="N826" s="44" t="str">
        <f t="shared" si="111"/>
        <v/>
      </c>
      <c r="O826" s="44" t="str">
        <f t="shared" si="164"/>
        <v/>
      </c>
      <c r="P826" s="70"/>
      <c r="Q826" s="71"/>
      <c r="R826" s="71"/>
      <c r="S826" s="31"/>
    </row>
    <row r="827">
      <c r="A827" s="31"/>
      <c r="B827" s="77"/>
      <c r="C827" s="44"/>
      <c r="D827" s="121"/>
      <c r="E827" s="64">
        <f t="shared" si="155"/>
        <v>7</v>
      </c>
      <c r="F827" s="64">
        <f t="shared" si="158"/>
        <v>28</v>
      </c>
      <c r="G827" s="71"/>
      <c r="H827" s="68"/>
      <c r="I827" s="69"/>
      <c r="J827" s="44" t="str">
        <f t="shared" si="113"/>
        <v/>
      </c>
      <c r="K827" s="44" t="str">
        <f t="shared" si="163"/>
        <v/>
      </c>
      <c r="L827" s="68"/>
      <c r="M827" s="69"/>
      <c r="N827" s="44" t="str">
        <f t="shared" si="111"/>
        <v/>
      </c>
      <c r="O827" s="44" t="str">
        <f t="shared" si="164"/>
        <v/>
      </c>
      <c r="P827" s="70"/>
      <c r="Q827" s="71"/>
      <c r="R827" s="71"/>
      <c r="S827" s="31"/>
    </row>
    <row r="828">
      <c r="A828" s="31"/>
      <c r="B828" s="77"/>
      <c r="C828" s="44"/>
      <c r="D828" s="121"/>
      <c r="E828" s="64">
        <f t="shared" si="155"/>
        <v>7</v>
      </c>
      <c r="F828" s="64">
        <f t="shared" si="158"/>
        <v>28</v>
      </c>
      <c r="G828" s="71"/>
      <c r="H828" s="68"/>
      <c r="I828" s="69"/>
      <c r="J828" s="44" t="str">
        <f t="shared" si="113"/>
        <v/>
      </c>
      <c r="K828" s="44" t="str">
        <f t="shared" si="163"/>
        <v/>
      </c>
      <c r="L828" s="68"/>
      <c r="M828" s="69"/>
      <c r="N828" s="44" t="str">
        <f t="shared" si="111"/>
        <v/>
      </c>
      <c r="O828" s="44" t="str">
        <f t="shared" si="164"/>
        <v/>
      </c>
      <c r="P828" s="70"/>
      <c r="Q828" s="71"/>
      <c r="R828" s="71"/>
      <c r="S828" s="31"/>
    </row>
    <row r="829">
      <c r="A829" s="31"/>
      <c r="B829" s="77"/>
      <c r="C829" s="44"/>
      <c r="D829" s="121"/>
      <c r="E829" s="64">
        <f t="shared" si="155"/>
        <v>7</v>
      </c>
      <c r="F829" s="64">
        <f t="shared" si="158"/>
        <v>28</v>
      </c>
      <c r="G829" s="71"/>
      <c r="H829" s="68"/>
      <c r="I829" s="69"/>
      <c r="J829" s="44" t="str">
        <f t="shared" si="113"/>
        <v/>
      </c>
      <c r="K829" s="44" t="str">
        <f t="shared" si="163"/>
        <v/>
      </c>
      <c r="L829" s="68"/>
      <c r="M829" s="69"/>
      <c r="N829" s="44" t="str">
        <f t="shared" si="111"/>
        <v/>
      </c>
      <c r="O829" s="44" t="str">
        <f t="shared" si="164"/>
        <v/>
      </c>
      <c r="P829" s="70"/>
      <c r="Q829" s="71"/>
      <c r="R829" s="71"/>
      <c r="S829" s="31"/>
    </row>
    <row r="830">
      <c r="A830" s="31"/>
      <c r="B830" s="77"/>
      <c r="C830" s="44"/>
      <c r="D830" s="121"/>
      <c r="E830" s="64">
        <f t="shared" si="155"/>
        <v>7</v>
      </c>
      <c r="F830" s="64">
        <f t="shared" si="158"/>
        <v>28</v>
      </c>
      <c r="G830" s="71"/>
      <c r="H830" s="68"/>
      <c r="I830" s="69"/>
      <c r="J830" s="44" t="str">
        <f t="shared" si="113"/>
        <v/>
      </c>
      <c r="K830" s="44" t="str">
        <f t="shared" si="163"/>
        <v/>
      </c>
      <c r="L830" s="68"/>
      <c r="M830" s="69"/>
      <c r="N830" s="44" t="str">
        <f t="shared" si="111"/>
        <v/>
      </c>
      <c r="O830" s="44" t="str">
        <f t="shared" si="164"/>
        <v/>
      </c>
      <c r="P830" s="70"/>
      <c r="Q830" s="71"/>
      <c r="R830" s="71"/>
      <c r="S830" s="31"/>
    </row>
    <row r="831">
      <c r="A831" s="31"/>
      <c r="B831" s="77"/>
      <c r="C831" s="44"/>
      <c r="D831" s="121"/>
      <c r="E831" s="64">
        <f t="shared" si="155"/>
        <v>7</v>
      </c>
      <c r="F831" s="64">
        <f t="shared" si="158"/>
        <v>28</v>
      </c>
      <c r="G831" s="71"/>
      <c r="H831" s="68"/>
      <c r="I831" s="69"/>
      <c r="J831" s="44" t="str">
        <f t="shared" si="113"/>
        <v/>
      </c>
      <c r="K831" s="44" t="str">
        <f t="shared" si="163"/>
        <v/>
      </c>
      <c r="L831" s="68"/>
      <c r="M831" s="69"/>
      <c r="N831" s="44" t="str">
        <f t="shared" si="111"/>
        <v/>
      </c>
      <c r="O831" s="44" t="str">
        <f t="shared" si="164"/>
        <v/>
      </c>
      <c r="P831" s="70"/>
      <c r="Q831" s="71"/>
      <c r="R831" s="71"/>
      <c r="S831" s="31"/>
    </row>
    <row r="832">
      <c r="A832" s="31"/>
      <c r="B832" s="77"/>
      <c r="C832" s="44"/>
      <c r="D832" s="121"/>
      <c r="E832" s="64">
        <f t="shared" si="155"/>
        <v>7</v>
      </c>
      <c r="F832" s="64">
        <f t="shared" si="158"/>
        <v>28</v>
      </c>
      <c r="G832" s="71"/>
      <c r="H832" s="68"/>
      <c r="I832" s="69"/>
      <c r="J832" s="44" t="str">
        <f t="shared" si="113"/>
        <v/>
      </c>
      <c r="K832" s="44" t="str">
        <f t="shared" si="163"/>
        <v/>
      </c>
      <c r="L832" s="68"/>
      <c r="M832" s="69"/>
      <c r="N832" s="44" t="str">
        <f t="shared" si="111"/>
        <v/>
      </c>
      <c r="O832" s="44" t="str">
        <f t="shared" si="164"/>
        <v/>
      </c>
      <c r="P832" s="70"/>
      <c r="Q832" s="71"/>
      <c r="R832" s="71"/>
      <c r="S832" s="31"/>
    </row>
    <row r="833">
      <c r="A833" s="31"/>
      <c r="B833" s="77"/>
      <c r="C833" s="44"/>
      <c r="D833" s="121"/>
      <c r="E833" s="64">
        <f t="shared" si="155"/>
        <v>7</v>
      </c>
      <c r="F833" s="64">
        <f t="shared" si="158"/>
        <v>28</v>
      </c>
      <c r="G833" s="71"/>
      <c r="H833" s="68"/>
      <c r="I833" s="69"/>
      <c r="J833" s="44" t="str">
        <f t="shared" si="113"/>
        <v/>
      </c>
      <c r="K833" s="44" t="str">
        <f t="shared" si="163"/>
        <v/>
      </c>
      <c r="L833" s="68"/>
      <c r="M833" s="69"/>
      <c r="N833" s="44" t="str">
        <f t="shared" si="111"/>
        <v/>
      </c>
      <c r="O833" s="44" t="str">
        <f t="shared" si="164"/>
        <v/>
      </c>
      <c r="P833" s="70"/>
      <c r="Q833" s="71"/>
      <c r="R833" s="71"/>
      <c r="S833" s="31"/>
    </row>
    <row r="834">
      <c r="A834" s="31"/>
      <c r="B834" s="77"/>
      <c r="C834" s="44"/>
      <c r="D834" s="121"/>
      <c r="E834" s="64">
        <f t="shared" si="155"/>
        <v>7</v>
      </c>
      <c r="F834" s="64">
        <f t="shared" si="158"/>
        <v>28</v>
      </c>
      <c r="G834" s="71"/>
      <c r="H834" s="68"/>
      <c r="I834" s="69"/>
      <c r="J834" s="44" t="str">
        <f t="shared" si="113"/>
        <v/>
      </c>
      <c r="K834" s="44" t="str">
        <f t="shared" si="163"/>
        <v/>
      </c>
      <c r="L834" s="68"/>
      <c r="M834" s="69"/>
      <c r="N834" s="44" t="str">
        <f t="shared" si="111"/>
        <v/>
      </c>
      <c r="O834" s="44" t="str">
        <f t="shared" si="164"/>
        <v/>
      </c>
      <c r="P834" s="70"/>
      <c r="Q834" s="71"/>
      <c r="R834" s="71"/>
      <c r="S834" s="31"/>
    </row>
    <row r="835">
      <c r="A835" s="31"/>
      <c r="B835" s="77"/>
      <c r="C835" s="44"/>
      <c r="D835" s="121"/>
      <c r="E835" s="64">
        <f t="shared" si="155"/>
        <v>7</v>
      </c>
      <c r="F835" s="64">
        <f t="shared" si="158"/>
        <v>28</v>
      </c>
      <c r="G835" s="71"/>
      <c r="H835" s="68"/>
      <c r="I835" s="69"/>
      <c r="J835" s="44" t="str">
        <f t="shared" si="113"/>
        <v/>
      </c>
      <c r="K835" s="44" t="str">
        <f t="shared" si="163"/>
        <v/>
      </c>
      <c r="L835" s="68"/>
      <c r="M835" s="69"/>
      <c r="N835" s="44" t="str">
        <f t="shared" si="111"/>
        <v/>
      </c>
      <c r="O835" s="44" t="str">
        <f t="shared" si="164"/>
        <v/>
      </c>
      <c r="P835" s="70"/>
      <c r="Q835" s="71"/>
      <c r="R835" s="71"/>
      <c r="S835" s="31"/>
    </row>
    <row r="836">
      <c r="A836" s="31"/>
      <c r="B836" s="77"/>
      <c r="C836" s="44"/>
      <c r="D836" s="121"/>
      <c r="E836" s="64">
        <f t="shared" si="155"/>
        <v>7</v>
      </c>
      <c r="F836" s="64">
        <f t="shared" si="158"/>
        <v>28</v>
      </c>
      <c r="G836" s="71"/>
      <c r="H836" s="68"/>
      <c r="I836" s="69"/>
      <c r="J836" s="44" t="str">
        <f t="shared" si="113"/>
        <v/>
      </c>
      <c r="K836" s="44" t="str">
        <f t="shared" si="163"/>
        <v/>
      </c>
      <c r="L836" s="68"/>
      <c r="M836" s="69"/>
      <c r="N836" s="44" t="str">
        <f t="shared" si="111"/>
        <v/>
      </c>
      <c r="O836" s="44" t="str">
        <f t="shared" si="164"/>
        <v/>
      </c>
      <c r="P836" s="70"/>
      <c r="Q836" s="71"/>
      <c r="R836" s="71"/>
      <c r="S836" s="31"/>
    </row>
    <row r="837">
      <c r="A837" s="31"/>
      <c r="B837" s="77"/>
      <c r="C837" s="44"/>
      <c r="D837" s="121"/>
      <c r="E837" s="64">
        <f t="shared" si="155"/>
        <v>7</v>
      </c>
      <c r="F837" s="64">
        <f t="shared" si="158"/>
        <v>28</v>
      </c>
      <c r="G837" s="71"/>
      <c r="H837" s="68"/>
      <c r="I837" s="69"/>
      <c r="J837" s="44" t="str">
        <f t="shared" si="113"/>
        <v/>
      </c>
      <c r="K837" s="44" t="str">
        <f t="shared" si="163"/>
        <v/>
      </c>
      <c r="L837" s="68"/>
      <c r="M837" s="69"/>
      <c r="N837" s="44" t="str">
        <f t="shared" si="111"/>
        <v/>
      </c>
      <c r="O837" s="44" t="str">
        <f t="shared" si="164"/>
        <v/>
      </c>
      <c r="P837" s="70"/>
      <c r="Q837" s="71"/>
      <c r="R837" s="71"/>
      <c r="S837" s="31"/>
    </row>
    <row r="838">
      <c r="A838" s="31"/>
      <c r="B838" s="77"/>
      <c r="C838" s="44"/>
      <c r="D838" s="121"/>
      <c r="E838" s="64">
        <f t="shared" si="155"/>
        <v>7</v>
      </c>
      <c r="F838" s="64">
        <f t="shared" si="158"/>
        <v>28</v>
      </c>
      <c r="G838" s="71"/>
      <c r="H838" s="68"/>
      <c r="I838" s="69"/>
      <c r="J838" s="44" t="str">
        <f t="shared" si="113"/>
        <v/>
      </c>
      <c r="K838" s="44" t="str">
        <f t="shared" si="163"/>
        <v/>
      </c>
      <c r="L838" s="68"/>
      <c r="M838" s="69"/>
      <c r="N838" s="44" t="str">
        <f t="shared" si="111"/>
        <v/>
      </c>
      <c r="O838" s="44" t="str">
        <f t="shared" si="164"/>
        <v/>
      </c>
      <c r="P838" s="70"/>
      <c r="Q838" s="71"/>
      <c r="R838" s="71"/>
      <c r="S838" s="31"/>
    </row>
    <row r="839">
      <c r="A839" s="31"/>
      <c r="B839" s="77"/>
      <c r="C839" s="44"/>
      <c r="D839" s="121"/>
      <c r="E839" s="64">
        <f t="shared" si="155"/>
        <v>7</v>
      </c>
      <c r="F839" s="64">
        <f t="shared" si="158"/>
        <v>28</v>
      </c>
      <c r="G839" s="71"/>
      <c r="H839" s="68"/>
      <c r="I839" s="69"/>
      <c r="J839" s="44" t="str">
        <f t="shared" si="113"/>
        <v/>
      </c>
      <c r="K839" s="44" t="str">
        <f t="shared" si="163"/>
        <v/>
      </c>
      <c r="L839" s="68"/>
      <c r="M839" s="69"/>
      <c r="N839" s="44" t="str">
        <f t="shared" si="111"/>
        <v/>
      </c>
      <c r="O839" s="44" t="str">
        <f t="shared" si="164"/>
        <v/>
      </c>
      <c r="P839" s="70"/>
      <c r="Q839" s="71"/>
      <c r="R839" s="71"/>
      <c r="S839" s="31"/>
    </row>
    <row r="840">
      <c r="A840" s="31"/>
      <c r="B840" s="77"/>
      <c r="C840" s="44"/>
      <c r="D840" s="121"/>
      <c r="E840" s="64">
        <f t="shared" si="155"/>
        <v>7</v>
      </c>
      <c r="F840" s="64">
        <f t="shared" si="158"/>
        <v>28</v>
      </c>
      <c r="G840" s="71"/>
      <c r="H840" s="68"/>
      <c r="I840" s="69"/>
      <c r="J840" s="44" t="str">
        <f t="shared" si="113"/>
        <v/>
      </c>
      <c r="K840" s="44" t="str">
        <f t="shared" si="163"/>
        <v/>
      </c>
      <c r="L840" s="68"/>
      <c r="M840" s="69"/>
      <c r="N840" s="44" t="str">
        <f t="shared" si="111"/>
        <v/>
      </c>
      <c r="O840" s="44" t="str">
        <f t="shared" si="164"/>
        <v/>
      </c>
      <c r="P840" s="70"/>
      <c r="Q840" s="71"/>
      <c r="R840" s="71"/>
      <c r="S840" s="31"/>
    </row>
    <row r="841">
      <c r="A841" s="31"/>
      <c r="B841" s="77"/>
      <c r="C841" s="44"/>
      <c r="D841" s="121"/>
      <c r="E841" s="64">
        <f t="shared" si="155"/>
        <v>7</v>
      </c>
      <c r="F841" s="64">
        <f t="shared" si="158"/>
        <v>28</v>
      </c>
      <c r="G841" s="71"/>
      <c r="H841" s="68"/>
      <c r="I841" s="69"/>
      <c r="J841" s="44" t="str">
        <f t="shared" si="113"/>
        <v/>
      </c>
      <c r="K841" s="44" t="str">
        <f t="shared" si="163"/>
        <v/>
      </c>
      <c r="L841" s="68"/>
      <c r="M841" s="69"/>
      <c r="N841" s="44" t="str">
        <f t="shared" si="111"/>
        <v/>
      </c>
      <c r="O841" s="44" t="str">
        <f t="shared" si="164"/>
        <v/>
      </c>
      <c r="P841" s="70"/>
      <c r="Q841" s="71"/>
      <c r="R841" s="71"/>
      <c r="S841" s="31"/>
    </row>
    <row r="842">
      <c r="A842" s="31"/>
      <c r="B842" s="77"/>
      <c r="C842" s="44"/>
      <c r="D842" s="121"/>
      <c r="E842" s="64">
        <f t="shared" si="155"/>
        <v>7</v>
      </c>
      <c r="F842" s="64">
        <f t="shared" si="158"/>
        <v>28</v>
      </c>
      <c r="G842" s="71"/>
      <c r="H842" s="68"/>
      <c r="I842" s="69"/>
      <c r="J842" s="44" t="str">
        <f t="shared" si="113"/>
        <v/>
      </c>
      <c r="K842" s="44" t="str">
        <f t="shared" si="163"/>
        <v/>
      </c>
      <c r="L842" s="68"/>
      <c r="M842" s="69"/>
      <c r="N842" s="44" t="str">
        <f t="shared" si="111"/>
        <v/>
      </c>
      <c r="O842" s="44" t="str">
        <f t="shared" si="164"/>
        <v/>
      </c>
      <c r="P842" s="70"/>
      <c r="Q842" s="71"/>
      <c r="R842" s="71"/>
      <c r="S842" s="31"/>
    </row>
    <row r="843">
      <c r="A843" s="31"/>
      <c r="B843" s="77"/>
      <c r="C843" s="44"/>
      <c r="D843" s="121"/>
      <c r="E843" s="64"/>
      <c r="F843" s="64"/>
      <c r="G843" s="71"/>
      <c r="H843" s="68"/>
      <c r="I843" s="69"/>
      <c r="J843" s="44" t="str">
        <f t="shared" si="113"/>
        <v/>
      </c>
      <c r="K843" s="44" t="str">
        <f t="shared" si="163"/>
        <v/>
      </c>
      <c r="L843" s="68"/>
      <c r="M843" s="69"/>
      <c r="N843" s="44" t="str">
        <f t="shared" si="111"/>
        <v/>
      </c>
      <c r="O843" s="44" t="str">
        <f t="shared" si="164"/>
        <v/>
      </c>
      <c r="P843" s="70"/>
      <c r="Q843" s="71"/>
      <c r="R843" s="71"/>
      <c r="S843" s="31"/>
    </row>
    <row r="844">
      <c r="A844" s="31"/>
      <c r="B844" s="77"/>
      <c r="C844" s="44"/>
      <c r="D844" s="121"/>
      <c r="E844" s="64"/>
      <c r="F844" s="64"/>
      <c r="G844" s="71"/>
      <c r="H844" s="68"/>
      <c r="I844" s="69"/>
      <c r="J844" s="44" t="str">
        <f t="shared" si="113"/>
        <v/>
      </c>
      <c r="K844" s="44" t="str">
        <f t="shared" si="163"/>
        <v/>
      </c>
      <c r="L844" s="68"/>
      <c r="M844" s="69"/>
      <c r="N844" s="44" t="str">
        <f t="shared" si="111"/>
        <v/>
      </c>
      <c r="O844" s="44" t="str">
        <f t="shared" si="164"/>
        <v/>
      </c>
      <c r="P844" s="70"/>
      <c r="Q844" s="71"/>
      <c r="R844" s="71"/>
      <c r="S844" s="31"/>
    </row>
    <row r="845">
      <c r="A845" s="31"/>
      <c r="B845" s="77"/>
      <c r="C845" s="44"/>
      <c r="D845" s="121"/>
      <c r="E845" s="64"/>
      <c r="F845" s="64"/>
      <c r="G845" s="71"/>
      <c r="H845" s="68"/>
      <c r="I845" s="69"/>
      <c r="J845" s="44" t="str">
        <f t="shared" si="113"/>
        <v/>
      </c>
      <c r="K845" s="44" t="str">
        <f t="shared" si="163"/>
        <v/>
      </c>
      <c r="L845" s="68"/>
      <c r="M845" s="69"/>
      <c r="N845" s="44" t="str">
        <f t="shared" si="111"/>
        <v/>
      </c>
      <c r="O845" s="44" t="str">
        <f t="shared" si="164"/>
        <v/>
      </c>
      <c r="P845" s="70"/>
      <c r="Q845" s="71"/>
      <c r="R845" s="71"/>
      <c r="S845" s="31"/>
    </row>
    <row r="846">
      <c r="A846" s="31"/>
      <c r="B846" s="77"/>
      <c r="C846" s="44"/>
      <c r="D846" s="121"/>
      <c r="E846" s="64"/>
      <c r="F846" s="64"/>
      <c r="G846" s="71"/>
      <c r="H846" s="68"/>
      <c r="I846" s="69"/>
      <c r="J846" s="44" t="str">
        <f t="shared" si="113"/>
        <v/>
      </c>
      <c r="K846" s="44" t="str">
        <f t="shared" si="163"/>
        <v/>
      </c>
      <c r="L846" s="68"/>
      <c r="M846" s="69"/>
      <c r="N846" s="44" t="str">
        <f t="shared" si="111"/>
        <v/>
      </c>
      <c r="O846" s="44" t="str">
        <f t="shared" si="164"/>
        <v/>
      </c>
      <c r="P846" s="70"/>
      <c r="Q846" s="71"/>
      <c r="R846" s="71"/>
      <c r="S846" s="31"/>
    </row>
    <row r="847">
      <c r="A847" s="31"/>
      <c r="B847" s="77"/>
      <c r="C847" s="44"/>
      <c r="D847" s="121"/>
      <c r="E847" s="64"/>
      <c r="F847" s="64"/>
      <c r="G847" s="71"/>
      <c r="H847" s="68"/>
      <c r="I847" s="69"/>
      <c r="J847" s="44" t="str">
        <f t="shared" si="113"/>
        <v/>
      </c>
      <c r="K847" s="44" t="str">
        <f t="shared" si="163"/>
        <v/>
      </c>
      <c r="L847" s="68"/>
      <c r="M847" s="69"/>
      <c r="N847" s="44" t="str">
        <f t="shared" si="111"/>
        <v/>
      </c>
      <c r="O847" s="44" t="str">
        <f t="shared" si="164"/>
        <v/>
      </c>
      <c r="P847" s="70"/>
      <c r="Q847" s="71"/>
      <c r="R847" s="71"/>
      <c r="S847" s="31"/>
    </row>
    <row r="848">
      <c r="A848" s="31"/>
      <c r="B848" s="77"/>
      <c r="C848" s="44"/>
      <c r="D848" s="121"/>
      <c r="E848" s="64"/>
      <c r="F848" s="64"/>
      <c r="G848" s="71"/>
      <c r="H848" s="68"/>
      <c r="I848" s="69"/>
      <c r="J848" s="44" t="str">
        <f t="shared" si="113"/>
        <v/>
      </c>
      <c r="K848" s="44" t="str">
        <f t="shared" si="163"/>
        <v/>
      </c>
      <c r="L848" s="68"/>
      <c r="M848" s="69"/>
      <c r="N848" s="44" t="str">
        <f t="shared" si="111"/>
        <v/>
      </c>
      <c r="O848" s="44" t="str">
        <f t="shared" si="164"/>
        <v/>
      </c>
      <c r="P848" s="70"/>
      <c r="Q848" s="71"/>
      <c r="R848" s="71"/>
      <c r="S848" s="31"/>
    </row>
    <row r="849">
      <c r="A849" s="31"/>
      <c r="B849" s="77"/>
      <c r="C849" s="44"/>
      <c r="D849" s="121"/>
      <c r="E849" s="64"/>
      <c r="F849" s="64"/>
      <c r="G849" s="71"/>
      <c r="H849" s="68"/>
      <c r="I849" s="69"/>
      <c r="J849" s="44" t="str">
        <f t="shared" si="113"/>
        <v/>
      </c>
      <c r="K849" s="44" t="str">
        <f t="shared" si="163"/>
        <v/>
      </c>
      <c r="L849" s="68"/>
      <c r="M849" s="69"/>
      <c r="N849" s="44" t="str">
        <f t="shared" si="111"/>
        <v/>
      </c>
      <c r="O849" s="44" t="str">
        <f t="shared" si="164"/>
        <v/>
      </c>
      <c r="P849" s="70"/>
      <c r="Q849" s="71"/>
      <c r="R849" s="71"/>
      <c r="S849" s="31"/>
    </row>
    <row r="850">
      <c r="A850" s="31"/>
      <c r="B850" s="77"/>
      <c r="C850" s="44"/>
      <c r="D850" s="121"/>
      <c r="E850" s="64"/>
      <c r="F850" s="64"/>
      <c r="G850" s="71"/>
      <c r="H850" s="68"/>
      <c r="I850" s="69"/>
      <c r="J850" s="44" t="str">
        <f t="shared" si="113"/>
        <v/>
      </c>
      <c r="K850" s="44" t="str">
        <f t="shared" si="163"/>
        <v/>
      </c>
      <c r="L850" s="68"/>
      <c r="M850" s="69"/>
      <c r="N850" s="44" t="str">
        <f t="shared" si="111"/>
        <v/>
      </c>
      <c r="O850" s="44" t="str">
        <f t="shared" si="164"/>
        <v/>
      </c>
      <c r="P850" s="70"/>
      <c r="Q850" s="71"/>
      <c r="R850" s="71"/>
      <c r="S850" s="31"/>
    </row>
    <row r="851">
      <c r="A851" s="31"/>
      <c r="B851" s="77"/>
      <c r="C851" s="44"/>
      <c r="D851" s="121"/>
      <c r="E851" s="64"/>
      <c r="F851" s="64"/>
      <c r="G851" s="71"/>
      <c r="H851" s="68"/>
      <c r="I851" s="69"/>
      <c r="J851" s="44" t="str">
        <f t="shared" si="113"/>
        <v/>
      </c>
      <c r="K851" s="44" t="str">
        <f t="shared" si="163"/>
        <v/>
      </c>
      <c r="L851" s="68"/>
      <c r="M851" s="69"/>
      <c r="N851" s="44" t="str">
        <f t="shared" si="111"/>
        <v/>
      </c>
      <c r="O851" s="44" t="str">
        <f t="shared" si="164"/>
        <v/>
      </c>
      <c r="P851" s="70"/>
      <c r="Q851" s="71"/>
      <c r="R851" s="71"/>
      <c r="S851" s="31"/>
    </row>
    <row r="852">
      <c r="A852" s="31"/>
      <c r="B852" s="77"/>
      <c r="C852" s="44"/>
      <c r="D852" s="121"/>
      <c r="E852" s="64"/>
      <c r="F852" s="64"/>
      <c r="G852" s="71"/>
      <c r="H852" s="68"/>
      <c r="I852" s="69"/>
      <c r="J852" s="44" t="str">
        <f t="shared" si="113"/>
        <v/>
      </c>
      <c r="K852" s="44" t="str">
        <f t="shared" si="163"/>
        <v/>
      </c>
      <c r="L852" s="68"/>
      <c r="M852" s="69"/>
      <c r="N852" s="44" t="str">
        <f t="shared" si="111"/>
        <v/>
      </c>
      <c r="O852" s="44" t="str">
        <f t="shared" si="164"/>
        <v/>
      </c>
      <c r="P852" s="70"/>
      <c r="Q852" s="71"/>
      <c r="R852" s="71"/>
      <c r="S852" s="31"/>
    </row>
    <row r="853">
      <c r="A853" s="31"/>
      <c r="B853" s="77"/>
      <c r="C853" s="44"/>
      <c r="D853" s="121"/>
      <c r="E853" s="64"/>
      <c r="F853" s="64"/>
      <c r="G853" s="71"/>
      <c r="H853" s="68"/>
      <c r="I853" s="69"/>
      <c r="J853" s="44" t="str">
        <f t="shared" si="113"/>
        <v/>
      </c>
      <c r="K853" s="44" t="str">
        <f t="shared" si="163"/>
        <v/>
      </c>
      <c r="L853" s="68"/>
      <c r="M853" s="69"/>
      <c r="N853" s="44" t="str">
        <f t="shared" si="111"/>
        <v/>
      </c>
      <c r="O853" s="44" t="str">
        <f t="shared" si="164"/>
        <v/>
      </c>
      <c r="P853" s="70"/>
      <c r="Q853" s="71"/>
      <c r="R853" s="71"/>
      <c r="S853" s="31"/>
    </row>
    <row r="854">
      <c r="A854" s="31"/>
      <c r="B854" s="77"/>
      <c r="C854" s="44"/>
      <c r="D854" s="121"/>
      <c r="E854" s="64"/>
      <c r="F854" s="64"/>
      <c r="G854" s="71"/>
      <c r="H854" s="68"/>
      <c r="I854" s="69"/>
      <c r="J854" s="44" t="str">
        <f t="shared" si="113"/>
        <v/>
      </c>
      <c r="K854" s="44" t="str">
        <f t="shared" si="163"/>
        <v/>
      </c>
      <c r="L854" s="68"/>
      <c r="M854" s="69"/>
      <c r="N854" s="44" t="str">
        <f t="shared" si="111"/>
        <v/>
      </c>
      <c r="O854" s="44" t="str">
        <f t="shared" si="164"/>
        <v/>
      </c>
      <c r="P854" s="70"/>
      <c r="Q854" s="71"/>
      <c r="R854" s="71"/>
      <c r="S854" s="31"/>
    </row>
    <row r="855">
      <c r="A855" s="31"/>
      <c r="B855" s="77"/>
      <c r="C855" s="44"/>
      <c r="D855" s="121"/>
      <c r="E855" s="64"/>
      <c r="F855" s="64"/>
      <c r="G855" s="71"/>
      <c r="H855" s="68"/>
      <c r="I855" s="69"/>
      <c r="J855" s="44" t="str">
        <f t="shared" si="113"/>
        <v/>
      </c>
      <c r="K855" s="44" t="str">
        <f t="shared" si="163"/>
        <v/>
      </c>
      <c r="L855" s="68"/>
      <c r="M855" s="69"/>
      <c r="N855" s="44" t="str">
        <f t="shared" si="111"/>
        <v/>
      </c>
      <c r="O855" s="44" t="str">
        <f t="shared" si="164"/>
        <v/>
      </c>
      <c r="P855" s="70"/>
      <c r="Q855" s="71"/>
      <c r="R855" s="71"/>
      <c r="S855" s="31"/>
    </row>
    <row r="856">
      <c r="A856" s="31"/>
      <c r="B856" s="77"/>
      <c r="C856" s="44"/>
      <c r="D856" s="121"/>
      <c r="E856" s="64"/>
      <c r="F856" s="64"/>
      <c r="G856" s="71"/>
      <c r="H856" s="68"/>
      <c r="I856" s="69"/>
      <c r="J856" s="44" t="str">
        <f t="shared" si="113"/>
        <v/>
      </c>
      <c r="K856" s="44" t="str">
        <f t="shared" si="163"/>
        <v/>
      </c>
      <c r="L856" s="68"/>
      <c r="M856" s="69"/>
      <c r="N856" s="44" t="str">
        <f t="shared" si="111"/>
        <v/>
      </c>
      <c r="O856" s="44" t="str">
        <f t="shared" si="164"/>
        <v/>
      </c>
      <c r="P856" s="70"/>
      <c r="Q856" s="71"/>
      <c r="R856" s="71"/>
      <c r="S856" s="31"/>
    </row>
    <row r="857">
      <c r="A857" s="31"/>
      <c r="B857" s="77"/>
      <c r="C857" s="44"/>
      <c r="D857" s="121"/>
      <c r="E857" s="64"/>
      <c r="F857" s="64"/>
      <c r="G857" s="71"/>
      <c r="H857" s="68"/>
      <c r="I857" s="69"/>
      <c r="J857" s="44" t="str">
        <f t="shared" si="113"/>
        <v/>
      </c>
      <c r="K857" s="44" t="str">
        <f t="shared" si="163"/>
        <v/>
      </c>
      <c r="L857" s="68"/>
      <c r="M857" s="69"/>
      <c r="N857" s="44" t="str">
        <f t="shared" si="111"/>
        <v/>
      </c>
      <c r="O857" s="44" t="str">
        <f t="shared" si="164"/>
        <v/>
      </c>
      <c r="P857" s="70"/>
      <c r="Q857" s="71"/>
      <c r="R857" s="71"/>
      <c r="S857" s="31"/>
    </row>
    <row r="858">
      <c r="A858" s="31"/>
      <c r="B858" s="77"/>
      <c r="C858" s="44"/>
      <c r="D858" s="121"/>
      <c r="E858" s="64"/>
      <c r="F858" s="64"/>
      <c r="G858" s="71"/>
      <c r="H858" s="68"/>
      <c r="I858" s="69"/>
      <c r="J858" s="44" t="str">
        <f t="shared" si="113"/>
        <v/>
      </c>
      <c r="K858" s="44" t="str">
        <f t="shared" si="163"/>
        <v/>
      </c>
      <c r="L858" s="68"/>
      <c r="M858" s="69"/>
      <c r="N858" s="44" t="str">
        <f t="shared" si="111"/>
        <v/>
      </c>
      <c r="O858" s="44" t="str">
        <f t="shared" si="164"/>
        <v/>
      </c>
      <c r="P858" s="70"/>
      <c r="Q858" s="71"/>
      <c r="R858" s="71"/>
      <c r="S858" s="31"/>
    </row>
    <row r="859">
      <c r="A859" s="31"/>
      <c r="B859" s="77"/>
      <c r="C859" s="44"/>
      <c r="D859" s="121"/>
      <c r="E859" s="64"/>
      <c r="F859" s="64"/>
      <c r="G859" s="71"/>
      <c r="H859" s="68"/>
      <c r="I859" s="69"/>
      <c r="J859" s="44" t="str">
        <f t="shared" si="113"/>
        <v/>
      </c>
      <c r="K859" s="44" t="str">
        <f t="shared" si="163"/>
        <v/>
      </c>
      <c r="L859" s="68"/>
      <c r="M859" s="69"/>
      <c r="N859" s="44" t="str">
        <f t="shared" si="111"/>
        <v/>
      </c>
      <c r="O859" s="44" t="str">
        <f t="shared" si="164"/>
        <v/>
      </c>
      <c r="P859" s="70"/>
      <c r="Q859" s="71"/>
      <c r="R859" s="71"/>
      <c r="S859" s="31"/>
    </row>
    <row r="860">
      <c r="A860" s="31"/>
      <c r="B860" s="77"/>
      <c r="C860" s="44"/>
      <c r="D860" s="121"/>
      <c r="E860" s="64"/>
      <c r="F860" s="64"/>
      <c r="G860" s="71"/>
      <c r="H860" s="68"/>
      <c r="I860" s="69"/>
      <c r="J860" s="44" t="str">
        <f t="shared" si="113"/>
        <v/>
      </c>
      <c r="K860" s="44" t="str">
        <f t="shared" si="163"/>
        <v/>
      </c>
      <c r="L860" s="68"/>
      <c r="M860" s="69"/>
      <c r="N860" s="44" t="str">
        <f t="shared" si="111"/>
        <v/>
      </c>
      <c r="O860" s="44" t="str">
        <f t="shared" si="164"/>
        <v/>
      </c>
      <c r="P860" s="70"/>
      <c r="Q860" s="71"/>
      <c r="R860" s="71"/>
      <c r="S860" s="31"/>
    </row>
    <row r="861">
      <c r="A861" s="31"/>
      <c r="B861" s="77"/>
      <c r="C861" s="44"/>
      <c r="D861" s="121"/>
      <c r="E861" s="64"/>
      <c r="F861" s="64"/>
      <c r="G861" s="71"/>
      <c r="H861" s="68"/>
      <c r="I861" s="69"/>
      <c r="J861" s="44" t="str">
        <f t="shared" si="113"/>
        <v/>
      </c>
      <c r="K861" s="44" t="str">
        <f t="shared" si="163"/>
        <v/>
      </c>
      <c r="L861" s="68"/>
      <c r="M861" s="69"/>
      <c r="N861" s="44" t="str">
        <f t="shared" si="111"/>
        <v/>
      </c>
      <c r="O861" s="44" t="str">
        <f t="shared" si="164"/>
        <v/>
      </c>
      <c r="P861" s="70"/>
      <c r="Q861" s="71"/>
      <c r="R861" s="71"/>
      <c r="S861" s="31"/>
    </row>
    <row r="862">
      <c r="A862" s="31"/>
      <c r="B862" s="77"/>
      <c r="C862" s="44"/>
      <c r="D862" s="121"/>
      <c r="E862" s="64"/>
      <c r="F862" s="64"/>
      <c r="G862" s="71"/>
      <c r="H862" s="68"/>
      <c r="I862" s="69"/>
      <c r="J862" s="44" t="str">
        <f t="shared" si="113"/>
        <v/>
      </c>
      <c r="K862" s="44" t="str">
        <f t="shared" si="163"/>
        <v/>
      </c>
      <c r="L862" s="68"/>
      <c r="M862" s="69"/>
      <c r="N862" s="44" t="str">
        <f t="shared" si="111"/>
        <v/>
      </c>
      <c r="O862" s="44" t="str">
        <f t="shared" si="164"/>
        <v/>
      </c>
      <c r="P862" s="70"/>
      <c r="Q862" s="71"/>
      <c r="R862" s="71"/>
      <c r="S862" s="31"/>
    </row>
    <row r="863">
      <c r="A863" s="31"/>
      <c r="B863" s="77"/>
      <c r="C863" s="44"/>
      <c r="D863" s="121"/>
      <c r="E863" s="64"/>
      <c r="F863" s="64"/>
      <c r="G863" s="71"/>
      <c r="H863" s="68"/>
      <c r="I863" s="69"/>
      <c r="J863" s="44" t="str">
        <f t="shared" si="113"/>
        <v/>
      </c>
      <c r="K863" s="44" t="str">
        <f t="shared" si="163"/>
        <v/>
      </c>
      <c r="L863" s="68"/>
      <c r="M863" s="69"/>
      <c r="N863" s="44" t="str">
        <f t="shared" si="111"/>
        <v/>
      </c>
      <c r="O863" s="44" t="str">
        <f t="shared" si="164"/>
        <v/>
      </c>
      <c r="P863" s="70"/>
      <c r="Q863" s="71"/>
      <c r="R863" s="71"/>
      <c r="S863" s="31"/>
    </row>
    <row r="864">
      <c r="A864" s="31"/>
      <c r="B864" s="77"/>
      <c r="C864" s="44"/>
      <c r="D864" s="121"/>
      <c r="E864" s="64"/>
      <c r="F864" s="64"/>
      <c r="G864" s="71"/>
      <c r="H864" s="68"/>
      <c r="I864" s="69"/>
      <c r="J864" s="44" t="str">
        <f t="shared" si="113"/>
        <v/>
      </c>
      <c r="K864" s="44" t="str">
        <f t="shared" si="163"/>
        <v/>
      </c>
      <c r="L864" s="68"/>
      <c r="M864" s="69"/>
      <c r="N864" s="44" t="str">
        <f t="shared" si="111"/>
        <v/>
      </c>
      <c r="O864" s="44" t="str">
        <f t="shared" si="164"/>
        <v/>
      </c>
      <c r="P864" s="70"/>
      <c r="Q864" s="71"/>
      <c r="R864" s="71"/>
      <c r="S864" s="31"/>
    </row>
    <row r="865">
      <c r="A865" s="31"/>
      <c r="B865" s="77"/>
      <c r="C865" s="44"/>
      <c r="D865" s="121"/>
      <c r="E865" s="64"/>
      <c r="F865" s="64"/>
      <c r="G865" s="71"/>
      <c r="H865" s="68"/>
      <c r="I865" s="69"/>
      <c r="J865" s="44" t="str">
        <f t="shared" si="113"/>
        <v/>
      </c>
      <c r="K865" s="44" t="str">
        <f t="shared" si="163"/>
        <v/>
      </c>
      <c r="L865" s="68"/>
      <c r="M865" s="69"/>
      <c r="N865" s="44" t="str">
        <f t="shared" si="111"/>
        <v/>
      </c>
      <c r="O865" s="44" t="str">
        <f t="shared" si="164"/>
        <v/>
      </c>
      <c r="P865" s="70"/>
      <c r="Q865" s="71"/>
      <c r="R865" s="71"/>
      <c r="S865" s="31"/>
    </row>
    <row r="866">
      <c r="A866" s="31"/>
      <c r="B866" s="77"/>
      <c r="C866" s="44"/>
      <c r="D866" s="121"/>
      <c r="E866" s="64"/>
      <c r="F866" s="64"/>
      <c r="G866" s="71"/>
      <c r="H866" s="68"/>
      <c r="I866" s="69"/>
      <c r="J866" s="44" t="str">
        <f t="shared" si="113"/>
        <v/>
      </c>
      <c r="K866" s="44" t="str">
        <f t="shared" si="163"/>
        <v/>
      </c>
      <c r="L866" s="68"/>
      <c r="M866" s="69"/>
      <c r="N866" s="44" t="str">
        <f t="shared" si="111"/>
        <v/>
      </c>
      <c r="O866" s="44" t="str">
        <f t="shared" si="164"/>
        <v/>
      </c>
      <c r="P866" s="70"/>
      <c r="Q866" s="71"/>
      <c r="R866" s="71"/>
      <c r="S866" s="31"/>
    </row>
    <row r="867">
      <c r="A867" s="31"/>
      <c r="B867" s="77"/>
      <c r="C867" s="44"/>
      <c r="D867" s="121"/>
      <c r="E867" s="64"/>
      <c r="F867" s="64"/>
      <c r="G867" s="71"/>
      <c r="H867" s="68"/>
      <c r="I867" s="69"/>
      <c r="J867" s="44" t="str">
        <f t="shared" si="113"/>
        <v/>
      </c>
      <c r="K867" s="44" t="str">
        <f t="shared" si="163"/>
        <v/>
      </c>
      <c r="L867" s="68"/>
      <c r="M867" s="69"/>
      <c r="N867" s="44" t="str">
        <f t="shared" si="111"/>
        <v/>
      </c>
      <c r="O867" s="44" t="str">
        <f t="shared" si="164"/>
        <v/>
      </c>
      <c r="P867" s="70"/>
      <c r="Q867" s="71"/>
      <c r="R867" s="71"/>
      <c r="S867" s="31"/>
    </row>
    <row r="868">
      <c r="A868" s="31"/>
      <c r="B868" s="77"/>
      <c r="C868" s="44"/>
      <c r="D868" s="121"/>
      <c r="E868" s="64"/>
      <c r="F868" s="64"/>
      <c r="G868" s="71"/>
      <c r="H868" s="68"/>
      <c r="I868" s="69"/>
      <c r="J868" s="44" t="str">
        <f t="shared" si="113"/>
        <v/>
      </c>
      <c r="K868" s="44" t="str">
        <f t="shared" si="163"/>
        <v/>
      </c>
      <c r="L868" s="68"/>
      <c r="M868" s="69"/>
      <c r="N868" s="44" t="str">
        <f t="shared" si="111"/>
        <v/>
      </c>
      <c r="O868" s="44" t="str">
        <f t="shared" si="164"/>
        <v/>
      </c>
      <c r="P868" s="70"/>
      <c r="Q868" s="71"/>
      <c r="R868" s="71"/>
      <c r="S868" s="31"/>
    </row>
    <row r="869">
      <c r="A869" s="31"/>
      <c r="B869" s="77"/>
      <c r="C869" s="44"/>
      <c r="D869" s="121"/>
      <c r="E869" s="64"/>
      <c r="F869" s="64"/>
      <c r="G869" s="71"/>
      <c r="H869" s="68"/>
      <c r="I869" s="69"/>
      <c r="J869" s="44" t="str">
        <f t="shared" si="113"/>
        <v/>
      </c>
      <c r="K869" s="44" t="str">
        <f t="shared" si="163"/>
        <v/>
      </c>
      <c r="L869" s="68"/>
      <c r="M869" s="69"/>
      <c r="N869" s="44" t="str">
        <f t="shared" si="111"/>
        <v/>
      </c>
      <c r="O869" s="44" t="str">
        <f t="shared" si="164"/>
        <v/>
      </c>
      <c r="P869" s="70"/>
      <c r="Q869" s="71"/>
      <c r="R869" s="71"/>
      <c r="S869" s="31"/>
    </row>
    <row r="870">
      <c r="A870" s="31"/>
      <c r="B870" s="77"/>
      <c r="C870" s="44"/>
      <c r="D870" s="121"/>
      <c r="E870" s="64"/>
      <c r="F870" s="64"/>
      <c r="G870" s="71"/>
      <c r="H870" s="68"/>
      <c r="I870" s="69"/>
      <c r="J870" s="44" t="str">
        <f t="shared" si="113"/>
        <v/>
      </c>
      <c r="K870" s="44" t="str">
        <f t="shared" si="163"/>
        <v/>
      </c>
      <c r="L870" s="68"/>
      <c r="M870" s="69"/>
      <c r="N870" s="44" t="str">
        <f t="shared" si="111"/>
        <v/>
      </c>
      <c r="O870" s="44" t="str">
        <f t="shared" si="164"/>
        <v/>
      </c>
      <c r="P870" s="70"/>
      <c r="Q870" s="71"/>
      <c r="R870" s="71"/>
      <c r="S870" s="31"/>
    </row>
    <row r="871">
      <c r="A871" s="31"/>
      <c r="B871" s="77"/>
      <c r="C871" s="44"/>
      <c r="D871" s="121"/>
      <c r="E871" s="64"/>
      <c r="F871" s="64"/>
      <c r="G871" s="71"/>
      <c r="H871" s="68"/>
      <c r="I871" s="69"/>
      <c r="J871" s="44" t="str">
        <f t="shared" si="113"/>
        <v/>
      </c>
      <c r="K871" s="44" t="str">
        <f t="shared" si="163"/>
        <v/>
      </c>
      <c r="L871" s="68"/>
      <c r="M871" s="69"/>
      <c r="N871" s="44" t="str">
        <f t="shared" si="111"/>
        <v/>
      </c>
      <c r="O871" s="44" t="str">
        <f t="shared" si="164"/>
        <v/>
      </c>
      <c r="P871" s="70"/>
      <c r="Q871" s="71"/>
      <c r="R871" s="71"/>
      <c r="S871" s="31"/>
    </row>
    <row r="872">
      <c r="A872" s="31"/>
      <c r="B872" s="77"/>
      <c r="C872" s="44"/>
      <c r="D872" s="121"/>
      <c r="E872" s="64"/>
      <c r="F872" s="64"/>
      <c r="G872" s="71"/>
      <c r="H872" s="68"/>
      <c r="I872" s="69"/>
      <c r="J872" s="44" t="str">
        <f t="shared" si="113"/>
        <v/>
      </c>
      <c r="K872" s="44" t="str">
        <f t="shared" si="163"/>
        <v/>
      </c>
      <c r="L872" s="68"/>
      <c r="M872" s="69"/>
      <c r="N872" s="44" t="str">
        <f t="shared" si="111"/>
        <v/>
      </c>
      <c r="O872" s="44" t="str">
        <f t="shared" si="164"/>
        <v/>
      </c>
      <c r="P872" s="70"/>
      <c r="Q872" s="71"/>
      <c r="R872" s="71"/>
      <c r="S872" s="31"/>
    </row>
    <row r="873">
      <c r="A873" s="31"/>
      <c r="B873" s="77"/>
      <c r="C873" s="44"/>
      <c r="D873" s="121"/>
      <c r="E873" s="64"/>
      <c r="F873" s="64"/>
      <c r="G873" s="71"/>
      <c r="H873" s="68"/>
      <c r="I873" s="69"/>
      <c r="J873" s="44" t="str">
        <f t="shared" si="113"/>
        <v/>
      </c>
      <c r="K873" s="44" t="str">
        <f t="shared" si="163"/>
        <v/>
      </c>
      <c r="L873" s="68"/>
      <c r="M873" s="69"/>
      <c r="N873" s="44" t="str">
        <f t="shared" si="111"/>
        <v/>
      </c>
      <c r="O873" s="44" t="str">
        <f t="shared" si="164"/>
        <v/>
      </c>
      <c r="P873" s="70"/>
      <c r="Q873" s="71"/>
      <c r="R873" s="71"/>
      <c r="S873" s="31"/>
    </row>
    <row r="874">
      <c r="A874" s="31"/>
      <c r="B874" s="77"/>
      <c r="C874" s="44"/>
      <c r="D874" s="121"/>
      <c r="E874" s="64"/>
      <c r="F874" s="64"/>
      <c r="G874" s="71"/>
      <c r="H874" s="68"/>
      <c r="I874" s="69"/>
      <c r="J874" s="44" t="str">
        <f t="shared" si="113"/>
        <v/>
      </c>
      <c r="K874" s="44" t="str">
        <f t="shared" si="163"/>
        <v/>
      </c>
      <c r="L874" s="68"/>
      <c r="M874" s="69"/>
      <c r="N874" s="44" t="str">
        <f t="shared" si="111"/>
        <v/>
      </c>
      <c r="O874" s="44" t="str">
        <f t="shared" si="164"/>
        <v/>
      </c>
      <c r="P874" s="70"/>
      <c r="Q874" s="71"/>
      <c r="R874" s="71"/>
      <c r="S874" s="31"/>
    </row>
    <row r="875">
      <c r="A875" s="31"/>
      <c r="B875" s="77"/>
      <c r="C875" s="44"/>
      <c r="D875" s="121"/>
      <c r="E875" s="64"/>
      <c r="F875" s="64"/>
      <c r="G875" s="71"/>
      <c r="H875" s="68"/>
      <c r="I875" s="69"/>
      <c r="J875" s="44" t="str">
        <f t="shared" si="113"/>
        <v/>
      </c>
      <c r="K875" s="44" t="str">
        <f t="shared" si="163"/>
        <v/>
      </c>
      <c r="L875" s="68"/>
      <c r="M875" s="69"/>
      <c r="N875" s="44" t="str">
        <f t="shared" si="111"/>
        <v/>
      </c>
      <c r="O875" s="44" t="str">
        <f t="shared" si="164"/>
        <v/>
      </c>
      <c r="P875" s="70"/>
      <c r="Q875" s="71"/>
      <c r="R875" s="71"/>
      <c r="S875" s="31"/>
    </row>
    <row r="876">
      <c r="A876" s="31"/>
      <c r="B876" s="77"/>
      <c r="C876" s="44"/>
      <c r="D876" s="121"/>
      <c r="E876" s="64"/>
      <c r="F876" s="64"/>
      <c r="G876" s="71"/>
      <c r="H876" s="68"/>
      <c r="I876" s="69"/>
      <c r="J876" s="44" t="str">
        <f t="shared" si="113"/>
        <v/>
      </c>
      <c r="K876" s="44" t="str">
        <f t="shared" si="163"/>
        <v/>
      </c>
      <c r="L876" s="68"/>
      <c r="M876" s="69"/>
      <c r="N876" s="44" t="str">
        <f t="shared" si="111"/>
        <v/>
      </c>
      <c r="O876" s="44" t="str">
        <f t="shared" si="164"/>
        <v/>
      </c>
      <c r="P876" s="70"/>
      <c r="Q876" s="71"/>
      <c r="R876" s="71"/>
      <c r="S876" s="31"/>
    </row>
    <row r="877">
      <c r="A877" s="31"/>
      <c r="B877" s="77"/>
      <c r="C877" s="44"/>
      <c r="D877" s="121"/>
      <c r="E877" s="64"/>
      <c r="F877" s="64"/>
      <c r="G877" s="71"/>
      <c r="H877" s="68"/>
      <c r="I877" s="69"/>
      <c r="J877" s="44" t="str">
        <f t="shared" si="113"/>
        <v/>
      </c>
      <c r="K877" s="44" t="str">
        <f t="shared" si="163"/>
        <v/>
      </c>
      <c r="L877" s="68"/>
      <c r="M877" s="69"/>
      <c r="N877" s="44" t="str">
        <f t="shared" si="111"/>
        <v/>
      </c>
      <c r="O877" s="44" t="str">
        <f t="shared" si="164"/>
        <v/>
      </c>
      <c r="P877" s="70"/>
      <c r="Q877" s="71"/>
      <c r="R877" s="71"/>
      <c r="S877" s="31"/>
    </row>
    <row r="878">
      <c r="A878" s="31"/>
      <c r="B878" s="77"/>
      <c r="C878" s="44"/>
      <c r="D878" s="121"/>
      <c r="E878" s="64"/>
      <c r="F878" s="64"/>
      <c r="G878" s="71"/>
      <c r="H878" s="68"/>
      <c r="I878" s="69"/>
      <c r="J878" s="44" t="str">
        <f t="shared" si="113"/>
        <v/>
      </c>
      <c r="K878" s="44" t="str">
        <f t="shared" si="163"/>
        <v/>
      </c>
      <c r="L878" s="68"/>
      <c r="M878" s="69"/>
      <c r="N878" s="44" t="str">
        <f t="shared" si="111"/>
        <v/>
      </c>
      <c r="O878" s="44" t="str">
        <f t="shared" si="164"/>
        <v/>
      </c>
      <c r="P878" s="70"/>
      <c r="Q878" s="71"/>
      <c r="R878" s="71"/>
      <c r="S878" s="31"/>
    </row>
    <row r="879">
      <c r="A879" s="31"/>
      <c r="B879" s="77"/>
      <c r="C879" s="44"/>
      <c r="D879" s="121"/>
      <c r="E879" s="64"/>
      <c r="F879" s="64"/>
      <c r="G879" s="71"/>
      <c r="H879" s="68"/>
      <c r="I879" s="69"/>
      <c r="J879" s="44" t="str">
        <f t="shared" si="113"/>
        <v/>
      </c>
      <c r="K879" s="44" t="str">
        <f t="shared" si="163"/>
        <v/>
      </c>
      <c r="L879" s="68"/>
      <c r="M879" s="69"/>
      <c r="N879" s="44" t="str">
        <f t="shared" si="111"/>
        <v/>
      </c>
      <c r="O879" s="44" t="str">
        <f t="shared" si="164"/>
        <v/>
      </c>
      <c r="P879" s="70"/>
      <c r="Q879" s="71"/>
      <c r="R879" s="71"/>
      <c r="S879" s="31"/>
    </row>
    <row r="880">
      <c r="A880" s="31"/>
      <c r="B880" s="77"/>
      <c r="C880" s="44"/>
      <c r="D880" s="121"/>
      <c r="E880" s="64"/>
      <c r="F880" s="64"/>
      <c r="G880" s="71"/>
      <c r="H880" s="68"/>
      <c r="I880" s="69"/>
      <c r="J880" s="44" t="str">
        <f t="shared" si="113"/>
        <v/>
      </c>
      <c r="K880" s="44" t="str">
        <f t="shared" si="163"/>
        <v/>
      </c>
      <c r="L880" s="68"/>
      <c r="M880" s="69"/>
      <c r="N880" s="44" t="str">
        <f t="shared" si="111"/>
        <v/>
      </c>
      <c r="O880" s="44" t="str">
        <f t="shared" si="164"/>
        <v/>
      </c>
      <c r="P880" s="70"/>
      <c r="Q880" s="71"/>
      <c r="R880" s="71"/>
      <c r="S880" s="31"/>
    </row>
    <row r="881">
      <c r="A881" s="31"/>
      <c r="B881" s="77"/>
      <c r="C881" s="44"/>
      <c r="D881" s="121"/>
      <c r="E881" s="64"/>
      <c r="F881" s="64"/>
      <c r="G881" s="71"/>
      <c r="H881" s="68"/>
      <c r="I881" s="69"/>
      <c r="J881" s="44" t="str">
        <f t="shared" si="113"/>
        <v/>
      </c>
      <c r="K881" s="44" t="str">
        <f t="shared" si="163"/>
        <v/>
      </c>
      <c r="L881" s="68"/>
      <c r="M881" s="69"/>
      <c r="N881" s="44" t="str">
        <f t="shared" si="111"/>
        <v/>
      </c>
      <c r="O881" s="44" t="str">
        <f t="shared" si="164"/>
        <v/>
      </c>
      <c r="P881" s="70"/>
      <c r="Q881" s="71"/>
      <c r="R881" s="71"/>
      <c r="S881" s="31"/>
    </row>
    <row r="882">
      <c r="A882" s="31"/>
      <c r="B882" s="77"/>
      <c r="C882" s="44"/>
      <c r="D882" s="121"/>
      <c r="E882" s="64"/>
      <c r="F882" s="64"/>
      <c r="G882" s="71"/>
      <c r="H882" s="68"/>
      <c r="I882" s="69"/>
      <c r="J882" s="44" t="str">
        <f t="shared" si="113"/>
        <v/>
      </c>
      <c r="K882" s="44" t="str">
        <f t="shared" si="163"/>
        <v/>
      </c>
      <c r="L882" s="68"/>
      <c r="M882" s="69"/>
      <c r="N882" s="44" t="str">
        <f t="shared" si="111"/>
        <v/>
      </c>
      <c r="O882" s="44" t="str">
        <f t="shared" si="164"/>
        <v/>
      </c>
      <c r="P882" s="70"/>
      <c r="Q882" s="71"/>
      <c r="R882" s="71"/>
      <c r="S882" s="31"/>
    </row>
    <row r="883">
      <c r="A883" s="31"/>
      <c r="B883" s="77"/>
      <c r="C883" s="44"/>
      <c r="D883" s="121"/>
      <c r="E883" s="64"/>
      <c r="F883" s="64"/>
      <c r="G883" s="71"/>
      <c r="H883" s="68"/>
      <c r="I883" s="69"/>
      <c r="J883" s="44" t="str">
        <f t="shared" si="113"/>
        <v/>
      </c>
      <c r="K883" s="44" t="str">
        <f t="shared" si="163"/>
        <v/>
      </c>
      <c r="L883" s="68"/>
      <c r="M883" s="69"/>
      <c r="N883" s="44" t="str">
        <f t="shared" si="111"/>
        <v/>
      </c>
      <c r="O883" s="44" t="str">
        <f t="shared" si="164"/>
        <v/>
      </c>
      <c r="P883" s="70"/>
      <c r="Q883" s="71"/>
      <c r="R883" s="71"/>
      <c r="S883" s="31"/>
    </row>
    <row r="884">
      <c r="A884" s="31"/>
      <c r="B884" s="77"/>
      <c r="C884" s="44"/>
      <c r="D884" s="121"/>
      <c r="E884" s="64"/>
      <c r="F884" s="64"/>
      <c r="G884" s="71"/>
      <c r="H884" s="68"/>
      <c r="I884" s="69"/>
      <c r="J884" s="44" t="str">
        <f t="shared" si="113"/>
        <v/>
      </c>
      <c r="K884" s="44" t="str">
        <f t="shared" si="163"/>
        <v/>
      </c>
      <c r="L884" s="68"/>
      <c r="M884" s="69"/>
      <c r="N884" s="44" t="str">
        <f t="shared" si="111"/>
        <v/>
      </c>
      <c r="O884" s="44" t="str">
        <f t="shared" si="164"/>
        <v/>
      </c>
      <c r="P884" s="70"/>
      <c r="Q884" s="71"/>
      <c r="R884" s="71"/>
      <c r="S884" s="31"/>
    </row>
    <row r="885">
      <c r="A885" s="31"/>
      <c r="B885" s="77"/>
      <c r="C885" s="44"/>
      <c r="D885" s="121"/>
      <c r="E885" s="64"/>
      <c r="F885" s="64"/>
      <c r="G885" s="71"/>
      <c r="H885" s="68"/>
      <c r="I885" s="69"/>
      <c r="J885" s="44" t="str">
        <f t="shared" si="113"/>
        <v/>
      </c>
      <c r="K885" s="44" t="str">
        <f t="shared" si="163"/>
        <v/>
      </c>
      <c r="L885" s="68"/>
      <c r="M885" s="69"/>
      <c r="N885" s="44" t="str">
        <f t="shared" si="111"/>
        <v/>
      </c>
      <c r="O885" s="44" t="str">
        <f t="shared" si="164"/>
        <v/>
      </c>
      <c r="P885" s="70"/>
      <c r="Q885" s="71"/>
      <c r="R885" s="71"/>
      <c r="S885" s="31"/>
    </row>
    <row r="886">
      <c r="A886" s="31"/>
      <c r="B886" s="77"/>
      <c r="C886" s="44"/>
      <c r="D886" s="121"/>
      <c r="E886" s="64"/>
      <c r="F886" s="64"/>
      <c r="G886" s="71"/>
      <c r="H886" s="68"/>
      <c r="I886" s="69"/>
      <c r="J886" s="44" t="str">
        <f t="shared" si="113"/>
        <v/>
      </c>
      <c r="K886" s="44" t="str">
        <f t="shared" si="163"/>
        <v/>
      </c>
      <c r="L886" s="68"/>
      <c r="M886" s="69"/>
      <c r="N886" s="44" t="str">
        <f t="shared" si="111"/>
        <v/>
      </c>
      <c r="O886" s="44" t="str">
        <f t="shared" si="164"/>
        <v/>
      </c>
      <c r="P886" s="70"/>
      <c r="Q886" s="71"/>
      <c r="R886" s="71"/>
      <c r="S886" s="31"/>
    </row>
    <row r="887">
      <c r="A887" s="31"/>
      <c r="B887" s="77"/>
      <c r="C887" s="44"/>
      <c r="D887" s="121"/>
      <c r="E887" s="64"/>
      <c r="F887" s="64"/>
      <c r="G887" s="71"/>
      <c r="H887" s="68"/>
      <c r="I887" s="69"/>
      <c r="J887" s="44" t="str">
        <f t="shared" si="113"/>
        <v/>
      </c>
      <c r="K887" s="44" t="str">
        <f t="shared" si="163"/>
        <v/>
      </c>
      <c r="L887" s="68"/>
      <c r="M887" s="69"/>
      <c r="N887" s="44" t="str">
        <f t="shared" si="111"/>
        <v/>
      </c>
      <c r="O887" s="44" t="str">
        <f t="shared" si="164"/>
        <v/>
      </c>
      <c r="P887" s="70"/>
      <c r="Q887" s="71"/>
      <c r="R887" s="71"/>
      <c r="S887" s="31"/>
    </row>
    <row r="888">
      <c r="A888" s="31"/>
      <c r="B888" s="77"/>
      <c r="C888" s="44"/>
      <c r="D888" s="121"/>
      <c r="E888" s="64"/>
      <c r="F888" s="64"/>
      <c r="G888" s="71"/>
      <c r="H888" s="68"/>
      <c r="I888" s="69"/>
      <c r="J888" s="44" t="str">
        <f t="shared" si="113"/>
        <v/>
      </c>
      <c r="K888" s="44" t="str">
        <f t="shared" si="163"/>
        <v/>
      </c>
      <c r="L888" s="68"/>
      <c r="M888" s="69"/>
      <c r="N888" s="44" t="str">
        <f t="shared" si="111"/>
        <v/>
      </c>
      <c r="O888" s="44" t="str">
        <f t="shared" si="164"/>
        <v/>
      </c>
      <c r="P888" s="70"/>
      <c r="Q888" s="71"/>
      <c r="R888" s="71"/>
      <c r="S888" s="31"/>
    </row>
    <row r="889">
      <c r="A889" s="31"/>
      <c r="B889" s="77"/>
      <c r="C889" s="44"/>
      <c r="D889" s="121"/>
      <c r="E889" s="64"/>
      <c r="F889" s="64"/>
      <c r="G889" s="71"/>
      <c r="H889" s="68"/>
      <c r="I889" s="69"/>
      <c r="J889" s="44" t="str">
        <f t="shared" si="113"/>
        <v/>
      </c>
      <c r="K889" s="44" t="str">
        <f t="shared" si="163"/>
        <v/>
      </c>
      <c r="L889" s="68"/>
      <c r="M889" s="69"/>
      <c r="N889" s="44" t="str">
        <f t="shared" si="111"/>
        <v/>
      </c>
      <c r="O889" s="44" t="str">
        <f t="shared" si="164"/>
        <v/>
      </c>
      <c r="P889" s="70"/>
      <c r="Q889" s="71"/>
      <c r="R889" s="71"/>
      <c r="S889" s="31"/>
    </row>
    <row r="890">
      <c r="A890" s="31"/>
      <c r="B890" s="77"/>
      <c r="C890" s="44"/>
      <c r="D890" s="121"/>
      <c r="E890" s="64"/>
      <c r="F890" s="64"/>
      <c r="G890" s="71"/>
      <c r="H890" s="68"/>
      <c r="I890" s="69"/>
      <c r="J890" s="44" t="str">
        <f t="shared" si="113"/>
        <v/>
      </c>
      <c r="K890" s="44" t="str">
        <f t="shared" si="163"/>
        <v/>
      </c>
      <c r="L890" s="68"/>
      <c r="M890" s="69"/>
      <c r="N890" s="44" t="str">
        <f t="shared" si="111"/>
        <v/>
      </c>
      <c r="O890" s="44" t="str">
        <f t="shared" si="164"/>
        <v/>
      </c>
      <c r="P890" s="70"/>
      <c r="Q890" s="71"/>
      <c r="R890" s="71"/>
      <c r="S890" s="31"/>
    </row>
    <row r="891">
      <c r="A891" s="31"/>
      <c r="B891" s="77"/>
      <c r="C891" s="44"/>
      <c r="D891" s="121"/>
      <c r="E891" s="64"/>
      <c r="F891" s="64"/>
      <c r="G891" s="71"/>
      <c r="H891" s="68"/>
      <c r="I891" s="69"/>
      <c r="J891" s="44"/>
      <c r="K891" s="44" t="str">
        <f t="shared" si="163"/>
        <v/>
      </c>
      <c r="L891" s="68"/>
      <c r="M891" s="69"/>
      <c r="N891" s="44" t="str">
        <f t="shared" si="111"/>
        <v/>
      </c>
      <c r="O891" s="44" t="str">
        <f t="shared" si="164"/>
        <v/>
      </c>
      <c r="P891" s="70"/>
      <c r="Q891" s="71"/>
      <c r="R891" s="71"/>
      <c r="S891" s="31"/>
    </row>
    <row r="892">
      <c r="A892" s="31"/>
      <c r="B892" s="77"/>
      <c r="C892" s="44"/>
      <c r="D892" s="121"/>
      <c r="E892" s="64"/>
      <c r="F892" s="64"/>
      <c r="G892" s="71"/>
      <c r="H892" s="68"/>
      <c r="I892" s="69"/>
      <c r="J892" s="44"/>
      <c r="K892" s="44" t="str">
        <f t="shared" si="163"/>
        <v/>
      </c>
      <c r="L892" s="68"/>
      <c r="M892" s="69"/>
      <c r="N892" s="44" t="str">
        <f t="shared" si="111"/>
        <v/>
      </c>
      <c r="O892" s="44" t="str">
        <f t="shared" si="164"/>
        <v/>
      </c>
      <c r="P892" s="70"/>
      <c r="Q892" s="71"/>
      <c r="R892" s="71"/>
      <c r="S892" s="31"/>
    </row>
    <row r="893">
      <c r="A893" s="31"/>
      <c r="B893" s="77"/>
      <c r="C893" s="44"/>
      <c r="D893" s="121"/>
      <c r="E893" s="64"/>
      <c r="F893" s="64"/>
      <c r="G893" s="71"/>
      <c r="H893" s="68"/>
      <c r="I893" s="69"/>
      <c r="J893" s="44"/>
      <c r="K893" s="44" t="str">
        <f t="shared" si="163"/>
        <v/>
      </c>
      <c r="L893" s="68"/>
      <c r="M893" s="69"/>
      <c r="N893" s="44" t="str">
        <f t="shared" si="111"/>
        <v/>
      </c>
      <c r="O893" s="44" t="str">
        <f t="shared" si="164"/>
        <v/>
      </c>
      <c r="P893" s="70"/>
      <c r="Q893" s="71"/>
      <c r="R893" s="71"/>
      <c r="S893" s="31"/>
    </row>
    <row r="894">
      <c r="A894" s="31"/>
      <c r="B894" s="77"/>
      <c r="C894" s="44"/>
      <c r="D894" s="121"/>
      <c r="E894" s="64"/>
      <c r="F894" s="64"/>
      <c r="G894" s="71"/>
      <c r="H894" s="68"/>
      <c r="I894" s="69"/>
      <c r="J894" s="44"/>
      <c r="K894" s="44" t="str">
        <f t="shared" si="163"/>
        <v/>
      </c>
      <c r="L894" s="68"/>
      <c r="M894" s="69"/>
      <c r="N894" s="44" t="str">
        <f t="shared" si="111"/>
        <v/>
      </c>
      <c r="O894" s="44" t="str">
        <f t="shared" si="164"/>
        <v/>
      </c>
      <c r="P894" s="70"/>
      <c r="Q894" s="71"/>
      <c r="R894" s="71"/>
      <c r="S894" s="31"/>
    </row>
    <row r="895">
      <c r="A895" s="31"/>
      <c r="B895" s="77"/>
      <c r="C895" s="44"/>
      <c r="D895" s="121"/>
      <c r="E895" s="64"/>
      <c r="F895" s="64"/>
      <c r="G895" s="71"/>
      <c r="H895" s="68"/>
      <c r="I895" s="69"/>
      <c r="J895" s="44"/>
      <c r="K895" s="44" t="str">
        <f t="shared" si="163"/>
        <v/>
      </c>
      <c r="L895" s="68"/>
      <c r="M895" s="69"/>
      <c r="N895" s="44" t="str">
        <f t="shared" si="111"/>
        <v/>
      </c>
      <c r="O895" s="44" t="str">
        <f t="shared" si="164"/>
        <v/>
      </c>
      <c r="P895" s="70"/>
      <c r="Q895" s="71"/>
      <c r="R895" s="71"/>
      <c r="S895" s="31"/>
    </row>
    <row r="896">
      <c r="A896" s="31"/>
      <c r="B896" s="77"/>
      <c r="C896" s="44"/>
      <c r="D896" s="121"/>
      <c r="E896" s="64"/>
      <c r="F896" s="64"/>
      <c r="G896" s="71"/>
      <c r="H896" s="68"/>
      <c r="I896" s="69"/>
      <c r="J896" s="44"/>
      <c r="K896" s="44" t="str">
        <f t="shared" si="163"/>
        <v/>
      </c>
      <c r="L896" s="68"/>
      <c r="M896" s="69"/>
      <c r="N896" s="44" t="str">
        <f t="shared" si="111"/>
        <v/>
      </c>
      <c r="O896" s="44" t="str">
        <f t="shared" si="164"/>
        <v/>
      </c>
      <c r="P896" s="70"/>
      <c r="Q896" s="71"/>
      <c r="R896" s="71"/>
      <c r="S896" s="31"/>
    </row>
    <row r="897">
      <c r="A897" s="31"/>
      <c r="B897" s="77"/>
      <c r="C897" s="44"/>
      <c r="D897" s="121"/>
      <c r="E897" s="64"/>
      <c r="F897" s="64"/>
      <c r="G897" s="71"/>
      <c r="H897" s="68"/>
      <c r="I897" s="69"/>
      <c r="J897" s="44"/>
      <c r="K897" s="44" t="str">
        <f t="shared" si="163"/>
        <v/>
      </c>
      <c r="L897" s="68"/>
      <c r="M897" s="69"/>
      <c r="N897" s="44" t="str">
        <f t="shared" si="111"/>
        <v/>
      </c>
      <c r="O897" s="44" t="str">
        <f t="shared" si="164"/>
        <v/>
      </c>
      <c r="P897" s="70"/>
      <c r="Q897" s="71"/>
      <c r="R897" s="71"/>
      <c r="S897" s="31"/>
    </row>
    <row r="898">
      <c r="A898" s="31"/>
      <c r="B898" s="77"/>
      <c r="C898" s="44"/>
      <c r="D898" s="121"/>
      <c r="E898" s="64"/>
      <c r="F898" s="64"/>
      <c r="G898" s="71"/>
      <c r="H898" s="68"/>
      <c r="I898" s="69"/>
      <c r="J898" s="44"/>
      <c r="K898" s="44" t="str">
        <f t="shared" si="163"/>
        <v/>
      </c>
      <c r="L898" s="68"/>
      <c r="M898" s="69"/>
      <c r="N898" s="44" t="str">
        <f t="shared" si="111"/>
        <v/>
      </c>
      <c r="O898" s="44" t="str">
        <f t="shared" si="164"/>
        <v/>
      </c>
      <c r="P898" s="70"/>
      <c r="Q898" s="71"/>
      <c r="R898" s="71"/>
      <c r="S898" s="31"/>
    </row>
    <row r="899">
      <c r="A899" s="31"/>
      <c r="B899" s="77"/>
      <c r="C899" s="44"/>
      <c r="D899" s="121"/>
      <c r="E899" s="64"/>
      <c r="F899" s="64"/>
      <c r="G899" s="71"/>
      <c r="H899" s="68"/>
      <c r="I899" s="69"/>
      <c r="J899" s="44"/>
      <c r="K899" s="44" t="str">
        <f t="shared" si="163"/>
        <v/>
      </c>
      <c r="L899" s="68"/>
      <c r="M899" s="69"/>
      <c r="N899" s="44" t="str">
        <f t="shared" si="111"/>
        <v/>
      </c>
      <c r="O899" s="44" t="str">
        <f t="shared" si="164"/>
        <v/>
      </c>
      <c r="P899" s="70"/>
      <c r="Q899" s="71"/>
      <c r="R899" s="71"/>
      <c r="S899" s="31"/>
    </row>
    <row r="900">
      <c r="A900" s="31"/>
      <c r="B900" s="77"/>
      <c r="C900" s="44"/>
      <c r="D900" s="121"/>
      <c r="E900" s="64"/>
      <c r="F900" s="64"/>
      <c r="G900" s="71"/>
      <c r="H900" s="68"/>
      <c r="I900" s="69"/>
      <c r="J900" s="44"/>
      <c r="K900" s="44" t="str">
        <f t="shared" si="163"/>
        <v/>
      </c>
      <c r="L900" s="68"/>
      <c r="M900" s="69"/>
      <c r="N900" s="44" t="str">
        <f t="shared" si="111"/>
        <v/>
      </c>
      <c r="O900" s="44" t="str">
        <f t="shared" si="164"/>
        <v/>
      </c>
      <c r="P900" s="70"/>
      <c r="Q900" s="71"/>
      <c r="R900" s="71"/>
      <c r="S900" s="31"/>
    </row>
    <row r="901">
      <c r="A901" s="31"/>
      <c r="B901" s="77"/>
      <c r="C901" s="44"/>
      <c r="D901" s="121"/>
      <c r="E901" s="64"/>
      <c r="F901" s="64"/>
      <c r="G901" s="71"/>
      <c r="H901" s="68"/>
      <c r="I901" s="69"/>
      <c r="J901" s="44"/>
      <c r="K901" s="44" t="str">
        <f t="shared" si="163"/>
        <v/>
      </c>
      <c r="L901" s="68"/>
      <c r="M901" s="69"/>
      <c r="N901" s="44" t="str">
        <f t="shared" si="111"/>
        <v/>
      </c>
      <c r="O901" s="44" t="str">
        <f t="shared" si="164"/>
        <v/>
      </c>
      <c r="P901" s="70"/>
      <c r="Q901" s="71"/>
      <c r="R901" s="71"/>
      <c r="S901" s="31"/>
    </row>
    <row r="902">
      <c r="A902" s="31"/>
      <c r="B902" s="77"/>
      <c r="C902" s="44"/>
      <c r="D902" s="121"/>
      <c r="E902" s="64"/>
      <c r="F902" s="64"/>
      <c r="G902" s="71"/>
      <c r="H902" s="68"/>
      <c r="I902" s="69"/>
      <c r="J902" s="44"/>
      <c r="K902" s="44" t="str">
        <f t="shared" si="163"/>
        <v/>
      </c>
      <c r="L902" s="68"/>
      <c r="M902" s="69"/>
      <c r="N902" s="44" t="str">
        <f t="shared" si="111"/>
        <v/>
      </c>
      <c r="O902" s="44" t="str">
        <f t="shared" si="164"/>
        <v/>
      </c>
      <c r="P902" s="70"/>
      <c r="Q902" s="71"/>
      <c r="R902" s="71"/>
      <c r="S902" s="31"/>
    </row>
    <row r="903">
      <c r="A903" s="31"/>
      <c r="B903" s="77"/>
      <c r="C903" s="44"/>
      <c r="D903" s="121"/>
      <c r="E903" s="64"/>
      <c r="F903" s="64"/>
      <c r="G903" s="71"/>
      <c r="H903" s="68"/>
      <c r="I903" s="69"/>
      <c r="J903" s="44"/>
      <c r="K903" s="44" t="str">
        <f t="shared" si="163"/>
        <v/>
      </c>
      <c r="L903" s="68"/>
      <c r="M903" s="69"/>
      <c r="N903" s="44" t="str">
        <f t="shared" si="111"/>
        <v/>
      </c>
      <c r="O903" s="44" t="str">
        <f t="shared" si="164"/>
        <v/>
      </c>
      <c r="P903" s="70"/>
      <c r="Q903" s="71"/>
      <c r="R903" s="71"/>
      <c r="S903" s="31"/>
    </row>
    <row r="904">
      <c r="A904" s="31"/>
      <c r="B904" s="77"/>
      <c r="C904" s="44"/>
      <c r="D904" s="121"/>
      <c r="E904" s="64"/>
      <c r="F904" s="64"/>
      <c r="G904" s="71"/>
      <c r="H904" s="68"/>
      <c r="I904" s="69"/>
      <c r="J904" s="44"/>
      <c r="K904" s="44" t="str">
        <f t="shared" si="163"/>
        <v/>
      </c>
      <c r="L904" s="68"/>
      <c r="M904" s="69"/>
      <c r="N904" s="44" t="str">
        <f t="shared" si="111"/>
        <v/>
      </c>
      <c r="O904" s="44" t="str">
        <f t="shared" si="164"/>
        <v/>
      </c>
      <c r="P904" s="70"/>
      <c r="Q904" s="71"/>
      <c r="R904" s="71"/>
      <c r="S904" s="31"/>
    </row>
    <row r="905">
      <c r="A905" s="31"/>
      <c r="B905" s="77"/>
      <c r="C905" s="44"/>
      <c r="D905" s="121"/>
      <c r="E905" s="64"/>
      <c r="F905" s="64"/>
      <c r="G905" s="71"/>
      <c r="H905" s="68"/>
      <c r="I905" s="69"/>
      <c r="J905" s="44"/>
      <c r="K905" s="44" t="str">
        <f t="shared" si="163"/>
        <v/>
      </c>
      <c r="L905" s="68"/>
      <c r="M905" s="69"/>
      <c r="N905" s="44" t="str">
        <f t="shared" si="111"/>
        <v/>
      </c>
      <c r="O905" s="44" t="str">
        <f t="shared" si="164"/>
        <v/>
      </c>
      <c r="P905" s="70"/>
      <c r="Q905" s="71"/>
      <c r="R905" s="71"/>
      <c r="S905" s="31"/>
    </row>
    <row r="906">
      <c r="A906" s="31"/>
      <c r="B906" s="77"/>
      <c r="C906" s="44"/>
      <c r="D906" s="121"/>
      <c r="E906" s="64"/>
      <c r="F906" s="64"/>
      <c r="G906" s="71"/>
      <c r="H906" s="68"/>
      <c r="I906" s="69"/>
      <c r="J906" s="44"/>
      <c r="K906" s="44" t="str">
        <f t="shared" si="163"/>
        <v/>
      </c>
      <c r="L906" s="68"/>
      <c r="M906" s="69"/>
      <c r="N906" s="44" t="str">
        <f t="shared" si="111"/>
        <v/>
      </c>
      <c r="O906" s="44" t="str">
        <f t="shared" si="164"/>
        <v/>
      </c>
      <c r="P906" s="70"/>
      <c r="Q906" s="71"/>
      <c r="R906" s="71"/>
      <c r="S906" s="31"/>
    </row>
    <row r="907">
      <c r="A907" s="31"/>
      <c r="B907" s="77"/>
      <c r="C907" s="44"/>
      <c r="D907" s="121"/>
      <c r="E907" s="64"/>
      <c r="F907" s="64"/>
      <c r="G907" s="71"/>
      <c r="H907" s="68"/>
      <c r="I907" s="69"/>
      <c r="J907" s="44"/>
      <c r="K907" s="44" t="str">
        <f t="shared" si="163"/>
        <v/>
      </c>
      <c r="L907" s="68"/>
      <c r="M907" s="69"/>
      <c r="N907" s="44" t="str">
        <f t="shared" si="111"/>
        <v/>
      </c>
      <c r="O907" s="44" t="str">
        <f t="shared" si="164"/>
        <v/>
      </c>
      <c r="P907" s="70"/>
      <c r="Q907" s="71"/>
      <c r="R907" s="71"/>
      <c r="S907" s="31"/>
    </row>
    <row r="908">
      <c r="A908" s="31"/>
      <c r="B908" s="77"/>
      <c r="C908" s="44"/>
      <c r="D908" s="121"/>
      <c r="E908" s="64"/>
      <c r="F908" s="64"/>
      <c r="G908" s="71"/>
      <c r="H908" s="68"/>
      <c r="I908" s="69"/>
      <c r="J908" s="44"/>
      <c r="K908" s="44" t="str">
        <f t="shared" si="163"/>
        <v/>
      </c>
      <c r="L908" s="68"/>
      <c r="M908" s="69"/>
      <c r="N908" s="44" t="str">
        <f t="shared" si="111"/>
        <v/>
      </c>
      <c r="O908" s="44" t="str">
        <f t="shared" si="164"/>
        <v/>
      </c>
      <c r="P908" s="70"/>
      <c r="Q908" s="71"/>
      <c r="R908" s="71"/>
      <c r="S908" s="31"/>
    </row>
    <row r="909">
      <c r="A909" s="31"/>
      <c r="B909" s="77"/>
      <c r="C909" s="44"/>
      <c r="D909" s="121"/>
      <c r="E909" s="64"/>
      <c r="F909" s="64"/>
      <c r="G909" s="71"/>
      <c r="H909" s="68"/>
      <c r="I909" s="69"/>
      <c r="J909" s="44"/>
      <c r="K909" s="44" t="str">
        <f t="shared" si="163"/>
        <v/>
      </c>
      <c r="L909" s="68"/>
      <c r="M909" s="69"/>
      <c r="N909" s="44" t="str">
        <f t="shared" si="111"/>
        <v/>
      </c>
      <c r="O909" s="44" t="str">
        <f t="shared" si="164"/>
        <v/>
      </c>
      <c r="P909" s="70"/>
      <c r="Q909" s="71"/>
      <c r="R909" s="71"/>
      <c r="S909" s="31"/>
    </row>
    <row r="910">
      <c r="A910" s="31"/>
      <c r="B910" s="77"/>
      <c r="C910" s="44"/>
      <c r="D910" s="121"/>
      <c r="E910" s="64"/>
      <c r="F910" s="64"/>
      <c r="G910" s="71"/>
      <c r="H910" s="68"/>
      <c r="I910" s="69"/>
      <c r="J910" s="44"/>
      <c r="K910" s="44" t="str">
        <f t="shared" si="163"/>
        <v/>
      </c>
      <c r="L910" s="68"/>
      <c r="M910" s="69"/>
      <c r="N910" s="44" t="str">
        <f t="shared" si="111"/>
        <v/>
      </c>
      <c r="O910" s="44" t="str">
        <f t="shared" si="164"/>
        <v/>
      </c>
      <c r="P910" s="70"/>
      <c r="Q910" s="71"/>
      <c r="R910" s="71"/>
      <c r="S910" s="31"/>
    </row>
    <row r="911">
      <c r="A911" s="31"/>
      <c r="B911" s="77"/>
      <c r="C911" s="44"/>
      <c r="D911" s="121"/>
      <c r="E911" s="64"/>
      <c r="F911" s="64"/>
      <c r="G911" s="71"/>
      <c r="H911" s="68"/>
      <c r="I911" s="69"/>
      <c r="J911" s="44"/>
      <c r="K911" s="44" t="str">
        <f t="shared" si="163"/>
        <v/>
      </c>
      <c r="L911" s="68"/>
      <c r="M911" s="69"/>
      <c r="N911" s="44" t="str">
        <f t="shared" si="111"/>
        <v/>
      </c>
      <c r="O911" s="44" t="str">
        <f t="shared" si="164"/>
        <v/>
      </c>
      <c r="P911" s="70"/>
      <c r="Q911" s="71"/>
      <c r="R911" s="71"/>
      <c r="S911" s="31"/>
    </row>
    <row r="912">
      <c r="A912" s="31"/>
      <c r="B912" s="77"/>
      <c r="C912" s="44"/>
      <c r="D912" s="121"/>
      <c r="E912" s="64"/>
      <c r="F912" s="64"/>
      <c r="G912" s="71"/>
      <c r="H912" s="68"/>
      <c r="I912" s="69"/>
      <c r="J912" s="44"/>
      <c r="K912" s="44" t="str">
        <f t="shared" si="163"/>
        <v/>
      </c>
      <c r="L912" s="68"/>
      <c r="M912" s="69"/>
      <c r="N912" s="44" t="str">
        <f t="shared" si="111"/>
        <v/>
      </c>
      <c r="O912" s="44" t="str">
        <f t="shared" si="164"/>
        <v/>
      </c>
      <c r="P912" s="70"/>
      <c r="Q912" s="71"/>
      <c r="R912" s="71"/>
      <c r="S912" s="31"/>
    </row>
    <row r="913">
      <c r="A913" s="31"/>
      <c r="B913" s="77"/>
      <c r="C913" s="44"/>
      <c r="D913" s="121"/>
      <c r="E913" s="64"/>
      <c r="F913" s="64"/>
      <c r="G913" s="71"/>
      <c r="H913" s="68"/>
      <c r="I913" s="69"/>
      <c r="J913" s="44"/>
      <c r="K913" s="44" t="str">
        <f t="shared" si="163"/>
        <v/>
      </c>
      <c r="L913" s="68"/>
      <c r="M913" s="69"/>
      <c r="N913" s="44" t="str">
        <f t="shared" si="111"/>
        <v/>
      </c>
      <c r="O913" s="44" t="str">
        <f t="shared" si="164"/>
        <v/>
      </c>
      <c r="P913" s="70"/>
      <c r="Q913" s="71"/>
      <c r="R913" s="71"/>
      <c r="S913" s="31"/>
    </row>
    <row r="914">
      <c r="A914" s="31"/>
      <c r="B914" s="77"/>
      <c r="C914" s="44"/>
      <c r="D914" s="121"/>
      <c r="E914" s="64"/>
      <c r="F914" s="64"/>
      <c r="G914" s="71"/>
      <c r="H914" s="68"/>
      <c r="I914" s="69"/>
      <c r="J914" s="44"/>
      <c r="K914" s="44" t="str">
        <f t="shared" si="163"/>
        <v/>
      </c>
      <c r="L914" s="68"/>
      <c r="M914" s="69"/>
      <c r="N914" s="44" t="str">
        <f t="shared" si="111"/>
        <v/>
      </c>
      <c r="O914" s="44" t="str">
        <f t="shared" si="164"/>
        <v/>
      </c>
      <c r="P914" s="70"/>
      <c r="Q914" s="71"/>
      <c r="R914" s="71"/>
      <c r="S914" s="31"/>
    </row>
    <row r="915">
      <c r="A915" s="31"/>
      <c r="B915" s="77"/>
      <c r="C915" s="44"/>
      <c r="D915" s="121"/>
      <c r="E915" s="64"/>
      <c r="F915" s="64"/>
      <c r="G915" s="71"/>
      <c r="H915" s="68"/>
      <c r="I915" s="69"/>
      <c r="J915" s="44"/>
      <c r="K915" s="44" t="str">
        <f t="shared" si="163"/>
        <v/>
      </c>
      <c r="L915" s="68"/>
      <c r="M915" s="69"/>
      <c r="N915" s="44" t="str">
        <f t="shared" si="111"/>
        <v/>
      </c>
      <c r="O915" s="44" t="str">
        <f t="shared" si="164"/>
        <v/>
      </c>
      <c r="P915" s="70"/>
      <c r="Q915" s="71"/>
      <c r="R915" s="71"/>
      <c r="S915" s="31"/>
    </row>
    <row r="916">
      <c r="A916" s="31"/>
      <c r="B916" s="77"/>
      <c r="C916" s="44"/>
      <c r="D916" s="121"/>
      <c r="E916" s="64"/>
      <c r="F916" s="64"/>
      <c r="G916" s="71"/>
      <c r="H916" s="68"/>
      <c r="I916" s="69"/>
      <c r="J916" s="44"/>
      <c r="K916" s="44" t="str">
        <f t="shared" si="163"/>
        <v/>
      </c>
      <c r="L916" s="68"/>
      <c r="M916" s="69"/>
      <c r="N916" s="44" t="str">
        <f t="shared" si="111"/>
        <v/>
      </c>
      <c r="O916" s="44" t="str">
        <f t="shared" si="164"/>
        <v/>
      </c>
      <c r="P916" s="70"/>
      <c r="Q916" s="71"/>
      <c r="R916" s="71"/>
      <c r="S916" s="31"/>
    </row>
    <row r="917">
      <c r="A917" s="31"/>
      <c r="B917" s="77"/>
      <c r="C917" s="44"/>
      <c r="D917" s="121"/>
      <c r="E917" s="64"/>
      <c r="F917" s="64"/>
      <c r="G917" s="71"/>
      <c r="H917" s="68"/>
      <c r="I917" s="69"/>
      <c r="J917" s="44"/>
      <c r="K917" s="44" t="str">
        <f t="shared" si="163"/>
        <v/>
      </c>
      <c r="L917" s="68"/>
      <c r="M917" s="69"/>
      <c r="N917" s="44" t="str">
        <f t="shared" si="111"/>
        <v/>
      </c>
      <c r="O917" s="44" t="str">
        <f t="shared" si="164"/>
        <v/>
      </c>
      <c r="P917" s="70"/>
      <c r="Q917" s="71"/>
      <c r="R917" s="71"/>
      <c r="S917" s="31"/>
    </row>
    <row r="918">
      <c r="A918" s="31"/>
      <c r="B918" s="77"/>
      <c r="C918" s="44"/>
      <c r="D918" s="121"/>
      <c r="E918" s="64"/>
      <c r="F918" s="64"/>
      <c r="G918" s="71"/>
      <c r="H918" s="68"/>
      <c r="I918" s="69"/>
      <c r="J918" s="44"/>
      <c r="K918" s="44" t="str">
        <f t="shared" si="163"/>
        <v/>
      </c>
      <c r="L918" s="68"/>
      <c r="M918" s="69"/>
      <c r="N918" s="44" t="str">
        <f t="shared" si="111"/>
        <v/>
      </c>
      <c r="O918" s="44" t="str">
        <f t="shared" si="164"/>
        <v/>
      </c>
      <c r="P918" s="70"/>
      <c r="Q918" s="71"/>
      <c r="R918" s="71"/>
      <c r="S918" s="31"/>
    </row>
    <row r="919">
      <c r="A919" s="31"/>
      <c r="B919" s="77"/>
      <c r="C919" s="44"/>
      <c r="D919" s="121"/>
      <c r="E919" s="64"/>
      <c r="F919" s="64"/>
      <c r="G919" s="71"/>
      <c r="H919" s="68"/>
      <c r="I919" s="69"/>
      <c r="J919" s="44"/>
      <c r="K919" s="44" t="str">
        <f t="shared" si="163"/>
        <v/>
      </c>
      <c r="L919" s="68"/>
      <c r="M919" s="69"/>
      <c r="N919" s="44" t="str">
        <f t="shared" si="111"/>
        <v/>
      </c>
      <c r="O919" s="44" t="str">
        <f t="shared" si="164"/>
        <v/>
      </c>
      <c r="P919" s="70"/>
      <c r="Q919" s="71"/>
      <c r="R919" s="71"/>
      <c r="S919" s="31"/>
    </row>
    <row r="920">
      <c r="A920" s="31"/>
      <c r="B920" s="77"/>
      <c r="C920" s="44"/>
      <c r="D920" s="121"/>
      <c r="E920" s="64"/>
      <c r="F920" s="64"/>
      <c r="G920" s="71"/>
      <c r="H920" s="68"/>
      <c r="I920" s="69"/>
      <c r="J920" s="44"/>
      <c r="K920" s="44" t="str">
        <f t="shared" si="163"/>
        <v/>
      </c>
      <c r="L920" s="68"/>
      <c r="M920" s="69"/>
      <c r="N920" s="44" t="str">
        <f t="shared" si="111"/>
        <v/>
      </c>
      <c r="O920" s="44" t="str">
        <f t="shared" si="164"/>
        <v/>
      </c>
      <c r="P920" s="70"/>
      <c r="Q920" s="71"/>
      <c r="R920" s="71"/>
      <c r="S920" s="31"/>
    </row>
    <row r="921">
      <c r="A921" s="31"/>
      <c r="B921" s="77"/>
      <c r="C921" s="44"/>
      <c r="D921" s="121"/>
      <c r="E921" s="64"/>
      <c r="F921" s="64"/>
      <c r="G921" s="71"/>
      <c r="H921" s="68"/>
      <c r="I921" s="69"/>
      <c r="J921" s="44"/>
      <c r="K921" s="44" t="str">
        <f t="shared" si="163"/>
        <v/>
      </c>
      <c r="L921" s="68"/>
      <c r="M921" s="69"/>
      <c r="N921" s="44" t="str">
        <f t="shared" si="111"/>
        <v/>
      </c>
      <c r="O921" s="44" t="str">
        <f t="shared" si="164"/>
        <v/>
      </c>
      <c r="P921" s="70"/>
      <c r="Q921" s="71"/>
      <c r="R921" s="71"/>
      <c r="S921" s="31"/>
    </row>
    <row r="922">
      <c r="A922" s="31"/>
      <c r="B922" s="77"/>
      <c r="C922" s="44"/>
      <c r="D922" s="121"/>
      <c r="E922" s="64"/>
      <c r="F922" s="64"/>
      <c r="G922" s="71"/>
      <c r="H922" s="68"/>
      <c r="I922" s="69"/>
      <c r="J922" s="44"/>
      <c r="K922" s="44" t="str">
        <f t="shared" si="163"/>
        <v/>
      </c>
      <c r="L922" s="68"/>
      <c r="M922" s="69"/>
      <c r="N922" s="44" t="str">
        <f t="shared" si="111"/>
        <v/>
      </c>
      <c r="O922" s="44" t="str">
        <f t="shared" si="164"/>
        <v/>
      </c>
      <c r="P922" s="70"/>
      <c r="Q922" s="71"/>
      <c r="R922" s="71"/>
      <c r="S922" s="31"/>
    </row>
    <row r="923">
      <c r="A923" s="31"/>
      <c r="B923" s="77"/>
      <c r="C923" s="44"/>
      <c r="D923" s="121"/>
      <c r="E923" s="64"/>
      <c r="F923" s="64"/>
      <c r="G923" s="71"/>
      <c r="H923" s="68"/>
      <c r="I923" s="69"/>
      <c r="J923" s="44"/>
      <c r="K923" s="44" t="str">
        <f t="shared" si="163"/>
        <v/>
      </c>
      <c r="L923" s="68"/>
      <c r="M923" s="69"/>
      <c r="N923" s="44" t="str">
        <f t="shared" si="111"/>
        <v/>
      </c>
      <c r="O923" s="44" t="str">
        <f t="shared" si="164"/>
        <v/>
      </c>
      <c r="P923" s="70"/>
      <c r="Q923" s="71"/>
      <c r="R923" s="71"/>
      <c r="S923" s="31"/>
    </row>
    <row r="924">
      <c r="A924" s="31"/>
      <c r="B924" s="77"/>
      <c r="C924" s="44"/>
      <c r="D924" s="121"/>
      <c r="E924" s="64"/>
      <c r="F924" s="64"/>
      <c r="G924" s="71"/>
      <c r="H924" s="68"/>
      <c r="I924" s="69"/>
      <c r="J924" s="44"/>
      <c r="K924" s="44" t="str">
        <f t="shared" si="163"/>
        <v/>
      </c>
      <c r="L924" s="68"/>
      <c r="M924" s="69"/>
      <c r="N924" s="44" t="str">
        <f t="shared" si="111"/>
        <v/>
      </c>
      <c r="O924" s="44" t="str">
        <f t="shared" si="164"/>
        <v/>
      </c>
      <c r="P924" s="70"/>
      <c r="Q924" s="71"/>
      <c r="R924" s="71"/>
      <c r="S924" s="31"/>
    </row>
    <row r="925">
      <c r="A925" s="31"/>
      <c r="B925" s="77"/>
      <c r="C925" s="44"/>
      <c r="D925" s="121"/>
      <c r="E925" s="64"/>
      <c r="F925" s="64"/>
      <c r="G925" s="71"/>
      <c r="H925" s="68"/>
      <c r="I925" s="69"/>
      <c r="J925" s="44"/>
      <c r="K925" s="44" t="str">
        <f t="shared" si="163"/>
        <v/>
      </c>
      <c r="L925" s="68"/>
      <c r="M925" s="69"/>
      <c r="N925" s="44" t="str">
        <f t="shared" si="111"/>
        <v/>
      </c>
      <c r="O925" s="44" t="str">
        <f t="shared" si="164"/>
        <v/>
      </c>
      <c r="P925" s="70"/>
      <c r="Q925" s="71"/>
      <c r="R925" s="71"/>
      <c r="S925" s="31"/>
    </row>
    <row r="926">
      <c r="A926" s="31"/>
      <c r="B926" s="77"/>
      <c r="C926" s="44"/>
      <c r="D926" s="121"/>
      <c r="E926" s="64"/>
      <c r="F926" s="64"/>
      <c r="G926" s="71"/>
      <c r="H926" s="68"/>
      <c r="I926" s="69"/>
      <c r="J926" s="44"/>
      <c r="K926" s="44" t="str">
        <f t="shared" si="163"/>
        <v/>
      </c>
      <c r="L926" s="68"/>
      <c r="M926" s="69"/>
      <c r="N926" s="44" t="str">
        <f t="shared" si="111"/>
        <v/>
      </c>
      <c r="O926" s="44" t="str">
        <f t="shared" si="164"/>
        <v/>
      </c>
      <c r="P926" s="70"/>
      <c r="Q926" s="71"/>
      <c r="R926" s="71"/>
      <c r="S926" s="31"/>
    </row>
    <row r="927">
      <c r="A927" s="31"/>
      <c r="B927" s="77"/>
      <c r="C927" s="44"/>
      <c r="D927" s="121"/>
      <c r="E927" s="64"/>
      <c r="F927" s="64"/>
      <c r="G927" s="71"/>
      <c r="H927" s="68"/>
      <c r="I927" s="69"/>
      <c r="J927" s="44"/>
      <c r="K927" s="44" t="str">
        <f t="shared" si="163"/>
        <v/>
      </c>
      <c r="L927" s="68"/>
      <c r="M927" s="69"/>
      <c r="N927" s="44" t="str">
        <f t="shared" si="111"/>
        <v/>
      </c>
      <c r="O927" s="44" t="str">
        <f t="shared" si="164"/>
        <v/>
      </c>
      <c r="P927" s="70"/>
      <c r="Q927" s="71"/>
      <c r="R927" s="71"/>
      <c r="S927" s="31"/>
    </row>
    <row r="928">
      <c r="A928" s="31"/>
      <c r="B928" s="77"/>
      <c r="C928" s="44"/>
      <c r="D928" s="121"/>
      <c r="E928" s="64"/>
      <c r="F928" s="64"/>
      <c r="G928" s="71"/>
      <c r="H928" s="68"/>
      <c r="I928" s="69"/>
      <c r="J928" s="44"/>
      <c r="K928" s="44" t="str">
        <f t="shared" si="163"/>
        <v/>
      </c>
      <c r="L928" s="68"/>
      <c r="M928" s="69"/>
      <c r="N928" s="44" t="str">
        <f t="shared" si="111"/>
        <v/>
      </c>
      <c r="O928" s="44" t="str">
        <f t="shared" si="164"/>
        <v/>
      </c>
      <c r="P928" s="70"/>
      <c r="Q928" s="71"/>
      <c r="R928" s="71"/>
      <c r="S928" s="31"/>
    </row>
    <row r="929">
      <c r="A929" s="31"/>
      <c r="B929" s="77"/>
      <c r="C929" s="44"/>
      <c r="D929" s="121"/>
      <c r="E929" s="64"/>
      <c r="F929" s="64"/>
      <c r="G929" s="71"/>
      <c r="H929" s="68"/>
      <c r="I929" s="69"/>
      <c r="J929" s="44"/>
      <c r="K929" s="44" t="str">
        <f t="shared" si="163"/>
        <v/>
      </c>
      <c r="L929" s="68"/>
      <c r="M929" s="69"/>
      <c r="N929" s="44" t="str">
        <f t="shared" si="111"/>
        <v/>
      </c>
      <c r="O929" s="44" t="str">
        <f t="shared" si="164"/>
        <v/>
      </c>
      <c r="P929" s="70"/>
      <c r="Q929" s="71"/>
      <c r="R929" s="71"/>
      <c r="S929" s="31"/>
    </row>
    <row r="930">
      <c r="A930" s="31"/>
      <c r="B930" s="77"/>
      <c r="C930" s="44"/>
      <c r="D930" s="121"/>
      <c r="E930" s="64"/>
      <c r="F930" s="64"/>
      <c r="G930" s="71"/>
      <c r="H930" s="68"/>
      <c r="I930" s="69"/>
      <c r="J930" s="44"/>
      <c r="K930" s="44" t="str">
        <f t="shared" si="163"/>
        <v/>
      </c>
      <c r="L930" s="68"/>
      <c r="M930" s="69"/>
      <c r="N930" s="44" t="str">
        <f t="shared" si="111"/>
        <v/>
      </c>
      <c r="O930" s="44" t="str">
        <f t="shared" si="164"/>
        <v/>
      </c>
      <c r="P930" s="70"/>
      <c r="Q930" s="71"/>
      <c r="R930" s="71"/>
      <c r="S930" s="31"/>
    </row>
    <row r="931">
      <c r="A931" s="31"/>
      <c r="B931" s="77"/>
      <c r="C931" s="44"/>
      <c r="D931" s="121"/>
      <c r="E931" s="64"/>
      <c r="F931" s="64"/>
      <c r="G931" s="71"/>
      <c r="H931" s="68"/>
      <c r="I931" s="69"/>
      <c r="J931" s="44"/>
      <c r="K931" s="44" t="str">
        <f t="shared" si="163"/>
        <v/>
      </c>
      <c r="L931" s="68"/>
      <c r="M931" s="69"/>
      <c r="N931" s="44" t="str">
        <f t="shared" si="111"/>
        <v/>
      </c>
      <c r="O931" s="44" t="str">
        <f t="shared" si="164"/>
        <v/>
      </c>
      <c r="P931" s="70"/>
      <c r="Q931" s="71"/>
      <c r="R931" s="71"/>
      <c r="S931" s="31"/>
    </row>
    <row r="932">
      <c r="A932" s="31"/>
      <c r="B932" s="77"/>
      <c r="C932" s="44"/>
      <c r="D932" s="121"/>
      <c r="E932" s="64"/>
      <c r="F932" s="64"/>
      <c r="G932" s="71"/>
      <c r="H932" s="68"/>
      <c r="I932" s="69"/>
      <c r="J932" s="44"/>
      <c r="K932" s="44" t="str">
        <f t="shared" si="163"/>
        <v/>
      </c>
      <c r="L932" s="68"/>
      <c r="M932" s="69"/>
      <c r="N932" s="44" t="str">
        <f t="shared" si="111"/>
        <v/>
      </c>
      <c r="O932" s="44" t="str">
        <f t="shared" si="164"/>
        <v/>
      </c>
      <c r="P932" s="70"/>
      <c r="Q932" s="71"/>
      <c r="R932" s="71"/>
      <c r="S932" s="31"/>
    </row>
    <row r="933">
      <c r="A933" s="31"/>
      <c r="B933" s="77"/>
      <c r="C933" s="44"/>
      <c r="D933" s="121"/>
      <c r="E933" s="64"/>
      <c r="F933" s="64"/>
      <c r="G933" s="71"/>
      <c r="H933" s="68"/>
      <c r="I933" s="69"/>
      <c r="J933" s="44"/>
      <c r="K933" s="44" t="str">
        <f t="shared" si="163"/>
        <v/>
      </c>
      <c r="L933" s="68"/>
      <c r="M933" s="69"/>
      <c r="N933" s="44" t="str">
        <f t="shared" si="111"/>
        <v/>
      </c>
      <c r="O933" s="44" t="str">
        <f t="shared" si="164"/>
        <v/>
      </c>
      <c r="P933" s="70"/>
      <c r="Q933" s="71"/>
      <c r="R933" s="71"/>
      <c r="S933" s="31"/>
    </row>
    <row r="934">
      <c r="A934" s="31"/>
      <c r="B934" s="77"/>
      <c r="C934" s="44"/>
      <c r="D934" s="121"/>
      <c r="E934" s="64"/>
      <c r="F934" s="64"/>
      <c r="G934" s="71"/>
      <c r="H934" s="68"/>
      <c r="I934" s="69"/>
      <c r="J934" s="44"/>
      <c r="K934" s="44" t="str">
        <f t="shared" si="163"/>
        <v/>
      </c>
      <c r="L934" s="68"/>
      <c r="M934" s="69"/>
      <c r="N934" s="44" t="str">
        <f t="shared" si="111"/>
        <v/>
      </c>
      <c r="O934" s="44" t="str">
        <f t="shared" si="164"/>
        <v/>
      </c>
      <c r="P934" s="70"/>
      <c r="Q934" s="71"/>
      <c r="R934" s="71"/>
      <c r="S934" s="31"/>
    </row>
    <row r="935">
      <c r="A935" s="31"/>
      <c r="B935" s="77"/>
      <c r="C935" s="44"/>
      <c r="D935" s="121"/>
      <c r="E935" s="64"/>
      <c r="F935" s="64"/>
      <c r="G935" s="71"/>
      <c r="H935" s="68"/>
      <c r="I935" s="69"/>
      <c r="J935" s="44"/>
      <c r="K935" s="44" t="str">
        <f t="shared" si="163"/>
        <v/>
      </c>
      <c r="L935" s="68"/>
      <c r="M935" s="69"/>
      <c r="N935" s="44" t="str">
        <f t="shared" si="111"/>
        <v/>
      </c>
      <c r="O935" s="44" t="str">
        <f t="shared" si="164"/>
        <v/>
      </c>
      <c r="P935" s="70"/>
      <c r="Q935" s="71"/>
      <c r="R935" s="71"/>
      <c r="S935" s="31"/>
    </row>
    <row r="936">
      <c r="A936" s="31"/>
      <c r="B936" s="77"/>
      <c r="C936" s="44"/>
      <c r="D936" s="121"/>
      <c r="E936" s="64"/>
      <c r="F936" s="64"/>
      <c r="G936" s="71"/>
      <c r="H936" s="68"/>
      <c r="I936" s="69"/>
      <c r="J936" s="44"/>
      <c r="K936" s="44" t="str">
        <f t="shared" si="163"/>
        <v/>
      </c>
      <c r="L936" s="68"/>
      <c r="M936" s="69"/>
      <c r="N936" s="44" t="str">
        <f t="shared" si="111"/>
        <v/>
      </c>
      <c r="O936" s="44" t="str">
        <f t="shared" si="164"/>
        <v/>
      </c>
      <c r="P936" s="70"/>
      <c r="Q936" s="71"/>
      <c r="R936" s="71"/>
      <c r="S936" s="31"/>
    </row>
    <row r="937">
      <c r="A937" s="31"/>
      <c r="B937" s="77"/>
      <c r="C937" s="44"/>
      <c r="D937" s="121"/>
      <c r="E937" s="64"/>
      <c r="F937" s="64"/>
      <c r="G937" s="71"/>
      <c r="H937" s="68"/>
      <c r="I937" s="69"/>
      <c r="J937" s="44"/>
      <c r="K937" s="44" t="str">
        <f t="shared" si="163"/>
        <v/>
      </c>
      <c r="L937" s="68"/>
      <c r="M937" s="69"/>
      <c r="N937" s="44" t="str">
        <f t="shared" si="111"/>
        <v/>
      </c>
      <c r="O937" s="44" t="str">
        <f t="shared" si="164"/>
        <v/>
      </c>
      <c r="P937" s="70"/>
      <c r="Q937" s="71"/>
      <c r="R937" s="71"/>
      <c r="S937" s="31"/>
    </row>
    <row r="938">
      <c r="A938" s="31"/>
      <c r="B938" s="77"/>
      <c r="C938" s="44"/>
      <c r="D938" s="121"/>
      <c r="E938" s="64"/>
      <c r="F938" s="64"/>
      <c r="G938" s="71"/>
      <c r="H938" s="68"/>
      <c r="I938" s="69"/>
      <c r="J938" s="44"/>
      <c r="K938" s="44" t="str">
        <f t="shared" si="163"/>
        <v/>
      </c>
      <c r="L938" s="68"/>
      <c r="M938" s="69"/>
      <c r="N938" s="44" t="str">
        <f t="shared" si="111"/>
        <v/>
      </c>
      <c r="O938" s="44" t="str">
        <f t="shared" si="164"/>
        <v/>
      </c>
      <c r="P938" s="70"/>
      <c r="Q938" s="71"/>
      <c r="R938" s="71"/>
      <c r="S938" s="31"/>
    </row>
    <row r="939">
      <c r="A939" s="31"/>
      <c r="B939" s="77"/>
      <c r="C939" s="44"/>
      <c r="D939" s="121"/>
      <c r="E939" s="64"/>
      <c r="F939" s="64"/>
      <c r="G939" s="71"/>
      <c r="H939" s="68"/>
      <c r="I939" s="69"/>
      <c r="J939" s="44"/>
      <c r="K939" s="44" t="str">
        <f t="shared" si="163"/>
        <v/>
      </c>
      <c r="L939" s="68"/>
      <c r="M939" s="69"/>
      <c r="N939" s="44" t="str">
        <f t="shared" si="111"/>
        <v/>
      </c>
      <c r="O939" s="44" t="str">
        <f t="shared" si="164"/>
        <v/>
      </c>
      <c r="P939" s="70"/>
      <c r="Q939" s="71"/>
      <c r="R939" s="71"/>
      <c r="S939" s="31"/>
    </row>
    <row r="940">
      <c r="A940" s="31"/>
      <c r="B940" s="77"/>
      <c r="C940" s="44"/>
      <c r="D940" s="121"/>
      <c r="E940" s="64"/>
      <c r="F940" s="64"/>
      <c r="G940" s="71"/>
      <c r="H940" s="68"/>
      <c r="I940" s="69"/>
      <c r="J940" s="44"/>
      <c r="K940" s="44" t="str">
        <f t="shared" si="163"/>
        <v/>
      </c>
      <c r="L940" s="68"/>
      <c r="M940" s="69"/>
      <c r="N940" s="44" t="str">
        <f t="shared" si="111"/>
        <v/>
      </c>
      <c r="O940" s="44" t="str">
        <f t="shared" si="164"/>
        <v/>
      </c>
      <c r="P940" s="70"/>
      <c r="Q940" s="71"/>
      <c r="R940" s="71"/>
      <c r="S940" s="31"/>
    </row>
    <row r="941">
      <c r="A941" s="31"/>
      <c r="B941" s="77"/>
      <c r="C941" s="44"/>
      <c r="D941" s="121"/>
      <c r="E941" s="64"/>
      <c r="F941" s="64"/>
      <c r="G941" s="71"/>
      <c r="H941" s="68"/>
      <c r="I941" s="69"/>
      <c r="J941" s="44"/>
      <c r="K941" s="44" t="str">
        <f t="shared" si="163"/>
        <v/>
      </c>
      <c r="L941" s="68"/>
      <c r="M941" s="69"/>
      <c r="N941" s="44" t="str">
        <f t="shared" si="111"/>
        <v/>
      </c>
      <c r="O941" s="44" t="str">
        <f t="shared" si="164"/>
        <v/>
      </c>
      <c r="P941" s="70"/>
      <c r="Q941" s="71"/>
      <c r="R941" s="71"/>
      <c r="S941" s="31"/>
    </row>
    <row r="942">
      <c r="A942" s="31"/>
      <c r="B942" s="77"/>
      <c r="C942" s="44"/>
      <c r="D942" s="121"/>
      <c r="E942" s="64"/>
      <c r="F942" s="64"/>
      <c r="G942" s="71"/>
      <c r="H942" s="68"/>
      <c r="I942" s="69"/>
      <c r="J942" s="44"/>
      <c r="K942" s="44" t="str">
        <f t="shared" si="163"/>
        <v/>
      </c>
      <c r="L942" s="68"/>
      <c r="M942" s="69"/>
      <c r="N942" s="44" t="str">
        <f t="shared" si="111"/>
        <v/>
      </c>
      <c r="O942" s="44" t="str">
        <f t="shared" si="164"/>
        <v/>
      </c>
      <c r="P942" s="70"/>
      <c r="Q942" s="71"/>
      <c r="R942" s="71"/>
      <c r="S942" s="31"/>
    </row>
    <row r="943">
      <c r="A943" s="31"/>
      <c r="B943" s="77"/>
      <c r="C943" s="44"/>
      <c r="D943" s="121"/>
      <c r="E943" s="64"/>
      <c r="F943" s="64"/>
      <c r="G943" s="71"/>
      <c r="H943" s="68"/>
      <c r="I943" s="69"/>
      <c r="J943" s="44"/>
      <c r="K943" s="44" t="str">
        <f t="shared" si="163"/>
        <v/>
      </c>
      <c r="L943" s="68"/>
      <c r="M943" s="69"/>
      <c r="N943" s="44" t="str">
        <f t="shared" si="111"/>
        <v/>
      </c>
      <c r="O943" s="44" t="str">
        <f t="shared" si="164"/>
        <v/>
      </c>
      <c r="P943" s="70"/>
      <c r="Q943" s="71"/>
      <c r="R943" s="71"/>
      <c r="S943" s="31"/>
    </row>
    <row r="944">
      <c r="A944" s="31"/>
      <c r="B944" s="77"/>
      <c r="C944" s="44"/>
      <c r="D944" s="121"/>
      <c r="E944" s="64"/>
      <c r="F944" s="64"/>
      <c r="G944" s="71"/>
      <c r="H944" s="68"/>
      <c r="I944" s="69"/>
      <c r="J944" s="44"/>
      <c r="K944" s="44" t="str">
        <f t="shared" si="163"/>
        <v/>
      </c>
      <c r="L944" s="68"/>
      <c r="M944" s="69"/>
      <c r="N944" s="44" t="str">
        <f t="shared" si="111"/>
        <v/>
      </c>
      <c r="O944" s="44" t="str">
        <f t="shared" si="164"/>
        <v/>
      </c>
      <c r="P944" s="70"/>
      <c r="Q944" s="71"/>
      <c r="R944" s="71"/>
      <c r="S944" s="31"/>
    </row>
    <row r="945">
      <c r="A945" s="31"/>
      <c r="B945" s="77"/>
      <c r="C945" s="44"/>
      <c r="D945" s="121"/>
      <c r="E945" s="64"/>
      <c r="F945" s="64"/>
      <c r="G945" s="71"/>
      <c r="H945" s="68"/>
      <c r="I945" s="69"/>
      <c r="J945" s="44"/>
      <c r="K945" s="44" t="str">
        <f t="shared" si="163"/>
        <v/>
      </c>
      <c r="L945" s="68"/>
      <c r="M945" s="69"/>
      <c r="N945" s="44" t="str">
        <f t="shared" si="111"/>
        <v/>
      </c>
      <c r="O945" s="44" t="str">
        <f t="shared" si="164"/>
        <v/>
      </c>
      <c r="P945" s="70"/>
      <c r="Q945" s="71"/>
      <c r="R945" s="71"/>
      <c r="S945" s="31"/>
    </row>
    <row r="946">
      <c r="A946" s="31"/>
      <c r="B946" s="77"/>
      <c r="C946" s="44"/>
      <c r="D946" s="121"/>
      <c r="E946" s="64"/>
      <c r="F946" s="64"/>
      <c r="G946" s="71"/>
      <c r="H946" s="68"/>
      <c r="I946" s="69"/>
      <c r="J946" s="44"/>
      <c r="K946" s="44" t="str">
        <f t="shared" si="163"/>
        <v/>
      </c>
      <c r="L946" s="68"/>
      <c r="M946" s="69"/>
      <c r="N946" s="44" t="str">
        <f t="shared" si="111"/>
        <v/>
      </c>
      <c r="O946" s="44" t="str">
        <f t="shared" si="164"/>
        <v/>
      </c>
      <c r="P946" s="70"/>
      <c r="Q946" s="71"/>
      <c r="R946" s="71"/>
      <c r="S946" s="31"/>
    </row>
    <row r="947">
      <c r="A947" s="31"/>
      <c r="B947" s="77"/>
      <c r="C947" s="44"/>
      <c r="D947" s="121"/>
      <c r="E947" s="64"/>
      <c r="F947" s="64"/>
      <c r="G947" s="71"/>
      <c r="H947" s="68"/>
      <c r="I947" s="69"/>
      <c r="J947" s="44"/>
      <c r="K947" s="44" t="str">
        <f t="shared" si="163"/>
        <v/>
      </c>
      <c r="L947" s="68"/>
      <c r="M947" s="69"/>
      <c r="N947" s="44" t="str">
        <f t="shared" si="111"/>
        <v/>
      </c>
      <c r="O947" s="44" t="str">
        <f t="shared" si="164"/>
        <v/>
      </c>
      <c r="P947" s="70"/>
      <c r="Q947" s="71"/>
      <c r="R947" s="71"/>
      <c r="S947" s="31"/>
    </row>
    <row r="948">
      <c r="A948" s="31"/>
      <c r="B948" s="77"/>
      <c r="C948" s="44"/>
      <c r="D948" s="121"/>
      <c r="E948" s="64"/>
      <c r="F948" s="64"/>
      <c r="G948" s="71"/>
      <c r="H948" s="68"/>
      <c r="I948" s="69"/>
      <c r="J948" s="44"/>
      <c r="K948" s="44" t="str">
        <f t="shared" si="163"/>
        <v/>
      </c>
      <c r="L948" s="68"/>
      <c r="M948" s="69"/>
      <c r="N948" s="44" t="str">
        <f t="shared" si="111"/>
        <v/>
      </c>
      <c r="O948" s="44" t="str">
        <f t="shared" si="164"/>
        <v/>
      </c>
      <c r="P948" s="70"/>
      <c r="Q948" s="71"/>
      <c r="R948" s="71"/>
      <c r="S948" s="31"/>
    </row>
    <row r="949">
      <c r="A949" s="31"/>
      <c r="B949" s="77"/>
      <c r="C949" s="44"/>
      <c r="D949" s="121"/>
      <c r="E949" s="64"/>
      <c r="F949" s="64"/>
      <c r="G949" s="71"/>
      <c r="H949" s="68"/>
      <c r="I949" s="69"/>
      <c r="J949" s="44"/>
      <c r="K949" s="44" t="str">
        <f t="shared" si="163"/>
        <v/>
      </c>
      <c r="L949" s="68"/>
      <c r="M949" s="69"/>
      <c r="N949" s="44" t="str">
        <f t="shared" si="111"/>
        <v/>
      </c>
      <c r="O949" s="44" t="str">
        <f t="shared" si="164"/>
        <v/>
      </c>
      <c r="P949" s="70"/>
      <c r="Q949" s="71"/>
      <c r="R949" s="71"/>
      <c r="S949" s="31"/>
    </row>
    <row r="950">
      <c r="A950" s="31"/>
      <c r="B950" s="77"/>
      <c r="C950" s="44"/>
      <c r="D950" s="121"/>
      <c r="E950" s="64"/>
      <c r="F950" s="64"/>
      <c r="G950" s="71"/>
      <c r="H950" s="68"/>
      <c r="I950" s="69"/>
      <c r="J950" s="44"/>
      <c r="K950" s="44" t="str">
        <f t="shared" si="163"/>
        <v/>
      </c>
      <c r="L950" s="68"/>
      <c r="M950" s="69"/>
      <c r="N950" s="44" t="str">
        <f t="shared" si="111"/>
        <v/>
      </c>
      <c r="O950" s="44" t="str">
        <f t="shared" si="164"/>
        <v/>
      </c>
      <c r="P950" s="70"/>
      <c r="Q950" s="71"/>
      <c r="R950" s="71"/>
      <c r="S950" s="31"/>
    </row>
    <row r="951">
      <c r="A951" s="31"/>
      <c r="B951" s="77"/>
      <c r="C951" s="44"/>
      <c r="D951" s="121"/>
      <c r="E951" s="64"/>
      <c r="F951" s="64"/>
      <c r="G951" s="71"/>
      <c r="H951" s="68"/>
      <c r="I951" s="69"/>
      <c r="J951" s="44"/>
      <c r="K951" s="44" t="str">
        <f t="shared" si="163"/>
        <v/>
      </c>
      <c r="L951" s="68"/>
      <c r="M951" s="69"/>
      <c r="N951" s="44" t="str">
        <f t="shared" si="111"/>
        <v/>
      </c>
      <c r="O951" s="44" t="str">
        <f t="shared" si="164"/>
        <v/>
      </c>
      <c r="P951" s="70"/>
      <c r="Q951" s="71"/>
      <c r="R951" s="71"/>
      <c r="S951" s="31"/>
    </row>
    <row r="952">
      <c r="A952" s="31"/>
      <c r="B952" s="77"/>
      <c r="C952" s="44"/>
      <c r="D952" s="121"/>
      <c r="E952" s="64"/>
      <c r="F952" s="64"/>
      <c r="G952" s="71"/>
      <c r="H952" s="68"/>
      <c r="I952" s="69"/>
      <c r="J952" s="44"/>
      <c r="K952" s="44" t="str">
        <f t="shared" si="163"/>
        <v/>
      </c>
      <c r="L952" s="68"/>
      <c r="M952" s="69"/>
      <c r="N952" s="44" t="str">
        <f t="shared" si="111"/>
        <v/>
      </c>
      <c r="O952" s="44" t="str">
        <f t="shared" si="164"/>
        <v/>
      </c>
      <c r="P952" s="70"/>
      <c r="Q952" s="71"/>
      <c r="R952" s="71"/>
      <c r="S952" s="31"/>
    </row>
    <row r="953">
      <c r="A953" s="31"/>
      <c r="B953" s="77"/>
      <c r="C953" s="44"/>
      <c r="D953" s="121"/>
      <c r="E953" s="64"/>
      <c r="F953" s="64"/>
      <c r="G953" s="71"/>
      <c r="H953" s="68"/>
      <c r="I953" s="69"/>
      <c r="J953" s="44"/>
      <c r="K953" s="44" t="str">
        <f t="shared" si="163"/>
        <v/>
      </c>
      <c r="L953" s="68"/>
      <c r="M953" s="69"/>
      <c r="N953" s="44" t="str">
        <f t="shared" si="111"/>
        <v/>
      </c>
      <c r="O953" s="44" t="str">
        <f t="shared" si="164"/>
        <v/>
      </c>
      <c r="P953" s="70"/>
      <c r="Q953" s="71"/>
      <c r="R953" s="71"/>
      <c r="S953" s="31"/>
    </row>
    <row r="954">
      <c r="A954" s="31"/>
      <c r="B954" s="77"/>
      <c r="C954" s="44"/>
      <c r="D954" s="121"/>
      <c r="E954" s="64"/>
      <c r="F954" s="64"/>
      <c r="G954" s="71"/>
      <c r="H954" s="68"/>
      <c r="I954" s="69"/>
      <c r="J954" s="44"/>
      <c r="K954" s="44" t="str">
        <f t="shared" si="163"/>
        <v/>
      </c>
      <c r="L954" s="68"/>
      <c r="M954" s="69"/>
      <c r="N954" s="44" t="str">
        <f t="shared" si="111"/>
        <v/>
      </c>
      <c r="O954" s="44" t="str">
        <f t="shared" si="164"/>
        <v/>
      </c>
      <c r="P954" s="70"/>
      <c r="Q954" s="71"/>
      <c r="R954" s="71"/>
      <c r="S954" s="31"/>
    </row>
    <row r="955">
      <c r="A955" s="31"/>
      <c r="B955" s="77"/>
      <c r="C955" s="44"/>
      <c r="D955" s="121"/>
      <c r="E955" s="64"/>
      <c r="F955" s="64"/>
      <c r="G955" s="71"/>
      <c r="H955" s="68"/>
      <c r="I955" s="69"/>
      <c r="J955" s="44"/>
      <c r="K955" s="44" t="str">
        <f t="shared" si="163"/>
        <v/>
      </c>
      <c r="L955" s="68"/>
      <c r="M955" s="69"/>
      <c r="N955" s="44" t="str">
        <f t="shared" si="111"/>
        <v/>
      </c>
      <c r="O955" s="44" t="str">
        <f t="shared" si="164"/>
        <v/>
      </c>
      <c r="P955" s="70"/>
      <c r="Q955" s="71"/>
      <c r="R955" s="71"/>
      <c r="S955" s="31"/>
    </row>
    <row r="956">
      <c r="A956" s="31"/>
      <c r="B956" s="77"/>
      <c r="C956" s="44"/>
      <c r="D956" s="121"/>
      <c r="E956" s="64"/>
      <c r="F956" s="64"/>
      <c r="G956" s="71"/>
      <c r="H956" s="68"/>
      <c r="I956" s="69"/>
      <c r="J956" s="44"/>
      <c r="K956" s="44" t="str">
        <f t="shared" si="163"/>
        <v/>
      </c>
      <c r="L956" s="68"/>
      <c r="M956" s="69"/>
      <c r="N956" s="44" t="str">
        <f t="shared" si="111"/>
        <v/>
      </c>
      <c r="O956" s="44" t="str">
        <f t="shared" si="164"/>
        <v/>
      </c>
      <c r="P956" s="70"/>
      <c r="Q956" s="71"/>
      <c r="R956" s="71"/>
      <c r="S956" s="31"/>
    </row>
    <row r="957">
      <c r="A957" s="31"/>
      <c r="B957" s="77"/>
      <c r="C957" s="44"/>
      <c r="D957" s="121"/>
      <c r="E957" s="64"/>
      <c r="F957" s="64"/>
      <c r="G957" s="71"/>
      <c r="H957" s="68"/>
      <c r="I957" s="69"/>
      <c r="J957" s="44"/>
      <c r="K957" s="44" t="str">
        <f t="shared" si="163"/>
        <v/>
      </c>
      <c r="L957" s="68"/>
      <c r="M957" s="69"/>
      <c r="N957" s="44" t="str">
        <f t="shared" si="111"/>
        <v/>
      </c>
      <c r="O957" s="44" t="str">
        <f t="shared" si="164"/>
        <v/>
      </c>
      <c r="P957" s="70"/>
      <c r="Q957" s="71"/>
      <c r="R957" s="71"/>
      <c r="S957" s="31"/>
    </row>
    <row r="958">
      <c r="A958" s="31"/>
      <c r="B958" s="77"/>
      <c r="C958" s="44"/>
      <c r="D958" s="121"/>
      <c r="E958" s="64"/>
      <c r="F958" s="64"/>
      <c r="G958" s="71"/>
      <c r="H958" s="68"/>
      <c r="I958" s="69"/>
      <c r="J958" s="44"/>
      <c r="K958" s="44" t="str">
        <f t="shared" si="163"/>
        <v/>
      </c>
      <c r="L958" s="68"/>
      <c r="M958" s="69"/>
      <c r="N958" s="44" t="str">
        <f t="shared" si="111"/>
        <v/>
      </c>
      <c r="O958" s="44" t="str">
        <f t="shared" si="164"/>
        <v/>
      </c>
      <c r="P958" s="70"/>
      <c r="Q958" s="71"/>
      <c r="R958" s="71"/>
      <c r="S958" s="31"/>
    </row>
    <row r="959">
      <c r="A959" s="31"/>
      <c r="B959" s="77"/>
      <c r="C959" s="44"/>
      <c r="D959" s="121"/>
      <c r="E959" s="64"/>
      <c r="F959" s="64"/>
      <c r="G959" s="71"/>
      <c r="H959" s="68"/>
      <c r="I959" s="69"/>
      <c r="J959" s="44"/>
      <c r="K959" s="44" t="str">
        <f t="shared" si="163"/>
        <v/>
      </c>
      <c r="L959" s="68"/>
      <c r="M959" s="69"/>
      <c r="N959" s="44" t="str">
        <f t="shared" si="111"/>
        <v/>
      </c>
      <c r="O959" s="44" t="str">
        <f t="shared" si="164"/>
        <v/>
      </c>
      <c r="P959" s="70"/>
      <c r="Q959" s="71"/>
      <c r="R959" s="71"/>
      <c r="S959" s="31"/>
    </row>
    <row r="960">
      <c r="A960" s="31"/>
      <c r="B960" s="77"/>
      <c r="C960" s="44"/>
      <c r="D960" s="121"/>
      <c r="E960" s="64"/>
      <c r="F960" s="64"/>
      <c r="G960" s="71"/>
      <c r="H960" s="68"/>
      <c r="I960" s="69"/>
      <c r="J960" s="44"/>
      <c r="K960" s="44" t="str">
        <f t="shared" si="163"/>
        <v/>
      </c>
      <c r="L960" s="68"/>
      <c r="M960" s="69"/>
      <c r="N960" s="44" t="str">
        <f t="shared" si="111"/>
        <v/>
      </c>
      <c r="O960" s="44" t="str">
        <f t="shared" si="164"/>
        <v/>
      </c>
      <c r="P960" s="70"/>
      <c r="Q960" s="71"/>
      <c r="R960" s="71"/>
      <c r="S960" s="31"/>
    </row>
    <row r="961">
      <c r="A961" s="31"/>
      <c r="B961" s="77"/>
      <c r="C961" s="44"/>
      <c r="D961" s="121"/>
      <c r="E961" s="64"/>
      <c r="F961" s="64"/>
      <c r="G961" s="71"/>
      <c r="H961" s="68"/>
      <c r="I961" s="69"/>
      <c r="J961" s="44"/>
      <c r="K961" s="44" t="str">
        <f t="shared" si="163"/>
        <v/>
      </c>
      <c r="L961" s="68"/>
      <c r="M961" s="69"/>
      <c r="N961" s="44" t="str">
        <f t="shared" si="111"/>
        <v/>
      </c>
      <c r="O961" s="44" t="str">
        <f t="shared" si="164"/>
        <v/>
      </c>
      <c r="P961" s="70"/>
      <c r="Q961" s="71"/>
      <c r="R961" s="71"/>
      <c r="S961" s="31"/>
    </row>
    <row r="962">
      <c r="A962" s="31"/>
      <c r="B962" s="77"/>
      <c r="C962" s="44"/>
      <c r="D962" s="121"/>
      <c r="E962" s="64"/>
      <c r="F962" s="64"/>
      <c r="G962" s="71"/>
      <c r="H962" s="68"/>
      <c r="I962" s="69"/>
      <c r="J962" s="44"/>
      <c r="K962" s="44" t="str">
        <f t="shared" si="163"/>
        <v/>
      </c>
      <c r="L962" s="68"/>
      <c r="M962" s="69"/>
      <c r="N962" s="44" t="str">
        <f t="shared" si="111"/>
        <v/>
      </c>
      <c r="O962" s="44" t="str">
        <f t="shared" si="164"/>
        <v/>
      </c>
      <c r="P962" s="70"/>
      <c r="Q962" s="71"/>
      <c r="R962" s="71"/>
      <c r="S962" s="31"/>
    </row>
    <row r="963">
      <c r="A963" s="31"/>
      <c r="B963" s="77"/>
      <c r="C963" s="44"/>
      <c r="D963" s="121"/>
      <c r="E963" s="64"/>
      <c r="F963" s="64"/>
      <c r="G963" s="71"/>
      <c r="H963" s="68"/>
      <c r="I963" s="69"/>
      <c r="J963" s="44"/>
      <c r="K963" s="44" t="str">
        <f t="shared" si="163"/>
        <v/>
      </c>
      <c r="L963" s="68"/>
      <c r="M963" s="69"/>
      <c r="N963" s="44" t="str">
        <f t="shared" si="111"/>
        <v/>
      </c>
      <c r="O963" s="44" t="str">
        <f t="shared" si="164"/>
        <v/>
      </c>
      <c r="P963" s="70"/>
      <c r="Q963" s="71"/>
      <c r="R963" s="71"/>
      <c r="S963" s="31"/>
    </row>
    <row r="964">
      <c r="A964" s="31"/>
      <c r="B964" s="77"/>
      <c r="C964" s="44"/>
      <c r="D964" s="121"/>
      <c r="E964" s="64"/>
      <c r="F964" s="64"/>
      <c r="G964" s="71"/>
      <c r="H964" s="68"/>
      <c r="I964" s="69"/>
      <c r="J964" s="44"/>
      <c r="K964" s="44" t="str">
        <f t="shared" si="163"/>
        <v/>
      </c>
      <c r="L964" s="68"/>
      <c r="M964" s="69"/>
      <c r="N964" s="44" t="str">
        <f t="shared" si="111"/>
        <v/>
      </c>
      <c r="O964" s="44" t="str">
        <f t="shared" si="164"/>
        <v/>
      </c>
      <c r="P964" s="70"/>
      <c r="Q964" s="71"/>
      <c r="R964" s="71"/>
      <c r="S964" s="31"/>
    </row>
    <row r="965">
      <c r="A965" s="31"/>
      <c r="B965" s="77"/>
      <c r="C965" s="44"/>
      <c r="D965" s="121"/>
      <c r="E965" s="64"/>
      <c r="F965" s="64"/>
      <c r="G965" s="71"/>
      <c r="H965" s="68"/>
      <c r="I965" s="69"/>
      <c r="J965" s="44"/>
      <c r="K965" s="44" t="str">
        <f t="shared" si="163"/>
        <v/>
      </c>
      <c r="L965" s="68"/>
      <c r="M965" s="69"/>
      <c r="N965" s="44" t="str">
        <f t="shared" si="111"/>
        <v/>
      </c>
      <c r="O965" s="44" t="str">
        <f t="shared" si="164"/>
        <v/>
      </c>
      <c r="P965" s="70"/>
      <c r="Q965" s="71"/>
      <c r="R965" s="71"/>
      <c r="S965" s="31"/>
    </row>
    <row r="966">
      <c r="A966" s="31"/>
      <c r="B966" s="77"/>
      <c r="C966" s="44"/>
      <c r="D966" s="121"/>
      <c r="E966" s="64"/>
      <c r="F966" s="64"/>
      <c r="G966" s="71"/>
      <c r="H966" s="68"/>
      <c r="I966" s="69"/>
      <c r="J966" s="44"/>
      <c r="K966" s="44" t="str">
        <f t="shared" si="163"/>
        <v/>
      </c>
      <c r="L966" s="68"/>
      <c r="M966" s="69"/>
      <c r="N966" s="44" t="str">
        <f t="shared" si="111"/>
        <v/>
      </c>
      <c r="O966" s="44" t="str">
        <f t="shared" si="164"/>
        <v/>
      </c>
      <c r="P966" s="70"/>
      <c r="Q966" s="71"/>
      <c r="R966" s="71"/>
      <c r="S966" s="31"/>
    </row>
    <row r="967">
      <c r="A967" s="31"/>
      <c r="B967" s="77"/>
      <c r="C967" s="44"/>
      <c r="D967" s="121"/>
      <c r="E967" s="64"/>
      <c r="F967" s="64"/>
      <c r="G967" s="71"/>
      <c r="H967" s="68"/>
      <c r="I967" s="69"/>
      <c r="J967" s="44"/>
      <c r="K967" s="44" t="str">
        <f t="shared" si="163"/>
        <v/>
      </c>
      <c r="L967" s="68"/>
      <c r="M967" s="69"/>
      <c r="N967" s="44" t="str">
        <f t="shared" si="111"/>
        <v/>
      </c>
      <c r="O967" s="44" t="str">
        <f t="shared" si="164"/>
        <v/>
      </c>
      <c r="P967" s="70"/>
      <c r="Q967" s="71"/>
      <c r="R967" s="71"/>
      <c r="S967" s="31"/>
    </row>
    <row r="968">
      <c r="A968" s="31"/>
      <c r="B968" s="77"/>
      <c r="C968" s="44"/>
      <c r="D968" s="121"/>
      <c r="E968" s="64"/>
      <c r="F968" s="64"/>
      <c r="G968" s="71"/>
      <c r="H968" s="68"/>
      <c r="I968" s="69"/>
      <c r="J968" s="44"/>
      <c r="K968" s="44" t="str">
        <f t="shared" si="163"/>
        <v/>
      </c>
      <c r="L968" s="68"/>
      <c r="M968" s="69"/>
      <c r="N968" s="44" t="str">
        <f t="shared" si="111"/>
        <v/>
      </c>
      <c r="O968" s="44" t="str">
        <f t="shared" si="164"/>
        <v/>
      </c>
      <c r="P968" s="70"/>
      <c r="Q968" s="71"/>
      <c r="R968" s="71"/>
      <c r="S968" s="31"/>
    </row>
    <row r="969">
      <c r="A969" s="31"/>
      <c r="B969" s="77"/>
      <c r="C969" s="44"/>
      <c r="D969" s="121"/>
      <c r="E969" s="64"/>
      <c r="F969" s="64"/>
      <c r="G969" s="71"/>
      <c r="H969" s="68"/>
      <c r="I969" s="69"/>
      <c r="J969" s="44"/>
      <c r="K969" s="44" t="str">
        <f t="shared" si="163"/>
        <v/>
      </c>
      <c r="L969" s="68"/>
      <c r="M969" s="69"/>
      <c r="N969" s="44" t="str">
        <f t="shared" si="111"/>
        <v/>
      </c>
      <c r="O969" s="44" t="str">
        <f t="shared" si="164"/>
        <v/>
      </c>
      <c r="P969" s="70"/>
      <c r="Q969" s="71"/>
      <c r="R969" s="71"/>
      <c r="S969" s="31"/>
    </row>
    <row r="970">
      <c r="A970" s="31"/>
      <c r="B970" s="77"/>
      <c r="C970" s="44"/>
      <c r="D970" s="121"/>
      <c r="E970" s="64"/>
      <c r="F970" s="64"/>
      <c r="G970" s="71"/>
      <c r="H970" s="68"/>
      <c r="I970" s="69"/>
      <c r="J970" s="44"/>
      <c r="K970" s="44" t="str">
        <f t="shared" si="163"/>
        <v/>
      </c>
      <c r="L970" s="68"/>
      <c r="M970" s="69"/>
      <c r="N970" s="44" t="str">
        <f t="shared" si="111"/>
        <v/>
      </c>
      <c r="O970" s="44" t="str">
        <f t="shared" si="164"/>
        <v/>
      </c>
      <c r="P970" s="70"/>
      <c r="Q970" s="71"/>
      <c r="R970" s="71"/>
      <c r="S970" s="31"/>
    </row>
    <row r="971">
      <c r="A971" s="31"/>
      <c r="B971" s="77"/>
      <c r="C971" s="44"/>
      <c r="D971" s="121"/>
      <c r="E971" s="64"/>
      <c r="F971" s="64"/>
      <c r="G971" s="71"/>
      <c r="H971" s="68"/>
      <c r="I971" s="69"/>
      <c r="J971" s="44"/>
      <c r="K971" s="44" t="str">
        <f t="shared" si="163"/>
        <v/>
      </c>
      <c r="L971" s="68"/>
      <c r="M971" s="69"/>
      <c r="N971" s="44" t="str">
        <f t="shared" si="111"/>
        <v/>
      </c>
      <c r="O971" s="44" t="str">
        <f t="shared" si="164"/>
        <v/>
      </c>
      <c r="P971" s="70"/>
      <c r="Q971" s="71"/>
      <c r="R971" s="71"/>
      <c r="S971" s="31"/>
    </row>
    <row r="972">
      <c r="A972" s="31"/>
      <c r="B972" s="77"/>
      <c r="C972" s="44"/>
      <c r="D972" s="121"/>
      <c r="E972" s="64"/>
      <c r="F972" s="64"/>
      <c r="G972" s="71"/>
      <c r="H972" s="68"/>
      <c r="I972" s="69"/>
      <c r="J972" s="44"/>
      <c r="K972" s="44" t="str">
        <f t="shared" si="163"/>
        <v/>
      </c>
      <c r="L972" s="68"/>
      <c r="M972" s="69"/>
      <c r="N972" s="44" t="str">
        <f t="shared" si="111"/>
        <v/>
      </c>
      <c r="O972" s="44" t="str">
        <f t="shared" si="164"/>
        <v/>
      </c>
      <c r="P972" s="70"/>
      <c r="Q972" s="71"/>
      <c r="R972" s="71"/>
      <c r="S972" s="31"/>
    </row>
    <row r="973">
      <c r="A973" s="31"/>
      <c r="B973" s="77"/>
      <c r="C973" s="44"/>
      <c r="D973" s="121"/>
      <c r="E973" s="64"/>
      <c r="F973" s="64"/>
      <c r="G973" s="71"/>
      <c r="H973" s="68"/>
      <c r="I973" s="69"/>
      <c r="J973" s="44"/>
      <c r="K973" s="44" t="str">
        <f t="shared" si="163"/>
        <v/>
      </c>
      <c r="L973" s="68"/>
      <c r="M973" s="69"/>
      <c r="N973" s="44" t="str">
        <f t="shared" si="111"/>
        <v/>
      </c>
      <c r="O973" s="44" t="str">
        <f t="shared" si="164"/>
        <v/>
      </c>
      <c r="P973" s="70"/>
      <c r="Q973" s="71"/>
      <c r="R973" s="71"/>
      <c r="S973" s="31"/>
    </row>
    <row r="974">
      <c r="A974" s="31"/>
      <c r="B974" s="77"/>
      <c r="C974" s="44"/>
      <c r="D974" s="121"/>
      <c r="E974" s="64"/>
      <c r="F974" s="64"/>
      <c r="G974" s="71"/>
      <c r="H974" s="68"/>
      <c r="I974" s="69"/>
      <c r="J974" s="44"/>
      <c r="K974" s="44" t="str">
        <f t="shared" si="163"/>
        <v/>
      </c>
      <c r="L974" s="68"/>
      <c r="M974" s="69"/>
      <c r="N974" s="44" t="str">
        <f t="shared" si="111"/>
        <v/>
      </c>
      <c r="O974" s="44" t="str">
        <f t="shared" si="164"/>
        <v/>
      </c>
      <c r="P974" s="70"/>
      <c r="Q974" s="71"/>
      <c r="R974" s="71"/>
      <c r="S974" s="31"/>
    </row>
    <row r="975">
      <c r="A975" s="31"/>
      <c r="B975" s="77"/>
      <c r="C975" s="44"/>
      <c r="D975" s="121"/>
      <c r="E975" s="64"/>
      <c r="F975" s="64"/>
      <c r="G975" s="71"/>
      <c r="H975" s="68"/>
      <c r="I975" s="69"/>
      <c r="J975" s="44"/>
      <c r="K975" s="44" t="str">
        <f t="shared" si="163"/>
        <v/>
      </c>
      <c r="L975" s="68"/>
      <c r="M975" s="69"/>
      <c r="N975" s="44" t="str">
        <f t="shared" si="111"/>
        <v/>
      </c>
      <c r="O975" s="44" t="str">
        <f t="shared" si="164"/>
        <v/>
      </c>
      <c r="P975" s="70"/>
      <c r="Q975" s="71"/>
      <c r="R975" s="71"/>
      <c r="S975" s="31"/>
    </row>
    <row r="976">
      <c r="A976" s="31"/>
      <c r="B976" s="77"/>
      <c r="C976" s="44"/>
      <c r="D976" s="121"/>
      <c r="E976" s="64"/>
      <c r="F976" s="64"/>
      <c r="G976" s="71"/>
      <c r="H976" s="68"/>
      <c r="I976" s="69"/>
      <c r="J976" s="44"/>
      <c r="K976" s="44" t="str">
        <f t="shared" si="163"/>
        <v/>
      </c>
      <c r="L976" s="68"/>
      <c r="M976" s="69"/>
      <c r="N976" s="44" t="str">
        <f t="shared" si="111"/>
        <v/>
      </c>
      <c r="O976" s="44" t="str">
        <f t="shared" si="164"/>
        <v/>
      </c>
      <c r="P976" s="70"/>
      <c r="Q976" s="71"/>
      <c r="R976" s="71"/>
      <c r="S976" s="31"/>
    </row>
    <row r="977">
      <c r="A977" s="31"/>
      <c r="B977" s="77"/>
      <c r="C977" s="44"/>
      <c r="D977" s="121"/>
      <c r="E977" s="64"/>
      <c r="F977" s="64"/>
      <c r="G977" s="71"/>
      <c r="H977" s="68"/>
      <c r="I977" s="69"/>
      <c r="J977" s="44"/>
      <c r="K977" s="44" t="str">
        <f t="shared" si="163"/>
        <v/>
      </c>
      <c r="L977" s="68"/>
      <c r="M977" s="69"/>
      <c r="N977" s="44" t="str">
        <f t="shared" si="111"/>
        <v/>
      </c>
      <c r="O977" s="44" t="str">
        <f t="shared" si="164"/>
        <v/>
      </c>
      <c r="P977" s="70"/>
      <c r="Q977" s="71"/>
      <c r="R977" s="71"/>
      <c r="S977" s="31"/>
    </row>
    <row r="978">
      <c r="A978" s="31"/>
      <c r="B978" s="77"/>
      <c r="C978" s="44"/>
      <c r="D978" s="121"/>
      <c r="E978" s="64"/>
      <c r="F978" s="64"/>
      <c r="G978" s="71"/>
      <c r="H978" s="68"/>
      <c r="I978" s="69"/>
      <c r="J978" s="44"/>
      <c r="K978" s="44" t="str">
        <f t="shared" si="163"/>
        <v/>
      </c>
      <c r="L978" s="68"/>
      <c r="M978" s="69"/>
      <c r="N978" s="44" t="str">
        <f t="shared" si="111"/>
        <v/>
      </c>
      <c r="O978" s="44" t="str">
        <f t="shared" si="164"/>
        <v/>
      </c>
      <c r="P978" s="70"/>
      <c r="Q978" s="71"/>
      <c r="R978" s="71"/>
      <c r="S978" s="31"/>
    </row>
    <row r="979">
      <c r="A979" s="31"/>
      <c r="B979" s="77"/>
      <c r="C979" s="44"/>
      <c r="D979" s="121"/>
      <c r="E979" s="64"/>
      <c r="F979" s="64"/>
      <c r="G979" s="71"/>
      <c r="H979" s="68"/>
      <c r="I979" s="69"/>
      <c r="J979" s="44"/>
      <c r="K979" s="44" t="str">
        <f t="shared" si="163"/>
        <v/>
      </c>
      <c r="L979" s="68"/>
      <c r="M979" s="69"/>
      <c r="N979" s="44" t="str">
        <f t="shared" si="111"/>
        <v/>
      </c>
      <c r="O979" s="44" t="str">
        <f t="shared" si="164"/>
        <v/>
      </c>
      <c r="P979" s="70"/>
      <c r="Q979" s="71"/>
      <c r="R979" s="71"/>
      <c r="S979" s="31"/>
    </row>
    <row r="980">
      <c r="A980" s="31"/>
      <c r="B980" s="77"/>
      <c r="C980" s="44"/>
      <c r="D980" s="121"/>
      <c r="E980" s="64"/>
      <c r="F980" s="64"/>
      <c r="G980" s="71"/>
      <c r="H980" s="68"/>
      <c r="I980" s="69"/>
      <c r="J980" s="44"/>
      <c r="K980" s="44" t="str">
        <f t="shared" si="163"/>
        <v/>
      </c>
      <c r="L980" s="68"/>
      <c r="M980" s="69"/>
      <c r="N980" s="44" t="str">
        <f t="shared" si="111"/>
        <v/>
      </c>
      <c r="O980" s="44" t="str">
        <f t="shared" si="164"/>
        <v/>
      </c>
      <c r="P980" s="70"/>
      <c r="Q980" s="71"/>
      <c r="R980" s="71"/>
      <c r="S980" s="31"/>
    </row>
    <row r="981">
      <c r="A981" s="31"/>
      <c r="B981" s="77"/>
      <c r="C981" s="44"/>
      <c r="D981" s="121"/>
      <c r="E981" s="64"/>
      <c r="F981" s="64"/>
      <c r="G981" s="71"/>
      <c r="H981" s="68"/>
      <c r="I981" s="69"/>
      <c r="J981" s="44"/>
      <c r="K981" s="44" t="str">
        <f t="shared" si="163"/>
        <v/>
      </c>
      <c r="L981" s="68"/>
      <c r="M981" s="69"/>
      <c r="N981" s="44" t="str">
        <f t="shared" si="111"/>
        <v/>
      </c>
      <c r="O981" s="44" t="str">
        <f t="shared" si="164"/>
        <v/>
      </c>
      <c r="P981" s="70"/>
      <c r="Q981" s="71"/>
      <c r="R981" s="71"/>
      <c r="S981" s="31"/>
    </row>
    <row r="982">
      <c r="A982" s="31"/>
      <c r="B982" s="77"/>
      <c r="C982" s="44"/>
      <c r="D982" s="121"/>
      <c r="E982" s="64"/>
      <c r="F982" s="64"/>
      <c r="G982" s="71"/>
      <c r="H982" s="68"/>
      <c r="I982" s="69"/>
      <c r="J982" s="44"/>
      <c r="K982" s="44" t="str">
        <f t="shared" si="163"/>
        <v/>
      </c>
      <c r="L982" s="68"/>
      <c r="M982" s="69"/>
      <c r="N982" s="44" t="str">
        <f t="shared" si="111"/>
        <v/>
      </c>
      <c r="O982" s="44" t="str">
        <f t="shared" si="164"/>
        <v/>
      </c>
      <c r="P982" s="70"/>
      <c r="Q982" s="71"/>
      <c r="R982" s="71"/>
      <c r="S982" s="31"/>
    </row>
    <row r="983">
      <c r="A983" s="31"/>
      <c r="B983" s="77"/>
      <c r="C983" s="44"/>
      <c r="D983" s="121"/>
      <c r="E983" s="64"/>
      <c r="F983" s="64"/>
      <c r="G983" s="71"/>
      <c r="H983" s="68"/>
      <c r="I983" s="69"/>
      <c r="J983" s="44"/>
      <c r="K983" s="44" t="str">
        <f t="shared" si="163"/>
        <v/>
      </c>
      <c r="L983" s="68"/>
      <c r="M983" s="69"/>
      <c r="N983" s="44" t="str">
        <f t="shared" si="111"/>
        <v/>
      </c>
      <c r="O983" s="44" t="str">
        <f t="shared" si="164"/>
        <v/>
      </c>
      <c r="P983" s="70"/>
      <c r="Q983" s="71"/>
      <c r="R983" s="71"/>
      <c r="S983" s="31"/>
    </row>
    <row r="984">
      <c r="A984" s="31"/>
      <c r="B984" s="77"/>
      <c r="C984" s="44"/>
      <c r="D984" s="121"/>
      <c r="E984" s="64"/>
      <c r="F984" s="64"/>
      <c r="G984" s="71"/>
      <c r="H984" s="68"/>
      <c r="I984" s="69"/>
      <c r="J984" s="44"/>
      <c r="K984" s="44" t="str">
        <f t="shared" si="163"/>
        <v/>
      </c>
      <c r="L984" s="68"/>
      <c r="M984" s="69"/>
      <c r="N984" s="44" t="str">
        <f t="shared" si="111"/>
        <v/>
      </c>
      <c r="O984" s="44" t="str">
        <f t="shared" si="164"/>
        <v/>
      </c>
      <c r="P984" s="70"/>
      <c r="Q984" s="71"/>
      <c r="R984" s="71"/>
      <c r="S984" s="31"/>
    </row>
    <row r="985">
      <c r="A985" s="31"/>
      <c r="B985" s="77"/>
      <c r="C985" s="44"/>
      <c r="D985" s="121"/>
      <c r="E985" s="64"/>
      <c r="F985" s="64"/>
      <c r="G985" s="71"/>
      <c r="H985" s="68"/>
      <c r="I985" s="69"/>
      <c r="J985" s="44"/>
      <c r="K985" s="44" t="str">
        <f t="shared" si="163"/>
        <v/>
      </c>
      <c r="L985" s="68"/>
      <c r="M985" s="69"/>
      <c r="N985" s="44" t="str">
        <f t="shared" si="111"/>
        <v/>
      </c>
      <c r="O985" s="44" t="str">
        <f t="shared" si="164"/>
        <v/>
      </c>
      <c r="P985" s="70"/>
      <c r="Q985" s="71"/>
      <c r="R985" s="71"/>
      <c r="S985" s="31"/>
    </row>
    <row r="986">
      <c r="A986" s="31"/>
      <c r="B986" s="77"/>
      <c r="C986" s="44"/>
      <c r="D986" s="121"/>
      <c r="E986" s="64"/>
      <c r="F986" s="64"/>
      <c r="G986" s="71"/>
      <c r="H986" s="68"/>
      <c r="I986" s="69"/>
      <c r="J986" s="44"/>
      <c r="K986" s="44" t="str">
        <f t="shared" si="163"/>
        <v/>
      </c>
      <c r="L986" s="68"/>
      <c r="M986" s="69"/>
      <c r="N986" s="44" t="str">
        <f t="shared" si="111"/>
        <v/>
      </c>
      <c r="O986" s="44" t="str">
        <f t="shared" si="164"/>
        <v/>
      </c>
      <c r="P986" s="70"/>
      <c r="Q986" s="71"/>
      <c r="R986" s="71"/>
      <c r="S986" s="31"/>
    </row>
    <row r="987">
      <c r="A987" s="31"/>
      <c r="B987" s="77"/>
      <c r="C987" s="44"/>
      <c r="D987" s="121"/>
      <c r="E987" s="64"/>
      <c r="F987" s="64"/>
      <c r="G987" s="71"/>
      <c r="H987" s="68"/>
      <c r="I987" s="69"/>
      <c r="J987" s="44"/>
      <c r="K987" s="44" t="str">
        <f t="shared" si="163"/>
        <v/>
      </c>
      <c r="L987" s="68"/>
      <c r="M987" s="69"/>
      <c r="N987" s="44" t="str">
        <f t="shared" si="111"/>
        <v/>
      </c>
      <c r="O987" s="44" t="str">
        <f t="shared" si="164"/>
        <v/>
      </c>
      <c r="P987" s="70"/>
      <c r="Q987" s="71"/>
      <c r="R987" s="71"/>
      <c r="S987" s="31"/>
    </row>
    <row r="988">
      <c r="A988" s="31"/>
      <c r="B988" s="77"/>
      <c r="C988" s="44"/>
      <c r="D988" s="121"/>
      <c r="E988" s="64"/>
      <c r="F988" s="64"/>
      <c r="G988" s="71"/>
      <c r="H988" s="68"/>
      <c r="I988" s="69"/>
      <c r="J988" s="44"/>
      <c r="K988" s="44" t="str">
        <f t="shared" si="163"/>
        <v/>
      </c>
      <c r="L988" s="68"/>
      <c r="M988" s="69"/>
      <c r="N988" s="44" t="str">
        <f t="shared" si="111"/>
        <v/>
      </c>
      <c r="O988" s="44" t="str">
        <f t="shared" si="164"/>
        <v/>
      </c>
      <c r="P988" s="70"/>
      <c r="Q988" s="71"/>
      <c r="R988" s="71"/>
      <c r="S988" s="31"/>
    </row>
    <row r="989">
      <c r="A989" s="31"/>
      <c r="B989" s="77"/>
      <c r="C989" s="44"/>
      <c r="D989" s="121"/>
      <c r="E989" s="64"/>
      <c r="F989" s="64"/>
      <c r="G989" s="71"/>
      <c r="H989" s="68"/>
      <c r="I989" s="69"/>
      <c r="J989" s="44"/>
      <c r="K989" s="44" t="str">
        <f t="shared" si="163"/>
        <v/>
      </c>
      <c r="L989" s="68"/>
      <c r="M989" s="69"/>
      <c r="N989" s="44" t="str">
        <f t="shared" si="111"/>
        <v/>
      </c>
      <c r="O989" s="44" t="str">
        <f t="shared" si="164"/>
        <v/>
      </c>
      <c r="P989" s="70"/>
      <c r="Q989" s="71"/>
      <c r="R989" s="71"/>
      <c r="S989" s="31"/>
    </row>
    <row r="990">
      <c r="A990" s="31"/>
      <c r="B990" s="77"/>
      <c r="C990" s="44"/>
      <c r="D990" s="121"/>
      <c r="E990" s="64"/>
      <c r="F990" s="64"/>
      <c r="G990" s="71"/>
      <c r="H990" s="68"/>
      <c r="I990" s="69"/>
      <c r="J990" s="44"/>
      <c r="K990" s="44" t="str">
        <f t="shared" si="163"/>
        <v/>
      </c>
      <c r="L990" s="68"/>
      <c r="M990" s="69"/>
      <c r="N990" s="44" t="str">
        <f t="shared" si="111"/>
        <v/>
      </c>
      <c r="O990" s="44" t="str">
        <f t="shared" si="164"/>
        <v/>
      </c>
      <c r="P990" s="70"/>
      <c r="Q990" s="71"/>
      <c r="R990" s="71"/>
      <c r="S990" s="31"/>
    </row>
    <row r="991">
      <c r="A991" s="31"/>
      <c r="B991" s="77"/>
      <c r="C991" s="44"/>
      <c r="D991" s="121"/>
      <c r="E991" s="64"/>
      <c r="F991" s="64"/>
      <c r="G991" s="71"/>
      <c r="H991" s="68"/>
      <c r="I991" s="69"/>
      <c r="J991" s="44"/>
      <c r="K991" s="44" t="str">
        <f t="shared" si="163"/>
        <v/>
      </c>
      <c r="L991" s="68"/>
      <c r="M991" s="69"/>
      <c r="N991" s="44" t="str">
        <f t="shared" si="111"/>
        <v/>
      </c>
      <c r="O991" s="44" t="str">
        <f t="shared" si="164"/>
        <v/>
      </c>
      <c r="P991" s="70"/>
      <c r="Q991" s="71"/>
      <c r="R991" s="71"/>
      <c r="S991" s="31"/>
    </row>
    <row r="992">
      <c r="A992" s="31"/>
      <c r="B992" s="77"/>
      <c r="C992" s="44"/>
      <c r="D992" s="121"/>
      <c r="E992" s="64"/>
      <c r="F992" s="64"/>
      <c r="G992" s="71"/>
      <c r="H992" s="68"/>
      <c r="I992" s="69"/>
      <c r="J992" s="44"/>
      <c r="K992" s="44" t="str">
        <f t="shared" si="163"/>
        <v/>
      </c>
      <c r="L992" s="68"/>
      <c r="M992" s="69"/>
      <c r="N992" s="44" t="str">
        <f t="shared" si="111"/>
        <v/>
      </c>
      <c r="O992" s="44" t="str">
        <f t="shared" si="164"/>
        <v/>
      </c>
      <c r="P992" s="70"/>
      <c r="Q992" s="71"/>
      <c r="R992" s="71"/>
      <c r="S992" s="31"/>
    </row>
    <row r="993">
      <c r="A993" s="31"/>
      <c r="B993" s="77"/>
      <c r="C993" s="44"/>
      <c r="D993" s="121"/>
      <c r="E993" s="64"/>
      <c r="F993" s="64"/>
      <c r="G993" s="71"/>
      <c r="H993" s="68"/>
      <c r="I993" s="69"/>
      <c r="J993" s="44"/>
      <c r="K993" s="44" t="str">
        <f t="shared" si="163"/>
        <v/>
      </c>
      <c r="L993" s="68"/>
      <c r="M993" s="69"/>
      <c r="N993" s="44" t="str">
        <f t="shared" si="111"/>
        <v/>
      </c>
      <c r="O993" s="44" t="str">
        <f t="shared" si="164"/>
        <v/>
      </c>
      <c r="P993" s="70"/>
      <c r="Q993" s="71"/>
      <c r="R993" s="71"/>
      <c r="S993" s="31"/>
    </row>
    <row r="994">
      <c r="A994" s="31"/>
      <c r="B994" s="77"/>
      <c r="C994" s="44"/>
      <c r="D994" s="121"/>
      <c r="E994" s="64"/>
      <c r="F994" s="64"/>
      <c r="G994" s="71"/>
      <c r="H994" s="68"/>
      <c r="I994" s="69"/>
      <c r="J994" s="44"/>
      <c r="K994" s="44" t="str">
        <f t="shared" si="163"/>
        <v/>
      </c>
      <c r="L994" s="68"/>
      <c r="M994" s="69"/>
      <c r="N994" s="44" t="str">
        <f t="shared" si="111"/>
        <v/>
      </c>
      <c r="O994" s="44" t="str">
        <f t="shared" si="164"/>
        <v/>
      </c>
      <c r="P994" s="70"/>
      <c r="Q994" s="71"/>
      <c r="R994" s="71"/>
      <c r="S994" s="31"/>
    </row>
    <row r="995">
      <c r="A995" s="31"/>
      <c r="B995" s="77"/>
      <c r="C995" s="44"/>
      <c r="D995" s="121"/>
      <c r="E995" s="64"/>
      <c r="F995" s="64"/>
      <c r="G995" s="71"/>
      <c r="H995" s="68"/>
      <c r="I995" s="69"/>
      <c r="J995" s="44"/>
      <c r="K995" s="44" t="str">
        <f t="shared" si="163"/>
        <v/>
      </c>
      <c r="L995" s="68"/>
      <c r="M995" s="69"/>
      <c r="N995" s="44" t="str">
        <f t="shared" si="111"/>
        <v/>
      </c>
      <c r="O995" s="44" t="str">
        <f t="shared" si="164"/>
        <v/>
      </c>
      <c r="P995" s="70"/>
      <c r="Q995" s="71"/>
      <c r="R995" s="71"/>
      <c r="S995" s="31"/>
    </row>
    <row r="996">
      <c r="A996" s="31"/>
      <c r="B996" s="77"/>
      <c r="C996" s="44"/>
      <c r="D996" s="121"/>
      <c r="E996" s="64"/>
      <c r="F996" s="64"/>
      <c r="G996" s="71"/>
      <c r="H996" s="68"/>
      <c r="I996" s="69"/>
      <c r="J996" s="44"/>
      <c r="K996" s="44" t="str">
        <f t="shared" si="163"/>
        <v/>
      </c>
      <c r="L996" s="68"/>
      <c r="M996" s="69"/>
      <c r="N996" s="44" t="str">
        <f t="shared" si="111"/>
        <v/>
      </c>
      <c r="O996" s="44" t="str">
        <f t="shared" si="164"/>
        <v/>
      </c>
      <c r="P996" s="70"/>
      <c r="Q996" s="71"/>
      <c r="R996" s="71"/>
      <c r="S996" s="31"/>
    </row>
    <row r="997">
      <c r="A997" s="31"/>
      <c r="B997" s="77"/>
      <c r="C997" s="44"/>
      <c r="D997" s="121"/>
      <c r="E997" s="64"/>
      <c r="F997" s="64"/>
      <c r="G997" s="71"/>
      <c r="H997" s="68"/>
      <c r="I997" s="69"/>
      <c r="J997" s="44"/>
      <c r="K997" s="44" t="str">
        <f t="shared" si="163"/>
        <v/>
      </c>
      <c r="L997" s="68"/>
      <c r="M997" s="69"/>
      <c r="N997" s="44" t="str">
        <f t="shared" si="111"/>
        <v/>
      </c>
      <c r="O997" s="44" t="str">
        <f t="shared" si="164"/>
        <v/>
      </c>
      <c r="P997" s="70"/>
      <c r="Q997" s="71"/>
      <c r="R997" s="71"/>
      <c r="S997" s="31"/>
    </row>
    <row r="998">
      <c r="A998" s="31"/>
      <c r="B998" s="77"/>
      <c r="C998" s="44"/>
      <c r="D998" s="121"/>
      <c r="E998" s="64"/>
      <c r="F998" s="64"/>
      <c r="G998" s="71"/>
      <c r="H998" s="68"/>
      <c r="I998" s="69"/>
      <c r="J998" s="44"/>
      <c r="K998" s="44" t="str">
        <f t="shared" si="163"/>
        <v/>
      </c>
      <c r="L998" s="68"/>
      <c r="M998" s="69"/>
      <c r="N998" s="44" t="str">
        <f t="shared" si="111"/>
        <v/>
      </c>
      <c r="O998" s="44" t="str">
        <f t="shared" si="164"/>
        <v/>
      </c>
      <c r="P998" s="70"/>
      <c r="Q998" s="71"/>
      <c r="R998" s="71"/>
      <c r="S998" s="31"/>
    </row>
    <row r="999">
      <c r="A999" s="31"/>
      <c r="B999" s="77"/>
      <c r="C999" s="44"/>
      <c r="D999" s="121"/>
      <c r="E999" s="64"/>
      <c r="F999" s="64"/>
      <c r="G999" s="71"/>
      <c r="H999" s="68"/>
      <c r="I999" s="69"/>
      <c r="J999" s="44"/>
      <c r="K999" s="44" t="str">
        <f t="shared" si="163"/>
        <v/>
      </c>
      <c r="L999" s="68"/>
      <c r="M999" s="69"/>
      <c r="N999" s="44" t="str">
        <f t="shared" si="111"/>
        <v/>
      </c>
      <c r="O999" s="44" t="str">
        <f t="shared" si="164"/>
        <v/>
      </c>
      <c r="P999" s="70"/>
      <c r="Q999" s="71"/>
      <c r="R999" s="71"/>
      <c r="S999" s="31"/>
    </row>
    <row r="1000">
      <c r="A1000" s="31"/>
      <c r="B1000" s="77"/>
      <c r="C1000" s="44"/>
      <c r="D1000" s="121"/>
      <c r="E1000" s="64"/>
      <c r="F1000" s="64"/>
      <c r="G1000" s="71"/>
      <c r="H1000" s="68"/>
      <c r="I1000" s="69"/>
      <c r="J1000" s="44"/>
      <c r="K1000" s="44" t="str">
        <f t="shared" si="163"/>
        <v/>
      </c>
      <c r="L1000" s="68"/>
      <c r="M1000" s="69"/>
      <c r="N1000" s="44" t="str">
        <f t="shared" si="111"/>
        <v/>
      </c>
      <c r="O1000" s="44" t="str">
        <f t="shared" si="164"/>
        <v/>
      </c>
      <c r="P1000" s="70"/>
      <c r="Q1000" s="71"/>
      <c r="R1000" s="71"/>
      <c r="S1000" s="31"/>
    </row>
    <row r="1001">
      <c r="A1001" s="31"/>
      <c r="B1001" s="77"/>
      <c r="C1001" s="44"/>
      <c r="D1001" s="121"/>
      <c r="E1001" s="64"/>
      <c r="F1001" s="64"/>
      <c r="G1001" s="71"/>
      <c r="H1001" s="68"/>
      <c r="I1001" s="69"/>
      <c r="J1001" s="44"/>
      <c r="K1001" s="44" t="str">
        <f t="shared" si="163"/>
        <v/>
      </c>
      <c r="L1001" s="68"/>
      <c r="M1001" s="69"/>
      <c r="N1001" s="44" t="str">
        <f t="shared" si="111"/>
        <v/>
      </c>
      <c r="O1001" s="44" t="str">
        <f t="shared" si="164"/>
        <v/>
      </c>
      <c r="P1001" s="70"/>
      <c r="Q1001" s="71"/>
      <c r="R1001" s="71"/>
      <c r="S1001" s="31"/>
    </row>
    <row r="1002">
      <c r="A1002" s="31"/>
      <c r="B1002" s="77"/>
      <c r="C1002" s="44"/>
      <c r="D1002" s="121"/>
      <c r="E1002" s="64"/>
      <c r="F1002" s="64"/>
      <c r="G1002" s="71"/>
      <c r="H1002" s="68"/>
      <c r="I1002" s="69"/>
      <c r="J1002" s="44"/>
      <c r="K1002" s="44" t="str">
        <f t="shared" si="163"/>
        <v/>
      </c>
      <c r="L1002" s="68"/>
      <c r="M1002" s="69"/>
      <c r="N1002" s="44" t="str">
        <f t="shared" si="111"/>
        <v/>
      </c>
      <c r="O1002" s="44" t="str">
        <f t="shared" si="164"/>
        <v/>
      </c>
      <c r="P1002" s="70"/>
      <c r="Q1002" s="71"/>
      <c r="R1002" s="71"/>
      <c r="S1002" s="31"/>
    </row>
    <row r="1003">
      <c r="A1003" s="31"/>
      <c r="B1003" s="77"/>
      <c r="C1003" s="44"/>
      <c r="D1003" s="121"/>
      <c r="E1003" s="64"/>
      <c r="F1003" s="64"/>
      <c r="G1003" s="71"/>
      <c r="H1003" s="68"/>
      <c r="I1003" s="69"/>
      <c r="J1003" s="44"/>
      <c r="K1003" s="44" t="str">
        <f t="shared" si="163"/>
        <v/>
      </c>
      <c r="L1003" s="68"/>
      <c r="M1003" s="69"/>
      <c r="N1003" s="44" t="str">
        <f t="shared" si="111"/>
        <v/>
      </c>
      <c r="O1003" s="44" t="str">
        <f t="shared" si="164"/>
        <v/>
      </c>
      <c r="P1003" s="70"/>
      <c r="Q1003" s="71"/>
      <c r="R1003" s="71"/>
      <c r="S1003" s="31"/>
    </row>
    <row r="1004">
      <c r="A1004" s="31"/>
      <c r="B1004" s="77"/>
      <c r="C1004" s="44"/>
      <c r="D1004" s="121"/>
      <c r="E1004" s="64"/>
      <c r="F1004" s="64"/>
      <c r="G1004" s="71"/>
      <c r="H1004" s="68"/>
      <c r="I1004" s="69"/>
      <c r="J1004" s="44"/>
      <c r="K1004" s="44" t="str">
        <f t="shared" si="163"/>
        <v/>
      </c>
      <c r="L1004" s="68"/>
      <c r="M1004" s="69"/>
      <c r="N1004" s="44" t="str">
        <f t="shared" si="111"/>
        <v/>
      </c>
      <c r="O1004" s="44" t="str">
        <f t="shared" si="164"/>
        <v/>
      </c>
      <c r="P1004" s="70"/>
      <c r="Q1004" s="71"/>
      <c r="R1004" s="71"/>
      <c r="S1004" s="31"/>
    </row>
    <row r="1005">
      <c r="A1005" s="31"/>
      <c r="B1005" s="77"/>
      <c r="C1005" s="44"/>
      <c r="D1005" s="121"/>
      <c r="E1005" s="64"/>
      <c r="F1005" s="64"/>
      <c r="G1005" s="71"/>
      <c r="H1005" s="68"/>
      <c r="I1005" s="69"/>
      <c r="J1005" s="44"/>
      <c r="K1005" s="44" t="str">
        <f t="shared" si="163"/>
        <v/>
      </c>
      <c r="L1005" s="68"/>
      <c r="M1005" s="69"/>
      <c r="N1005" s="44" t="str">
        <f t="shared" si="111"/>
        <v/>
      </c>
      <c r="O1005" s="44" t="str">
        <f t="shared" si="164"/>
        <v/>
      </c>
      <c r="P1005" s="70"/>
      <c r="Q1005" s="71"/>
      <c r="R1005" s="71"/>
      <c r="S1005" s="31"/>
    </row>
    <row r="1006">
      <c r="A1006" s="31"/>
      <c r="B1006" s="77"/>
      <c r="C1006" s="44"/>
      <c r="D1006" s="121"/>
      <c r="E1006" s="64"/>
      <c r="F1006" s="64"/>
      <c r="G1006" s="71"/>
      <c r="H1006" s="68"/>
      <c r="I1006" s="69"/>
      <c r="J1006" s="44"/>
      <c r="K1006" s="44" t="str">
        <f t="shared" si="163"/>
        <v/>
      </c>
      <c r="L1006" s="68"/>
      <c r="M1006" s="69"/>
      <c r="N1006" s="44" t="str">
        <f t="shared" si="111"/>
        <v/>
      </c>
      <c r="O1006" s="44" t="str">
        <f t="shared" si="164"/>
        <v/>
      </c>
      <c r="P1006" s="70"/>
      <c r="Q1006" s="71"/>
      <c r="R1006" s="71"/>
      <c r="S1006" s="31"/>
    </row>
    <row r="1007">
      <c r="A1007" s="31"/>
      <c r="B1007" s="77"/>
      <c r="C1007" s="44"/>
      <c r="D1007" s="121"/>
      <c r="E1007" s="64"/>
      <c r="F1007" s="64"/>
      <c r="G1007" s="71"/>
      <c r="H1007" s="68"/>
      <c r="I1007" s="69"/>
      <c r="J1007" s="44"/>
      <c r="K1007" s="44" t="str">
        <f t="shared" si="163"/>
        <v/>
      </c>
      <c r="L1007" s="68"/>
      <c r="M1007" s="69"/>
      <c r="N1007" s="44" t="str">
        <f t="shared" si="111"/>
        <v/>
      </c>
      <c r="O1007" s="44" t="str">
        <f t="shared" si="164"/>
        <v/>
      </c>
      <c r="P1007" s="70"/>
      <c r="Q1007" s="71"/>
      <c r="R1007" s="71"/>
      <c r="S1007" s="31"/>
    </row>
    <row r="1008">
      <c r="A1008" s="31"/>
      <c r="B1008" s="77"/>
      <c r="C1008" s="44"/>
      <c r="D1008" s="121"/>
      <c r="E1008" s="64"/>
      <c r="F1008" s="64"/>
      <c r="G1008" s="71"/>
      <c r="H1008" s="68"/>
      <c r="I1008" s="69"/>
      <c r="J1008" s="44"/>
      <c r="K1008" s="44" t="str">
        <f t="shared" si="163"/>
        <v/>
      </c>
      <c r="L1008" s="68"/>
      <c r="M1008" s="69"/>
      <c r="N1008" s="44" t="str">
        <f t="shared" si="111"/>
        <v/>
      </c>
      <c r="O1008" s="44" t="str">
        <f t="shared" si="164"/>
        <v/>
      </c>
      <c r="P1008" s="70"/>
      <c r="Q1008" s="71"/>
      <c r="R1008" s="71"/>
      <c r="S1008" s="31"/>
    </row>
    <row r="1009">
      <c r="A1009" s="31"/>
      <c r="B1009" s="77"/>
      <c r="C1009" s="44"/>
      <c r="D1009" s="121"/>
      <c r="E1009" s="64"/>
      <c r="F1009" s="64"/>
      <c r="G1009" s="71"/>
      <c r="H1009" s="68"/>
      <c r="I1009" s="69"/>
      <c r="J1009" s="44"/>
      <c r="K1009" s="44" t="str">
        <f t="shared" si="163"/>
        <v/>
      </c>
      <c r="L1009" s="68"/>
      <c r="M1009" s="69"/>
      <c r="N1009" s="44" t="str">
        <f t="shared" si="111"/>
        <v/>
      </c>
      <c r="O1009" s="44" t="str">
        <f t="shared" si="164"/>
        <v/>
      </c>
      <c r="P1009" s="70"/>
      <c r="Q1009" s="71"/>
      <c r="R1009" s="71"/>
      <c r="S1009" s="31"/>
    </row>
    <row r="1010">
      <c r="A1010" s="31"/>
      <c r="B1010" s="77"/>
      <c r="C1010" s="44"/>
      <c r="D1010" s="121"/>
      <c r="E1010" s="64"/>
      <c r="F1010" s="64"/>
      <c r="G1010" s="71"/>
      <c r="H1010" s="68"/>
      <c r="I1010" s="69"/>
      <c r="J1010" s="44"/>
      <c r="K1010" s="44" t="str">
        <f t="shared" si="163"/>
        <v/>
      </c>
      <c r="L1010" s="68"/>
      <c r="M1010" s="69"/>
      <c r="N1010" s="44" t="str">
        <f t="shared" si="111"/>
        <v/>
      </c>
      <c r="O1010" s="44" t="str">
        <f t="shared" si="164"/>
        <v/>
      </c>
      <c r="P1010" s="70"/>
      <c r="Q1010" s="71"/>
      <c r="R1010" s="71"/>
      <c r="S1010" s="31"/>
    </row>
    <row r="1011">
      <c r="A1011" s="31"/>
      <c r="B1011" s="77"/>
      <c r="C1011" s="44"/>
      <c r="D1011" s="121"/>
      <c r="E1011" s="64"/>
      <c r="F1011" s="64"/>
      <c r="G1011" s="71"/>
      <c r="H1011" s="68"/>
      <c r="I1011" s="69"/>
      <c r="J1011" s="44"/>
      <c r="K1011" s="44" t="str">
        <f t="shared" si="163"/>
        <v/>
      </c>
      <c r="L1011" s="68"/>
      <c r="M1011" s="69"/>
      <c r="N1011" s="44" t="str">
        <f t="shared" si="111"/>
        <v/>
      </c>
      <c r="O1011" s="44" t="str">
        <f t="shared" si="164"/>
        <v/>
      </c>
      <c r="P1011" s="70"/>
      <c r="Q1011" s="71"/>
      <c r="R1011" s="71"/>
      <c r="S1011" s="31"/>
    </row>
    <row r="1012">
      <c r="A1012" s="31"/>
      <c r="B1012" s="77"/>
      <c r="C1012" s="44"/>
      <c r="D1012" s="121"/>
      <c r="E1012" s="64"/>
      <c r="F1012" s="64"/>
      <c r="G1012" s="71"/>
      <c r="H1012" s="68"/>
      <c r="I1012" s="69"/>
      <c r="J1012" s="44"/>
      <c r="K1012" s="44" t="str">
        <f t="shared" si="163"/>
        <v/>
      </c>
      <c r="L1012" s="68"/>
      <c r="M1012" s="69"/>
      <c r="N1012" s="44" t="str">
        <f t="shared" si="111"/>
        <v/>
      </c>
      <c r="O1012" s="44" t="str">
        <f t="shared" si="164"/>
        <v/>
      </c>
      <c r="P1012" s="70"/>
      <c r="Q1012" s="71"/>
      <c r="R1012" s="71"/>
      <c r="S1012" s="31"/>
    </row>
    <row r="1013">
      <c r="A1013" s="31"/>
      <c r="B1013" s="77"/>
      <c r="C1013" s="44"/>
      <c r="D1013" s="121"/>
      <c r="E1013" s="64"/>
      <c r="F1013" s="64"/>
      <c r="G1013" s="71"/>
      <c r="H1013" s="68"/>
      <c r="I1013" s="69"/>
      <c r="J1013" s="44"/>
      <c r="K1013" s="44" t="str">
        <f t="shared" si="163"/>
        <v/>
      </c>
      <c r="L1013" s="68"/>
      <c r="M1013" s="69"/>
      <c r="N1013" s="44" t="str">
        <f t="shared" si="111"/>
        <v/>
      </c>
      <c r="O1013" s="44" t="str">
        <f t="shared" si="164"/>
        <v/>
      </c>
      <c r="P1013" s="70"/>
      <c r="Q1013" s="71"/>
      <c r="R1013" s="71"/>
      <c r="S1013" s="31"/>
    </row>
    <row r="1014">
      <c r="A1014" s="31"/>
      <c r="B1014" s="77"/>
      <c r="C1014" s="44"/>
      <c r="D1014" s="121"/>
      <c r="E1014" s="64"/>
      <c r="F1014" s="64"/>
      <c r="G1014" s="71"/>
      <c r="H1014" s="68"/>
      <c r="I1014" s="69"/>
      <c r="J1014" s="44"/>
      <c r="K1014" s="44" t="str">
        <f t="shared" si="163"/>
        <v/>
      </c>
      <c r="L1014" s="68"/>
      <c r="M1014" s="69"/>
      <c r="N1014" s="44" t="str">
        <f t="shared" si="111"/>
        <v/>
      </c>
      <c r="O1014" s="44" t="str">
        <f t="shared" si="164"/>
        <v/>
      </c>
      <c r="P1014" s="70"/>
      <c r="Q1014" s="71"/>
      <c r="R1014" s="71"/>
      <c r="S1014" s="31"/>
    </row>
    <row r="1015">
      <c r="A1015" s="31"/>
      <c r="B1015" s="77"/>
      <c r="C1015" s="44"/>
      <c r="D1015" s="121"/>
      <c r="E1015" s="64"/>
      <c r="F1015" s="64"/>
      <c r="G1015" s="71"/>
      <c r="H1015" s="68"/>
      <c r="I1015" s="69"/>
      <c r="J1015" s="44"/>
      <c r="K1015" s="44" t="str">
        <f t="shared" si="163"/>
        <v/>
      </c>
      <c r="L1015" s="68"/>
      <c r="M1015" s="69"/>
      <c r="N1015" s="44" t="str">
        <f t="shared" si="111"/>
        <v/>
      </c>
      <c r="O1015" s="44" t="str">
        <f t="shared" si="164"/>
        <v/>
      </c>
      <c r="P1015" s="70"/>
      <c r="Q1015" s="71"/>
      <c r="R1015" s="71"/>
      <c r="S1015" s="31"/>
    </row>
    <row r="1016">
      <c r="A1016" s="31"/>
      <c r="B1016" s="77"/>
      <c r="C1016" s="44"/>
      <c r="D1016" s="121"/>
      <c r="E1016" s="64"/>
      <c r="F1016" s="64"/>
      <c r="G1016" s="71"/>
      <c r="H1016" s="68"/>
      <c r="I1016" s="69"/>
      <c r="J1016" s="44"/>
      <c r="K1016" s="44" t="str">
        <f t="shared" si="163"/>
        <v/>
      </c>
      <c r="L1016" s="68"/>
      <c r="M1016" s="69"/>
      <c r="N1016" s="44" t="str">
        <f t="shared" si="111"/>
        <v/>
      </c>
      <c r="O1016" s="44" t="str">
        <f t="shared" si="164"/>
        <v/>
      </c>
      <c r="P1016" s="70"/>
      <c r="Q1016" s="71"/>
      <c r="R1016" s="71"/>
      <c r="S1016" s="31"/>
    </row>
    <row r="1017">
      <c r="A1017" s="31"/>
      <c r="B1017" s="77"/>
      <c r="C1017" s="44"/>
      <c r="D1017" s="121"/>
      <c r="E1017" s="64"/>
      <c r="F1017" s="64"/>
      <c r="G1017" s="71"/>
      <c r="H1017" s="68"/>
      <c r="I1017" s="69"/>
      <c r="J1017" s="44"/>
      <c r="K1017" s="44" t="str">
        <f t="shared" si="163"/>
        <v/>
      </c>
      <c r="L1017" s="68"/>
      <c r="M1017" s="69"/>
      <c r="N1017" s="44" t="str">
        <f t="shared" si="111"/>
        <v/>
      </c>
      <c r="O1017" s="44" t="str">
        <f t="shared" si="164"/>
        <v/>
      </c>
      <c r="P1017" s="70"/>
      <c r="Q1017" s="71"/>
      <c r="R1017" s="71"/>
      <c r="S1017" s="31"/>
    </row>
    <row r="1018">
      <c r="A1018" s="31"/>
      <c r="B1018" s="77"/>
      <c r="C1018" s="44"/>
      <c r="D1018" s="121"/>
      <c r="E1018" s="64"/>
      <c r="F1018" s="64"/>
      <c r="G1018" s="71"/>
      <c r="H1018" s="68"/>
      <c r="I1018" s="69"/>
      <c r="J1018" s="44"/>
      <c r="K1018" s="44" t="str">
        <f t="shared" si="163"/>
        <v/>
      </c>
      <c r="L1018" s="68"/>
      <c r="M1018" s="69"/>
      <c r="N1018" s="44" t="str">
        <f t="shared" si="111"/>
        <v/>
      </c>
      <c r="O1018" s="44" t="str">
        <f t="shared" si="164"/>
        <v/>
      </c>
      <c r="P1018" s="70"/>
      <c r="Q1018" s="71"/>
      <c r="R1018" s="71"/>
      <c r="S1018" s="31"/>
    </row>
    <row r="1019">
      <c r="A1019" s="31"/>
      <c r="B1019" s="77"/>
      <c r="C1019" s="44"/>
      <c r="D1019" s="121"/>
      <c r="E1019" s="64"/>
      <c r="F1019" s="64"/>
      <c r="G1019" s="71"/>
      <c r="H1019" s="68"/>
      <c r="I1019" s="69"/>
      <c r="J1019" s="44"/>
      <c r="K1019" s="44" t="str">
        <f t="shared" si="163"/>
        <v/>
      </c>
      <c r="L1019" s="68"/>
      <c r="M1019" s="69"/>
      <c r="N1019" s="44" t="str">
        <f t="shared" si="111"/>
        <v/>
      </c>
      <c r="O1019" s="44" t="str">
        <f t="shared" si="164"/>
        <v/>
      </c>
      <c r="P1019" s="70"/>
      <c r="Q1019" s="71"/>
      <c r="R1019" s="71"/>
      <c r="S1019" s="31"/>
    </row>
    <row r="1020">
      <c r="A1020" s="31"/>
      <c r="B1020" s="77"/>
      <c r="C1020" s="44"/>
      <c r="D1020" s="121"/>
      <c r="E1020" s="64"/>
      <c r="F1020" s="64"/>
      <c r="G1020" s="71"/>
      <c r="H1020" s="68"/>
      <c r="I1020" s="69"/>
      <c r="J1020" s="44"/>
      <c r="K1020" s="44" t="str">
        <f t="shared" si="163"/>
        <v/>
      </c>
      <c r="L1020" s="68"/>
      <c r="M1020" s="69"/>
      <c r="N1020" s="44" t="str">
        <f t="shared" si="111"/>
        <v/>
      </c>
      <c r="O1020" s="44" t="str">
        <f t="shared" si="164"/>
        <v/>
      </c>
      <c r="P1020" s="70"/>
      <c r="Q1020" s="71"/>
      <c r="R1020" s="71"/>
      <c r="S1020" s="31"/>
    </row>
    <row r="1021">
      <c r="A1021" s="31"/>
      <c r="B1021" s="77"/>
      <c r="C1021" s="44"/>
      <c r="D1021" s="121"/>
      <c r="E1021" s="64"/>
      <c r="F1021" s="64"/>
      <c r="G1021" s="71"/>
      <c r="H1021" s="68"/>
      <c r="I1021" s="69"/>
      <c r="J1021" s="44"/>
      <c r="K1021" s="44" t="str">
        <f t="shared" si="163"/>
        <v/>
      </c>
      <c r="L1021" s="68"/>
      <c r="M1021" s="69"/>
      <c r="N1021" s="44" t="str">
        <f t="shared" si="111"/>
        <v/>
      </c>
      <c r="O1021" s="44" t="str">
        <f t="shared" si="164"/>
        <v/>
      </c>
      <c r="P1021" s="70"/>
      <c r="Q1021" s="71"/>
      <c r="R1021" s="71"/>
      <c r="S1021" s="31"/>
    </row>
    <row r="1022">
      <c r="A1022" s="31"/>
      <c r="B1022" s="77"/>
      <c r="C1022" s="44"/>
      <c r="D1022" s="121"/>
      <c r="E1022" s="64"/>
      <c r="F1022" s="64"/>
      <c r="G1022" s="71"/>
      <c r="H1022" s="68"/>
      <c r="I1022" s="69"/>
      <c r="J1022" s="44"/>
      <c r="K1022" s="44" t="str">
        <f t="shared" si="163"/>
        <v/>
      </c>
      <c r="L1022" s="68"/>
      <c r="M1022" s="69"/>
      <c r="N1022" s="44" t="str">
        <f t="shared" si="111"/>
        <v/>
      </c>
      <c r="O1022" s="44" t="str">
        <f t="shared" si="164"/>
        <v/>
      </c>
      <c r="P1022" s="70"/>
      <c r="Q1022" s="71"/>
      <c r="R1022" s="71"/>
      <c r="S1022" s="31"/>
    </row>
    <row r="1023">
      <c r="A1023" s="31"/>
      <c r="B1023" s="77"/>
      <c r="C1023" s="44"/>
      <c r="D1023" s="121"/>
      <c r="E1023" s="64"/>
      <c r="F1023" s="64"/>
      <c r="G1023" s="71"/>
      <c r="H1023" s="68"/>
      <c r="I1023" s="69"/>
      <c r="J1023" s="44"/>
      <c r="K1023" s="44" t="str">
        <f t="shared" si="163"/>
        <v/>
      </c>
      <c r="L1023" s="68"/>
      <c r="M1023" s="69"/>
      <c r="N1023" s="44" t="str">
        <f t="shared" si="111"/>
        <v/>
      </c>
      <c r="O1023" s="44" t="str">
        <f t="shared" si="164"/>
        <v/>
      </c>
      <c r="P1023" s="70"/>
      <c r="Q1023" s="71"/>
      <c r="R1023" s="71"/>
      <c r="S1023" s="31"/>
    </row>
    <row r="1024">
      <c r="A1024" s="31"/>
      <c r="B1024" s="77"/>
      <c r="C1024" s="44"/>
      <c r="D1024" s="121"/>
      <c r="E1024" s="64"/>
      <c r="F1024" s="64"/>
      <c r="G1024" s="71"/>
      <c r="H1024" s="68"/>
      <c r="I1024" s="69"/>
      <c r="J1024" s="44"/>
      <c r="K1024" s="44" t="str">
        <f t="shared" si="163"/>
        <v/>
      </c>
      <c r="L1024" s="68"/>
      <c r="M1024" s="69"/>
      <c r="N1024" s="44" t="str">
        <f t="shared" si="111"/>
        <v/>
      </c>
      <c r="O1024" s="44" t="str">
        <f t="shared" si="164"/>
        <v/>
      </c>
      <c r="P1024" s="70"/>
      <c r="Q1024" s="71"/>
      <c r="R1024" s="71"/>
      <c r="S1024" s="31"/>
    </row>
    <row r="1025">
      <c r="A1025" s="31"/>
      <c r="B1025" s="77"/>
      <c r="C1025" s="44"/>
      <c r="D1025" s="121"/>
      <c r="E1025" s="64"/>
      <c r="F1025" s="64"/>
      <c r="G1025" s="71"/>
      <c r="H1025" s="68"/>
      <c r="I1025" s="69"/>
      <c r="J1025" s="44"/>
      <c r="K1025" s="44" t="str">
        <f t="shared" si="163"/>
        <v/>
      </c>
      <c r="L1025" s="68"/>
      <c r="M1025" s="69"/>
      <c r="N1025" s="44" t="str">
        <f t="shared" si="111"/>
        <v/>
      </c>
      <c r="O1025" s="44" t="str">
        <f t="shared" si="164"/>
        <v/>
      </c>
      <c r="P1025" s="70"/>
      <c r="Q1025" s="71"/>
      <c r="R1025" s="71"/>
      <c r="S1025" s="31"/>
    </row>
    <row r="1026">
      <c r="A1026" s="31"/>
      <c r="B1026" s="77"/>
      <c r="C1026" s="44"/>
      <c r="D1026" s="121"/>
      <c r="E1026" s="64"/>
      <c r="F1026" s="64"/>
      <c r="G1026" s="71"/>
      <c r="H1026" s="68"/>
      <c r="I1026" s="69"/>
      <c r="J1026" s="44"/>
      <c r="K1026" s="44" t="str">
        <f t="shared" si="163"/>
        <v/>
      </c>
      <c r="L1026" s="68"/>
      <c r="M1026" s="69"/>
      <c r="N1026" s="44" t="str">
        <f t="shared" si="111"/>
        <v/>
      </c>
      <c r="O1026" s="44" t="str">
        <f t="shared" si="164"/>
        <v/>
      </c>
      <c r="P1026" s="70"/>
      <c r="Q1026" s="71"/>
      <c r="R1026" s="71"/>
      <c r="S1026" s="31"/>
    </row>
    <row r="1027">
      <c r="A1027" s="31"/>
      <c r="B1027" s="77"/>
      <c r="C1027" s="44"/>
      <c r="D1027" s="121"/>
      <c r="E1027" s="64"/>
      <c r="F1027" s="64"/>
      <c r="G1027" s="71"/>
      <c r="H1027" s="68"/>
      <c r="I1027" s="69"/>
      <c r="J1027" s="44"/>
      <c r="K1027" s="44" t="str">
        <f t="shared" si="163"/>
        <v/>
      </c>
      <c r="L1027" s="68"/>
      <c r="M1027" s="69"/>
      <c r="N1027" s="44" t="str">
        <f t="shared" si="111"/>
        <v/>
      </c>
      <c r="O1027" s="44" t="str">
        <f t="shared" si="164"/>
        <v/>
      </c>
      <c r="P1027" s="70"/>
      <c r="Q1027" s="71"/>
      <c r="R1027" s="71"/>
      <c r="S1027" s="31"/>
    </row>
    <row r="1028">
      <c r="A1028" s="31"/>
      <c r="B1028" s="77"/>
      <c r="C1028" s="44"/>
      <c r="D1028" s="121"/>
      <c r="E1028" s="64"/>
      <c r="F1028" s="64"/>
      <c r="G1028" s="71"/>
      <c r="H1028" s="68"/>
      <c r="I1028" s="69"/>
      <c r="J1028" s="44"/>
      <c r="K1028" s="44" t="str">
        <f t="shared" si="163"/>
        <v/>
      </c>
      <c r="L1028" s="68"/>
      <c r="M1028" s="69"/>
      <c r="N1028" s="44" t="str">
        <f t="shared" si="111"/>
        <v/>
      </c>
      <c r="O1028" s="44" t="str">
        <f t="shared" si="164"/>
        <v/>
      </c>
      <c r="P1028" s="70"/>
      <c r="Q1028" s="71"/>
      <c r="R1028" s="71"/>
      <c r="S1028" s="31"/>
    </row>
    <row r="1029">
      <c r="A1029" s="31"/>
      <c r="B1029" s="77"/>
      <c r="C1029" s="44"/>
      <c r="D1029" s="121"/>
      <c r="E1029" s="64"/>
      <c r="F1029" s="64"/>
      <c r="G1029" s="71"/>
      <c r="H1029" s="68"/>
      <c r="I1029" s="69"/>
      <c r="J1029" s="44"/>
      <c r="K1029" s="44" t="str">
        <f t="shared" si="163"/>
        <v/>
      </c>
      <c r="L1029" s="68"/>
      <c r="M1029" s="69"/>
      <c r="N1029" s="44" t="str">
        <f t="shared" si="111"/>
        <v/>
      </c>
      <c r="O1029" s="44" t="str">
        <f t="shared" si="164"/>
        <v/>
      </c>
      <c r="P1029" s="70"/>
      <c r="Q1029" s="71"/>
      <c r="R1029" s="71"/>
      <c r="S1029" s="31"/>
    </row>
    <row r="1030">
      <c r="A1030" s="31"/>
      <c r="B1030" s="77"/>
      <c r="C1030" s="44"/>
      <c r="D1030" s="121"/>
      <c r="E1030" s="64"/>
      <c r="F1030" s="64"/>
      <c r="G1030" s="71"/>
      <c r="H1030" s="68"/>
      <c r="I1030" s="69"/>
      <c r="J1030" s="44"/>
      <c r="K1030" s="44" t="str">
        <f t="shared" si="163"/>
        <v/>
      </c>
      <c r="L1030" s="68"/>
      <c r="M1030" s="69"/>
      <c r="N1030" s="44" t="str">
        <f t="shared" si="111"/>
        <v/>
      </c>
      <c r="O1030" s="44" t="str">
        <f t="shared" si="164"/>
        <v/>
      </c>
      <c r="P1030" s="70"/>
      <c r="Q1030" s="71"/>
      <c r="R1030" s="71"/>
      <c r="S1030" s="31"/>
    </row>
    <row r="1031">
      <c r="A1031" s="31"/>
      <c r="B1031" s="77"/>
      <c r="C1031" s="44"/>
      <c r="D1031" s="121"/>
      <c r="E1031" s="64"/>
      <c r="F1031" s="64"/>
      <c r="G1031" s="71"/>
      <c r="H1031" s="68"/>
      <c r="I1031" s="69"/>
      <c r="J1031" s="44"/>
      <c r="K1031" s="44" t="str">
        <f t="shared" si="163"/>
        <v/>
      </c>
      <c r="L1031" s="68"/>
      <c r="M1031" s="69"/>
      <c r="N1031" s="44" t="str">
        <f t="shared" si="111"/>
        <v/>
      </c>
      <c r="O1031" s="44" t="str">
        <f t="shared" si="164"/>
        <v/>
      </c>
      <c r="P1031" s="70"/>
      <c r="Q1031" s="71"/>
      <c r="R1031" s="71"/>
      <c r="S1031" s="31"/>
    </row>
    <row r="1032">
      <c r="A1032" s="31"/>
      <c r="B1032" s="77"/>
      <c r="C1032" s="44"/>
      <c r="D1032" s="121"/>
      <c r="E1032" s="64"/>
      <c r="F1032" s="64"/>
      <c r="G1032" s="71"/>
      <c r="H1032" s="68"/>
      <c r="I1032" s="69"/>
      <c r="J1032" s="44"/>
      <c r="K1032" s="44" t="str">
        <f t="shared" si="163"/>
        <v/>
      </c>
      <c r="L1032" s="68"/>
      <c r="M1032" s="69"/>
      <c r="N1032" s="44" t="str">
        <f t="shared" si="111"/>
        <v/>
      </c>
      <c r="O1032" s="44" t="str">
        <f t="shared" si="164"/>
        <v/>
      </c>
      <c r="P1032" s="70"/>
      <c r="Q1032" s="71"/>
      <c r="R1032" s="71"/>
      <c r="S1032" s="31"/>
    </row>
    <row r="1033">
      <c r="A1033" s="31"/>
      <c r="B1033" s="77"/>
      <c r="C1033" s="44"/>
      <c r="D1033" s="121"/>
      <c r="E1033" s="64"/>
      <c r="F1033" s="64"/>
      <c r="G1033" s="71"/>
      <c r="H1033" s="68"/>
      <c r="I1033" s="69"/>
      <c r="J1033" s="44"/>
      <c r="K1033" s="44" t="str">
        <f t="shared" si="163"/>
        <v/>
      </c>
      <c r="L1033" s="68"/>
      <c r="M1033" s="69"/>
      <c r="N1033" s="44" t="str">
        <f t="shared" si="111"/>
        <v/>
      </c>
      <c r="O1033" s="44" t="str">
        <f t="shared" si="164"/>
        <v/>
      </c>
      <c r="P1033" s="70"/>
      <c r="Q1033" s="71"/>
      <c r="R1033" s="71"/>
      <c r="S1033" s="31"/>
    </row>
    <row r="1034">
      <c r="A1034" s="31"/>
      <c r="B1034" s="77"/>
      <c r="C1034" s="44"/>
      <c r="D1034" s="121"/>
      <c r="E1034" s="64"/>
      <c r="F1034" s="64"/>
      <c r="G1034" s="71"/>
      <c r="H1034" s="68"/>
      <c r="I1034" s="69"/>
      <c r="J1034" s="44"/>
      <c r="K1034" s="44" t="str">
        <f t="shared" si="163"/>
        <v/>
      </c>
      <c r="L1034" s="68"/>
      <c r="M1034" s="69"/>
      <c r="N1034" s="44" t="str">
        <f t="shared" si="111"/>
        <v/>
      </c>
      <c r="O1034" s="44" t="str">
        <f t="shared" si="164"/>
        <v/>
      </c>
      <c r="P1034" s="70"/>
      <c r="Q1034" s="71"/>
      <c r="R1034" s="71"/>
      <c r="S1034" s="31"/>
    </row>
    <row r="1035">
      <c r="A1035" s="31"/>
      <c r="B1035" s="77"/>
      <c r="C1035" s="44"/>
      <c r="D1035" s="121"/>
      <c r="E1035" s="64"/>
      <c r="F1035" s="64"/>
      <c r="G1035" s="71"/>
      <c r="H1035" s="68"/>
      <c r="I1035" s="69"/>
      <c r="J1035" s="44"/>
      <c r="K1035" s="44" t="str">
        <f t="shared" si="163"/>
        <v/>
      </c>
      <c r="L1035" s="68"/>
      <c r="M1035" s="69"/>
      <c r="N1035" s="44" t="str">
        <f t="shared" si="111"/>
        <v/>
      </c>
      <c r="O1035" s="44" t="str">
        <f t="shared" si="164"/>
        <v/>
      </c>
      <c r="P1035" s="70"/>
      <c r="Q1035" s="71"/>
      <c r="R1035" s="71"/>
      <c r="S1035" s="31"/>
    </row>
    <row r="1036">
      <c r="A1036" s="31"/>
      <c r="B1036" s="77"/>
      <c r="C1036" s="44"/>
      <c r="D1036" s="121"/>
      <c r="E1036" s="64"/>
      <c r="F1036" s="64"/>
      <c r="G1036" s="71"/>
      <c r="H1036" s="68"/>
      <c r="I1036" s="69"/>
      <c r="J1036" s="44"/>
      <c r="K1036" s="44" t="str">
        <f t="shared" si="163"/>
        <v/>
      </c>
      <c r="L1036" s="68"/>
      <c r="M1036" s="69"/>
      <c r="N1036" s="44" t="str">
        <f t="shared" si="111"/>
        <v/>
      </c>
      <c r="O1036" s="44" t="str">
        <f t="shared" si="164"/>
        <v/>
      </c>
      <c r="P1036" s="70"/>
      <c r="Q1036" s="71"/>
      <c r="R1036" s="71"/>
      <c r="S1036" s="31"/>
    </row>
    <row r="1037">
      <c r="A1037" s="31"/>
      <c r="B1037" s="77"/>
      <c r="C1037" s="44"/>
      <c r="D1037" s="121"/>
      <c r="E1037" s="64"/>
      <c r="F1037" s="64"/>
      <c r="G1037" s="71"/>
      <c r="H1037" s="68"/>
      <c r="I1037" s="69"/>
      <c r="J1037" s="44"/>
      <c r="K1037" s="44" t="str">
        <f t="shared" si="163"/>
        <v/>
      </c>
      <c r="L1037" s="68"/>
      <c r="M1037" s="69"/>
      <c r="N1037" s="44" t="str">
        <f t="shared" si="111"/>
        <v/>
      </c>
      <c r="O1037" s="44" t="str">
        <f t="shared" si="164"/>
        <v/>
      </c>
      <c r="P1037" s="70"/>
      <c r="Q1037" s="71"/>
      <c r="R1037" s="71"/>
      <c r="S1037" s="31"/>
    </row>
    <row r="1038">
      <c r="A1038" s="31"/>
      <c r="B1038" s="77"/>
      <c r="C1038" s="44"/>
      <c r="D1038" s="121"/>
      <c r="E1038" s="64"/>
      <c r="F1038" s="64"/>
      <c r="G1038" s="71"/>
      <c r="H1038" s="68"/>
      <c r="I1038" s="69"/>
      <c r="J1038" s="44"/>
      <c r="K1038" s="44" t="str">
        <f t="shared" si="163"/>
        <v/>
      </c>
      <c r="L1038" s="68"/>
      <c r="M1038" s="69"/>
      <c r="N1038" s="44" t="str">
        <f t="shared" si="111"/>
        <v/>
      </c>
      <c r="O1038" s="44" t="str">
        <f t="shared" si="164"/>
        <v/>
      </c>
      <c r="P1038" s="70"/>
      <c r="Q1038" s="71"/>
      <c r="R1038" s="71"/>
      <c r="S1038" s="31"/>
    </row>
    <row r="1039">
      <c r="A1039" s="31"/>
      <c r="B1039" s="77"/>
      <c r="C1039" s="44"/>
      <c r="D1039" s="121"/>
      <c r="E1039" s="64"/>
      <c r="F1039" s="64"/>
      <c r="G1039" s="71"/>
      <c r="H1039" s="68"/>
      <c r="I1039" s="69"/>
      <c r="J1039" s="44"/>
      <c r="K1039" s="44" t="str">
        <f t="shared" si="163"/>
        <v/>
      </c>
      <c r="L1039" s="68"/>
      <c r="M1039" s="69"/>
      <c r="N1039" s="44" t="str">
        <f t="shared" si="111"/>
        <v/>
      </c>
      <c r="O1039" s="44" t="str">
        <f t="shared" si="164"/>
        <v/>
      </c>
      <c r="P1039" s="70"/>
      <c r="Q1039" s="71"/>
      <c r="R1039" s="71"/>
      <c r="S1039" s="31"/>
    </row>
    <row r="1040">
      <c r="A1040" s="31"/>
      <c r="B1040" s="77"/>
      <c r="C1040" s="44"/>
      <c r="D1040" s="121"/>
      <c r="E1040" s="64"/>
      <c r="F1040" s="64"/>
      <c r="G1040" s="71"/>
      <c r="H1040" s="68"/>
      <c r="I1040" s="69"/>
      <c r="J1040" s="44"/>
      <c r="K1040" s="44" t="str">
        <f t="shared" si="163"/>
        <v/>
      </c>
      <c r="L1040" s="68"/>
      <c r="M1040" s="69"/>
      <c r="N1040" s="44" t="str">
        <f t="shared" si="111"/>
        <v/>
      </c>
      <c r="O1040" s="44" t="str">
        <f t="shared" si="164"/>
        <v/>
      </c>
      <c r="P1040" s="70"/>
      <c r="Q1040" s="71"/>
      <c r="R1040" s="71"/>
      <c r="S1040" s="31"/>
    </row>
    <row r="1041">
      <c r="A1041" s="31"/>
      <c r="B1041" s="77"/>
      <c r="C1041" s="44"/>
      <c r="D1041" s="121"/>
      <c r="E1041" s="64"/>
      <c r="F1041" s="64"/>
      <c r="G1041" s="71"/>
      <c r="H1041" s="68"/>
      <c r="I1041" s="69"/>
      <c r="J1041" s="44"/>
      <c r="K1041" s="44" t="str">
        <f t="shared" si="163"/>
        <v/>
      </c>
      <c r="L1041" s="68"/>
      <c r="M1041" s="69"/>
      <c r="N1041" s="44" t="str">
        <f t="shared" si="111"/>
        <v/>
      </c>
      <c r="O1041" s="44" t="str">
        <f t="shared" si="164"/>
        <v/>
      </c>
      <c r="P1041" s="70"/>
      <c r="Q1041" s="71"/>
      <c r="R1041" s="71"/>
      <c r="S1041" s="31"/>
    </row>
    <row r="1042">
      <c r="A1042" s="31"/>
      <c r="B1042" s="77"/>
      <c r="C1042" s="44"/>
      <c r="D1042" s="121"/>
      <c r="E1042" s="64"/>
      <c r="F1042" s="64"/>
      <c r="G1042" s="71"/>
      <c r="H1042" s="68"/>
      <c r="I1042" s="69"/>
      <c r="J1042" s="44"/>
      <c r="K1042" s="44" t="str">
        <f t="shared" si="163"/>
        <v/>
      </c>
      <c r="L1042" s="68"/>
      <c r="M1042" s="69"/>
      <c r="N1042" s="44" t="str">
        <f t="shared" si="111"/>
        <v/>
      </c>
      <c r="O1042" s="44" t="str">
        <f t="shared" si="164"/>
        <v/>
      </c>
      <c r="P1042" s="70"/>
      <c r="Q1042" s="71"/>
      <c r="R1042" s="71"/>
      <c r="S1042" s="31"/>
    </row>
    <row r="1043">
      <c r="A1043" s="31"/>
      <c r="B1043" s="77"/>
      <c r="C1043" s="44"/>
      <c r="D1043" s="121"/>
      <c r="E1043" s="64"/>
      <c r="F1043" s="64"/>
      <c r="G1043" s="71"/>
      <c r="H1043" s="68"/>
      <c r="I1043" s="69"/>
      <c r="J1043" s="44"/>
      <c r="K1043" s="44" t="str">
        <f t="shared" si="163"/>
        <v/>
      </c>
      <c r="L1043" s="68"/>
      <c r="M1043" s="69"/>
      <c r="N1043" s="44" t="str">
        <f t="shared" si="111"/>
        <v/>
      </c>
      <c r="O1043" s="44" t="str">
        <f t="shared" si="164"/>
        <v/>
      </c>
      <c r="P1043" s="70"/>
      <c r="Q1043" s="71"/>
      <c r="R1043" s="71"/>
      <c r="S1043" s="31"/>
    </row>
    <row r="1044">
      <c r="A1044" s="31"/>
      <c r="B1044" s="77"/>
      <c r="C1044" s="44"/>
      <c r="D1044" s="121"/>
      <c r="E1044" s="64"/>
      <c r="F1044" s="64"/>
      <c r="G1044" s="71"/>
      <c r="H1044" s="68"/>
      <c r="I1044" s="69"/>
      <c r="J1044" s="44"/>
      <c r="K1044" s="44" t="str">
        <f t="shared" si="163"/>
        <v/>
      </c>
      <c r="L1044" s="68"/>
      <c r="M1044" s="69"/>
      <c r="N1044" s="44" t="str">
        <f t="shared" si="111"/>
        <v/>
      </c>
      <c r="O1044" s="44" t="str">
        <f t="shared" si="164"/>
        <v/>
      </c>
      <c r="P1044" s="70"/>
      <c r="Q1044" s="71"/>
      <c r="R1044" s="71"/>
      <c r="S1044" s="31"/>
    </row>
    <row r="1045">
      <c r="A1045" s="31"/>
      <c r="B1045" s="77"/>
      <c r="C1045" s="44"/>
      <c r="D1045" s="121"/>
      <c r="E1045" s="64"/>
      <c r="F1045" s="64"/>
      <c r="G1045" s="71"/>
      <c r="H1045" s="68"/>
      <c r="I1045" s="69"/>
      <c r="J1045" s="44"/>
      <c r="K1045" s="44" t="str">
        <f t="shared" si="163"/>
        <v/>
      </c>
      <c r="L1045" s="68"/>
      <c r="M1045" s="69"/>
      <c r="N1045" s="44" t="str">
        <f t="shared" si="111"/>
        <v/>
      </c>
      <c r="O1045" s="44" t="str">
        <f t="shared" si="164"/>
        <v/>
      </c>
      <c r="P1045" s="70"/>
      <c r="Q1045" s="71"/>
      <c r="R1045" s="71"/>
      <c r="S1045" s="31"/>
    </row>
    <row r="1046">
      <c r="A1046" s="31"/>
      <c r="B1046" s="77"/>
      <c r="C1046" s="44"/>
      <c r="D1046" s="121"/>
      <c r="E1046" s="64"/>
      <c r="F1046" s="64"/>
      <c r="G1046" s="71"/>
      <c r="H1046" s="68"/>
      <c r="I1046" s="69"/>
      <c r="J1046" s="44"/>
      <c r="K1046" s="44" t="str">
        <f t="shared" si="163"/>
        <v/>
      </c>
      <c r="L1046" s="68"/>
      <c r="M1046" s="69"/>
      <c r="N1046" s="44" t="str">
        <f t="shared" si="111"/>
        <v/>
      </c>
      <c r="O1046" s="44" t="str">
        <f t="shared" si="164"/>
        <v/>
      </c>
      <c r="P1046" s="70"/>
      <c r="Q1046" s="71"/>
      <c r="R1046" s="71"/>
      <c r="S1046" s="31"/>
    </row>
    <row r="1047">
      <c r="A1047" s="31"/>
      <c r="B1047" s="77"/>
      <c r="C1047" s="44"/>
      <c r="D1047" s="121"/>
      <c r="E1047" s="64"/>
      <c r="F1047" s="64"/>
      <c r="G1047" s="71"/>
      <c r="H1047" s="68"/>
      <c r="I1047" s="69"/>
      <c r="J1047" s="44"/>
      <c r="K1047" s="44" t="str">
        <f t="shared" si="163"/>
        <v/>
      </c>
      <c r="L1047" s="68"/>
      <c r="M1047" s="69"/>
      <c r="N1047" s="44" t="str">
        <f t="shared" si="111"/>
        <v/>
      </c>
      <c r="O1047" s="44" t="str">
        <f t="shared" si="164"/>
        <v/>
      </c>
      <c r="P1047" s="70"/>
      <c r="Q1047" s="71"/>
      <c r="R1047" s="71"/>
      <c r="S1047" s="31"/>
    </row>
    <row r="1048">
      <c r="A1048" s="31"/>
      <c r="B1048" s="77"/>
      <c r="C1048" s="44"/>
      <c r="D1048" s="121"/>
      <c r="E1048" s="64"/>
      <c r="F1048" s="64"/>
      <c r="G1048" s="71"/>
      <c r="H1048" s="68"/>
      <c r="I1048" s="69"/>
      <c r="J1048" s="44"/>
      <c r="K1048" s="44" t="str">
        <f t="shared" si="163"/>
        <v/>
      </c>
      <c r="L1048" s="68"/>
      <c r="M1048" s="69"/>
      <c r="N1048" s="44" t="str">
        <f t="shared" si="111"/>
        <v/>
      </c>
      <c r="O1048" s="44" t="str">
        <f t="shared" si="164"/>
        <v/>
      </c>
      <c r="P1048" s="70"/>
      <c r="Q1048" s="71"/>
      <c r="R1048" s="71"/>
      <c r="S1048" s="31"/>
    </row>
    <row r="1049">
      <c r="A1049" s="31"/>
      <c r="B1049" s="77"/>
      <c r="C1049" s="44"/>
      <c r="D1049" s="121"/>
      <c r="E1049" s="64"/>
      <c r="F1049" s="64"/>
      <c r="G1049" s="71"/>
      <c r="H1049" s="68"/>
      <c r="I1049" s="69"/>
      <c r="J1049" s="44"/>
      <c r="K1049" s="44" t="str">
        <f t="shared" si="163"/>
        <v/>
      </c>
      <c r="L1049" s="68"/>
      <c r="M1049" s="69"/>
      <c r="N1049" s="44" t="str">
        <f t="shared" si="111"/>
        <v/>
      </c>
      <c r="O1049" s="44" t="str">
        <f t="shared" si="164"/>
        <v/>
      </c>
      <c r="P1049" s="70"/>
      <c r="Q1049" s="71"/>
      <c r="R1049" s="71"/>
      <c r="S1049" s="31"/>
    </row>
    <row r="1050">
      <c r="A1050" s="31"/>
      <c r="B1050" s="77"/>
      <c r="C1050" s="44"/>
      <c r="D1050" s="121"/>
      <c r="E1050" s="64"/>
      <c r="F1050" s="64"/>
      <c r="G1050" s="71"/>
      <c r="H1050" s="68"/>
      <c r="I1050" s="69"/>
      <c r="J1050" s="44"/>
      <c r="K1050" s="44" t="str">
        <f t="shared" si="163"/>
        <v/>
      </c>
      <c r="L1050" s="68"/>
      <c r="M1050" s="69"/>
      <c r="N1050" s="44" t="str">
        <f t="shared" si="111"/>
        <v/>
      </c>
      <c r="O1050" s="44" t="str">
        <f t="shared" si="164"/>
        <v/>
      </c>
      <c r="P1050" s="70"/>
      <c r="Q1050" s="71"/>
      <c r="R1050" s="71"/>
      <c r="S1050" s="31"/>
    </row>
    <row r="1051">
      <c r="A1051" s="31"/>
      <c r="B1051" s="77"/>
      <c r="C1051" s="44"/>
      <c r="D1051" s="121"/>
      <c r="E1051" s="64"/>
      <c r="F1051" s="64"/>
      <c r="G1051" s="71"/>
      <c r="H1051" s="68"/>
      <c r="I1051" s="69"/>
      <c r="J1051" s="44"/>
      <c r="K1051" s="44" t="str">
        <f t="shared" si="163"/>
        <v/>
      </c>
      <c r="L1051" s="68"/>
      <c r="M1051" s="69"/>
      <c r="N1051" s="44" t="str">
        <f t="shared" si="111"/>
        <v/>
      </c>
      <c r="O1051" s="44" t="str">
        <f t="shared" si="164"/>
        <v/>
      </c>
      <c r="P1051" s="70"/>
      <c r="Q1051" s="71"/>
      <c r="R1051" s="71"/>
      <c r="S1051" s="31"/>
    </row>
    <row r="1052">
      <c r="A1052" s="31"/>
      <c r="B1052" s="77"/>
      <c r="C1052" s="44"/>
      <c r="D1052" s="121"/>
      <c r="E1052" s="64"/>
      <c r="F1052" s="64"/>
      <c r="G1052" s="71"/>
      <c r="H1052" s="68"/>
      <c r="I1052" s="69"/>
      <c r="J1052" s="44"/>
      <c r="K1052" s="44" t="str">
        <f t="shared" si="163"/>
        <v/>
      </c>
      <c r="L1052" s="68"/>
      <c r="M1052" s="69"/>
      <c r="N1052" s="44" t="str">
        <f t="shared" si="111"/>
        <v/>
      </c>
      <c r="O1052" s="44" t="str">
        <f t="shared" si="164"/>
        <v/>
      </c>
      <c r="P1052" s="70"/>
      <c r="Q1052" s="71"/>
      <c r="R1052" s="71"/>
      <c r="S1052" s="31"/>
    </row>
    <row r="1053">
      <c r="A1053" s="31"/>
      <c r="B1053" s="77"/>
      <c r="C1053" s="44"/>
      <c r="D1053" s="121"/>
      <c r="E1053" s="64"/>
      <c r="F1053" s="64"/>
      <c r="G1053" s="71"/>
      <c r="H1053" s="68"/>
      <c r="I1053" s="69"/>
      <c r="J1053" s="44"/>
      <c r="K1053" s="44" t="str">
        <f t="shared" si="163"/>
        <v/>
      </c>
      <c r="L1053" s="68"/>
      <c r="M1053" s="69"/>
      <c r="N1053" s="44" t="str">
        <f t="shared" si="111"/>
        <v/>
      </c>
      <c r="O1053" s="44" t="str">
        <f t="shared" si="164"/>
        <v/>
      </c>
      <c r="P1053" s="70"/>
      <c r="Q1053" s="71"/>
      <c r="R1053" s="71"/>
      <c r="S1053" s="31"/>
    </row>
    <row r="1054">
      <c r="A1054" s="31"/>
      <c r="B1054" s="77"/>
      <c r="C1054" s="44"/>
      <c r="D1054" s="121"/>
      <c r="E1054" s="64"/>
      <c r="F1054" s="64"/>
      <c r="G1054" s="71"/>
      <c r="H1054" s="68"/>
      <c r="I1054" s="69"/>
      <c r="J1054" s="44"/>
      <c r="K1054" s="44" t="str">
        <f t="shared" si="163"/>
        <v/>
      </c>
      <c r="L1054" s="68"/>
      <c r="M1054" s="69"/>
      <c r="N1054" s="44" t="str">
        <f t="shared" si="111"/>
        <v/>
      </c>
      <c r="O1054" s="44" t="str">
        <f t="shared" si="164"/>
        <v/>
      </c>
      <c r="P1054" s="70"/>
      <c r="Q1054" s="71"/>
      <c r="R1054" s="71"/>
      <c r="S1054" s="31"/>
    </row>
  </sheetData>
  <autoFilter ref="$C$3:$R$391"/>
  <mergeCells count="16">
    <mergeCell ref="A5:A6"/>
    <mergeCell ref="B5:B6"/>
    <mergeCell ref="C5:C6"/>
    <mergeCell ref="D5:D6"/>
    <mergeCell ref="E5:E6"/>
    <mergeCell ref="F5:F6"/>
    <mergeCell ref="G5:G6"/>
    <mergeCell ref="Q5:Q6"/>
    <mergeCell ref="R5:R6"/>
    <mergeCell ref="H5:I5"/>
    <mergeCell ref="J5:J6"/>
    <mergeCell ref="K5:K6"/>
    <mergeCell ref="L5:M5"/>
    <mergeCell ref="N5:N6"/>
    <mergeCell ref="O5:O6"/>
    <mergeCell ref="P5:P6"/>
  </mergeCells>
  <conditionalFormatting sqref="E10:E1054">
    <cfRule type="expression" dxfId="0" priority="1">
      <formula>TODAY()&gt;=D10+7</formula>
    </cfRule>
  </conditionalFormatting>
  <conditionalFormatting sqref="F73:F1054">
    <cfRule type="expression" dxfId="1" priority="2">
      <formula>TODAY()&gt;=D73+28</formula>
    </cfRule>
  </conditionalFormatting>
  <conditionalFormatting sqref="A7:A915">
    <cfRule type="cellIs" dxfId="2" priority="3" operator="equal">
      <formula>"Y"</formula>
    </cfRule>
  </conditionalFormatting>
  <conditionalFormatting sqref="A7:A915">
    <cfRule type="cellIs" dxfId="3" priority="4" operator="equal">
      <formula>"N"</formula>
    </cfRule>
  </conditionalFormatting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10.86"/>
    <col customWidth="1" min="3" max="3" width="29.14"/>
    <col hidden="1" min="11" max="11" width="14.43"/>
    <col hidden="1" min="15" max="15" width="14.43"/>
    <col hidden="1" min="19" max="47" width="14.43"/>
  </cols>
  <sheetData>
    <row r="1">
      <c r="A1" s="124"/>
      <c r="E1" s="125" t="s">
        <v>298</v>
      </c>
      <c r="F1" s="125" t="s">
        <v>299</v>
      </c>
      <c r="G1" s="125" t="s">
        <v>34</v>
      </c>
      <c r="H1" s="126"/>
      <c r="I1" s="126"/>
    </row>
    <row r="2">
      <c r="A2" s="127" t="s">
        <v>46</v>
      </c>
      <c r="B2" s="128">
        <v>45414.0</v>
      </c>
      <c r="C2" s="125" t="s">
        <v>300</v>
      </c>
      <c r="D2" s="128">
        <v>45864.0</v>
      </c>
      <c r="E2" s="129" t="s">
        <v>301</v>
      </c>
      <c r="F2" s="129" t="s">
        <v>301</v>
      </c>
      <c r="G2" s="130" t="s">
        <v>301</v>
      </c>
      <c r="H2" s="126"/>
      <c r="I2" s="126"/>
      <c r="J2" s="129"/>
      <c r="K2" s="126">
        <f>H2+M2</f>
        <v>0</v>
      </c>
      <c r="AA2" s="131">
        <f>sum(AB:AB)</f>
        <v>212463</v>
      </c>
      <c r="AC2" s="132" t="s">
        <v>140</v>
      </c>
      <c r="AD2" s="131">
        <f t="shared" ref="AD2:AE2" si="1">AA2+AF2</f>
        <v>225193</v>
      </c>
      <c r="AE2" s="131">
        <f t="shared" si="1"/>
        <v>0</v>
      </c>
      <c r="AF2" s="131">
        <f>sum(AG:AG)</f>
        <v>12730</v>
      </c>
    </row>
    <row r="3">
      <c r="A3" s="124"/>
      <c r="F3" s="133">
        <f>(SUM(J9:J1945)+SUM(N9:N1945))*3</f>
        <v>77271</v>
      </c>
      <c r="G3" s="134" t="s">
        <v>20</v>
      </c>
      <c r="H3" s="126"/>
      <c r="I3" s="126"/>
      <c r="K3" s="131">
        <f>K2*3</f>
        <v>0</v>
      </c>
      <c r="AD3" s="131">
        <f t="shared" ref="AD3:AE3" si="2">AD2*3</f>
        <v>675579</v>
      </c>
      <c r="AE3" s="131">
        <f t="shared" si="2"/>
        <v>0</v>
      </c>
    </row>
    <row r="4">
      <c r="A4" s="124"/>
      <c r="H4" s="126"/>
      <c r="I4" s="126"/>
      <c r="J4" s="135"/>
    </row>
    <row r="5">
      <c r="A5" s="124"/>
      <c r="H5" s="126"/>
      <c r="I5" s="126"/>
      <c r="J5" s="129"/>
    </row>
    <row r="6">
      <c r="A6" s="124"/>
      <c r="H6" s="126"/>
      <c r="I6" s="126"/>
      <c r="J6" s="129"/>
    </row>
    <row r="7">
      <c r="A7" s="48" t="str">
        <f>IFERROR(__xludf.DUMMYFUNCTION("{
  'Concrete Orders'!A5:R6;
  QUERY('Concrete Orders'!A:R,
  ""select * 
   where D &gt;= date '""&amp;TEXT(B2,""yyyy-mm-dd"")&amp;""'
   and D &lt;= date '""&amp;TEXT(D2,""yyyy-mm-dd"")&amp;""'
   ""&amp;IF(E2=""الكل"", """", ""and A = '""&amp;E2&amp;""' "")&amp;""
   ""&amp;IF(F2=""الكل"", """&amp;""", ""and G = '""&amp;F2&amp;""' "")&amp;""
   ""&amp;IF(G2=""الكل"", """", ""and B = '""&amp;G2&amp;""' "")&amp;""
   ORDER BY D"", 1)
}
"),"الفاشل")</f>
        <v>الفاشل</v>
      </c>
      <c r="B7" s="50" t="str">
        <f>IFERROR(__xludf.DUMMYFUNCTION("""COMPUTED_VALUE"""),"رقم السلفة")</f>
        <v>رقم السلفة</v>
      </c>
      <c r="C7" s="50" t="str">
        <f>IFERROR(__xludf.DUMMYFUNCTION("""COMPUTED_VALUE"""),"التسلسل")</f>
        <v>التسلسل</v>
      </c>
      <c r="D7" s="50" t="str">
        <f>IFERROR(__xludf.DUMMYFUNCTION("""COMPUTED_VALUE"""),"تاريخ الصب")</f>
        <v>تاريخ الصب</v>
      </c>
      <c r="E7" s="50" t="str">
        <f>IFERROR(__xludf.DUMMYFUNCTION("""COMPUTED_VALUE"""),"بعد 7 ايام")</f>
        <v>بعد 7 ايام</v>
      </c>
      <c r="F7" s="136" t="str">
        <f>IFERROR(__xludf.DUMMYFUNCTION("""COMPUTED_VALUE"""),"بعد 28 يوم")</f>
        <v>بعد 28 يوم</v>
      </c>
      <c r="G7" s="137" t="str">
        <f>IFERROR(__xludf.DUMMYFUNCTION("""COMPUTED_VALUE"""),"التفاصيل")</f>
        <v>التفاصيل</v>
      </c>
      <c r="H7" s="138" t="str">
        <f>IFERROR(__xludf.DUMMYFUNCTION("""COMPUTED_VALUE"""),"Panels")</f>
        <v>Panels</v>
      </c>
      <c r="I7" s="52"/>
      <c r="J7" s="56" t="str">
        <f>IFERROR(__xludf.DUMMYFUNCTION("""COMPUTED_VALUE"""),"عدد")</f>
        <v>عدد</v>
      </c>
      <c r="K7" s="139" t="str">
        <f>IFERROR(__xludf.DUMMYFUNCTION("""COMPUTED_VALUE"""),"عدد")</f>
        <v>عدد</v>
      </c>
      <c r="L7" s="140" t="str">
        <f>IFERROR(__xludf.DUMMYFUNCTION("""COMPUTED_VALUE"""),"Betweens")</f>
        <v>Betweens</v>
      </c>
      <c r="M7" s="52"/>
      <c r="N7" s="56" t="str">
        <f>IFERROR(__xludf.DUMMYFUNCTION("""COMPUTED_VALUE"""),"عدد")</f>
        <v>عدد</v>
      </c>
      <c r="O7" s="56" t="str">
        <f>IFERROR(__xludf.DUMMYFUNCTION("""COMPUTED_VALUE"""),"عدد")</f>
        <v>عدد</v>
      </c>
      <c r="P7" s="56" t="str">
        <f>IFERROR(__xludf.DUMMYFUNCTION("""COMPUTED_VALUE"""),"رقم الاوردر")</f>
        <v>رقم الاوردر</v>
      </c>
      <c r="Q7" s="56" t="str">
        <f>IFERROR(__xludf.DUMMYFUNCTION("""COMPUTED_VALUE"""),"الكدس")</f>
        <v>الكدس</v>
      </c>
      <c r="R7" s="56" t="str">
        <f>IFERROR(__xludf.DUMMYFUNCTION("""COMPUTED_VALUE"""),"الكمية")</f>
        <v>الكمية</v>
      </c>
      <c r="T7" s="48"/>
    </row>
    <row r="8">
      <c r="A8" s="20"/>
      <c r="B8" s="20"/>
      <c r="C8" s="20"/>
      <c r="D8" s="20"/>
      <c r="E8" s="20"/>
      <c r="F8" s="20"/>
      <c r="G8" s="141"/>
      <c r="H8" s="142" t="str">
        <f>IFERROR(__xludf.DUMMYFUNCTION("""COMPUTED_VALUE"""),"من")</f>
        <v>من</v>
      </c>
      <c r="I8" s="142" t="str">
        <f>IFERROR(__xludf.DUMMYFUNCTION("""COMPUTED_VALUE"""),"الى ")</f>
        <v>الى </v>
      </c>
      <c r="J8" s="20"/>
      <c r="K8" s="60"/>
      <c r="L8" s="98" t="str">
        <f>IFERROR(__xludf.DUMMYFUNCTION("""COMPUTED_VALUE"""),"من")</f>
        <v>من</v>
      </c>
      <c r="M8" s="98" t="str">
        <f>IFERROR(__xludf.DUMMYFUNCTION("""COMPUTED_VALUE"""),"الى ")</f>
        <v>الى </v>
      </c>
      <c r="N8" s="20"/>
      <c r="O8" s="20"/>
      <c r="P8" s="20"/>
      <c r="Q8" s="20"/>
      <c r="R8" s="20"/>
      <c r="T8" s="143" t="str">
        <f>IFERROR(__xludf.DUMMYFUNCTION("QUERY('Concrete Orders'!A:R,
  ""select * 
   where D &gt;= date '""&amp;TEXT(B2,""yyyy-mm-dd"")&amp;""'
   and D &lt;= date '""&amp;TEXT(D2,""yyyy-mm-dd"")&amp;""'
   ""&amp;IF(E2=""الكل"", """", ""and A = '""&amp;E2&amp;""' "")&amp;""
   ""&amp;IF(F2=""الكل"", """", ""and G = '""&amp;F2&amp;""' "")&amp;""
"&amp;"   ORDER BY D"", 1)"),"Y")</f>
        <v>Y</v>
      </c>
      <c r="U8" s="131" t="str">
        <f>IFERROR(__xludf.DUMMYFUNCTION("""COMPUTED_VALUE"""),"2")</f>
        <v>2</v>
      </c>
      <c r="V8" s="131" t="str">
        <f>IFERROR(__xludf.DUMMYFUNCTION("""COMPUTED_VALUE"""),"1 to 6")</f>
        <v>1 to 6</v>
      </c>
      <c r="W8" s="144">
        <f>IFERROR(__xludf.DUMMYFUNCTION("""COMPUTED_VALUE"""),45557.0)</f>
        <v>45557</v>
      </c>
      <c r="X8" s="144">
        <f>IFERROR(__xludf.DUMMYFUNCTION("""COMPUTED_VALUE"""),45564.0)</f>
        <v>45564</v>
      </c>
      <c r="Y8" s="144">
        <f>IFERROR(__xludf.DUMMYFUNCTION("""COMPUTED_VALUE"""),45585.0)</f>
        <v>45585</v>
      </c>
      <c r="Z8" s="131" t="str">
        <f>IFERROR(__xludf.DUMMYFUNCTION("""COMPUTED_VALUE"""),"D34-1L")</f>
        <v>D34-1L</v>
      </c>
      <c r="AA8" s="131">
        <f>IFERROR(__xludf.DUMMYFUNCTION("""COMPUTED_VALUE"""),1.0)</f>
        <v>1</v>
      </c>
      <c r="AB8" s="131">
        <f>IFERROR(__xludf.DUMMYFUNCTION("""COMPUTED_VALUE"""),29.0)</f>
        <v>29</v>
      </c>
      <c r="AC8" s="131">
        <f>IFERROR(__xludf.DUMMYFUNCTION("""COMPUTED_VALUE"""),15.0)</f>
        <v>15</v>
      </c>
      <c r="AD8" s="131">
        <f>IFERROR(__xludf.DUMMYFUNCTION("""COMPUTED_VALUE"""),15.0)</f>
        <v>15</v>
      </c>
      <c r="AE8" s="131"/>
      <c r="AF8" s="131"/>
      <c r="AG8" s="131"/>
      <c r="AH8" s="131"/>
      <c r="AI8" s="131"/>
      <c r="AJ8" s="131"/>
      <c r="AK8" s="131"/>
    </row>
    <row r="9">
      <c r="A9" s="145" t="str">
        <f>IFERROR(__xludf.DUMMYFUNCTION("""COMPUTED_VALUE"""),"Y")</f>
        <v>Y</v>
      </c>
      <c r="B9" s="146" t="str">
        <f>IFERROR(__xludf.DUMMYFUNCTION("""COMPUTED_VALUE"""),"2")</f>
        <v>2</v>
      </c>
      <c r="C9" s="146" t="str">
        <f>IFERROR(__xludf.DUMMYFUNCTION("""COMPUTED_VALUE"""),"1 to 6")</f>
        <v>1 to 6</v>
      </c>
      <c r="D9" s="147">
        <f>IFERROR(__xludf.DUMMYFUNCTION("""COMPUTED_VALUE"""),45557.0)</f>
        <v>45557</v>
      </c>
      <c r="E9" s="147">
        <f>IFERROR(__xludf.DUMMYFUNCTION("""COMPUTED_VALUE"""),45564.0)</f>
        <v>45564</v>
      </c>
      <c r="F9" s="147">
        <f>IFERROR(__xludf.DUMMYFUNCTION("""COMPUTED_VALUE"""),45585.0)</f>
        <v>45585</v>
      </c>
      <c r="G9" s="146" t="str">
        <f>IFERROR(__xludf.DUMMYFUNCTION("""COMPUTED_VALUE"""),"D34-1L")</f>
        <v>D34-1L</v>
      </c>
      <c r="H9" s="148">
        <f>IFERROR(__xludf.DUMMYFUNCTION("""COMPUTED_VALUE"""),1.0)</f>
        <v>1</v>
      </c>
      <c r="I9" s="148">
        <f>IFERROR(__xludf.DUMMYFUNCTION("""COMPUTED_VALUE"""),29.0)</f>
        <v>29</v>
      </c>
      <c r="J9" s="146">
        <f>IFERROR(__xludf.DUMMYFUNCTION("""COMPUTED_VALUE"""),15.0)</f>
        <v>15</v>
      </c>
      <c r="K9" s="146">
        <f>IFERROR(__xludf.DUMMYFUNCTION("""COMPUTED_VALUE"""),15.0)</f>
        <v>15</v>
      </c>
      <c r="L9" s="146"/>
      <c r="M9" s="146"/>
      <c r="N9" s="146"/>
      <c r="O9" s="146"/>
      <c r="P9" s="146"/>
      <c r="Q9" s="146"/>
      <c r="R9" s="146"/>
      <c r="T9" s="131" t="str">
        <f>IFERROR(__xludf.DUMMYFUNCTION("""COMPUTED_VALUE"""),"Y")</f>
        <v>Y</v>
      </c>
      <c r="U9" s="131" t="str">
        <f>IFERROR(__xludf.DUMMYFUNCTION("""COMPUTED_VALUE"""),"2")</f>
        <v>2</v>
      </c>
      <c r="V9" s="131" t="str">
        <f>IFERROR(__xludf.DUMMYFUNCTION("""COMPUTED_VALUE"""),"73 TO 78")</f>
        <v>73 TO 78</v>
      </c>
      <c r="W9" s="144">
        <f>IFERROR(__xludf.DUMMYFUNCTION("""COMPUTED_VALUE"""),45574.0)</f>
        <v>45574</v>
      </c>
      <c r="X9" s="144">
        <f>IFERROR(__xludf.DUMMYFUNCTION("""COMPUTED_VALUE"""),45581.0)</f>
        <v>45581</v>
      </c>
      <c r="Y9" s="144">
        <f>IFERROR(__xludf.DUMMYFUNCTION("""COMPUTED_VALUE"""),45602.0)</f>
        <v>45602</v>
      </c>
      <c r="Z9" s="131" t="str">
        <f>IFERROR(__xludf.DUMMYFUNCTION("""COMPUTED_VALUE"""),"D36-1L")</f>
        <v>D36-1L</v>
      </c>
      <c r="AA9" s="131">
        <f>IFERROR(__xludf.DUMMYFUNCTION("""COMPUTED_VALUE"""),1.0)</f>
        <v>1</v>
      </c>
      <c r="AB9" s="131">
        <f>IFERROR(__xludf.DUMMYFUNCTION("""COMPUTED_VALUE"""),157.0)</f>
        <v>157</v>
      </c>
      <c r="AC9" s="131">
        <f>IFERROR(__xludf.DUMMYFUNCTION("""COMPUTED_VALUE"""),79.0)</f>
        <v>79</v>
      </c>
      <c r="AD9" s="131">
        <f>IFERROR(__xludf.DUMMYFUNCTION("""COMPUTED_VALUE"""),79.0)</f>
        <v>79</v>
      </c>
      <c r="AE9" s="131"/>
      <c r="AF9" s="131"/>
      <c r="AG9" s="131"/>
      <c r="AH9" s="131"/>
      <c r="AI9" s="131"/>
      <c r="AJ9" s="131"/>
      <c r="AK9" s="131"/>
    </row>
    <row r="10">
      <c r="A10" s="145" t="str">
        <f>IFERROR(__xludf.DUMMYFUNCTION("""COMPUTED_VALUE"""),"Y")</f>
        <v>Y</v>
      </c>
      <c r="B10" s="146" t="str">
        <f>IFERROR(__xludf.DUMMYFUNCTION("""COMPUTED_VALUE"""),"2")</f>
        <v>2</v>
      </c>
      <c r="C10" s="146" t="str">
        <f>IFERROR(__xludf.DUMMYFUNCTION("""COMPUTED_VALUE"""),"73 TO 78")</f>
        <v>73 TO 78</v>
      </c>
      <c r="D10" s="147">
        <f>IFERROR(__xludf.DUMMYFUNCTION("""COMPUTED_VALUE"""),45574.0)</f>
        <v>45574</v>
      </c>
      <c r="E10" s="147">
        <f>IFERROR(__xludf.DUMMYFUNCTION("""COMPUTED_VALUE"""),45581.0)</f>
        <v>45581</v>
      </c>
      <c r="F10" s="147">
        <f>IFERROR(__xludf.DUMMYFUNCTION("""COMPUTED_VALUE"""),45602.0)</f>
        <v>45602</v>
      </c>
      <c r="G10" s="146" t="str">
        <f>IFERROR(__xludf.DUMMYFUNCTION("""COMPUTED_VALUE"""),"D36-1L")</f>
        <v>D36-1L</v>
      </c>
      <c r="H10" s="148">
        <f>IFERROR(__xludf.DUMMYFUNCTION("""COMPUTED_VALUE"""),1.0)</f>
        <v>1</v>
      </c>
      <c r="I10" s="148">
        <f>IFERROR(__xludf.DUMMYFUNCTION("""COMPUTED_VALUE"""),157.0)</f>
        <v>157</v>
      </c>
      <c r="J10" s="146">
        <f>IFERROR(__xludf.DUMMYFUNCTION("""COMPUTED_VALUE"""),79.0)</f>
        <v>79</v>
      </c>
      <c r="K10" s="146">
        <f>IFERROR(__xludf.DUMMYFUNCTION("""COMPUTED_VALUE"""),79.0)</f>
        <v>79</v>
      </c>
      <c r="L10" s="146"/>
      <c r="M10" s="146"/>
      <c r="N10" s="146"/>
      <c r="O10" s="146"/>
      <c r="P10" s="146"/>
      <c r="Q10" s="146"/>
      <c r="R10" s="146"/>
      <c r="T10" s="131" t="str">
        <f>IFERROR(__xludf.DUMMYFUNCTION("""COMPUTED_VALUE"""),"Y")</f>
        <v>Y</v>
      </c>
      <c r="U10" s="131" t="str">
        <f>IFERROR(__xludf.DUMMYFUNCTION("""COMPUTED_VALUE"""),"2")</f>
        <v>2</v>
      </c>
      <c r="V10" s="131" t="str">
        <f>IFERROR(__xludf.DUMMYFUNCTION("""COMPUTED_VALUE"""),"91-96")</f>
        <v>91-96</v>
      </c>
      <c r="W10" s="144">
        <f>IFERROR(__xludf.DUMMYFUNCTION("""COMPUTED_VALUE"""),45575.0)</f>
        <v>45575</v>
      </c>
      <c r="X10" s="144">
        <f>IFERROR(__xludf.DUMMYFUNCTION("""COMPUTED_VALUE"""),45582.0)</f>
        <v>45582</v>
      </c>
      <c r="Y10" s="144">
        <f>IFERROR(__xludf.DUMMYFUNCTION("""COMPUTED_VALUE"""),45603.0)</f>
        <v>45603</v>
      </c>
      <c r="Z10" s="131" t="str">
        <f>IFERROR(__xludf.DUMMYFUNCTION("""COMPUTED_VALUE"""),"D36-1L")</f>
        <v>D36-1L</v>
      </c>
      <c r="AA10" s="131">
        <f>IFERROR(__xludf.DUMMYFUNCTION("""COMPUTED_VALUE"""),159.0)</f>
        <v>159</v>
      </c>
      <c r="AB10" s="131">
        <f>IFERROR(__xludf.DUMMYFUNCTION("""COMPUTED_VALUE"""),177.0)</f>
        <v>177</v>
      </c>
      <c r="AC10" s="131">
        <f>IFERROR(__xludf.DUMMYFUNCTION("""COMPUTED_VALUE"""),10.0)</f>
        <v>10</v>
      </c>
      <c r="AD10" s="131">
        <f>IFERROR(__xludf.DUMMYFUNCTION("""COMPUTED_VALUE"""),10.0)</f>
        <v>10</v>
      </c>
      <c r="AE10" s="131"/>
      <c r="AF10" s="131"/>
      <c r="AG10" s="131"/>
      <c r="AH10" s="131"/>
      <c r="AI10" s="131"/>
      <c r="AJ10" s="131"/>
      <c r="AK10" s="131"/>
    </row>
    <row r="11">
      <c r="A11" s="145" t="str">
        <f>IFERROR(__xludf.DUMMYFUNCTION("""COMPUTED_VALUE"""),"Y")</f>
        <v>Y</v>
      </c>
      <c r="B11" s="146" t="str">
        <f>IFERROR(__xludf.DUMMYFUNCTION("""COMPUTED_VALUE"""),"2")</f>
        <v>2</v>
      </c>
      <c r="C11" s="146" t="str">
        <f>IFERROR(__xludf.DUMMYFUNCTION("""COMPUTED_VALUE"""),"91-96")</f>
        <v>91-96</v>
      </c>
      <c r="D11" s="147">
        <f>IFERROR(__xludf.DUMMYFUNCTION("""COMPUTED_VALUE"""),45575.0)</f>
        <v>45575</v>
      </c>
      <c r="E11" s="147">
        <f>IFERROR(__xludf.DUMMYFUNCTION("""COMPUTED_VALUE"""),45582.0)</f>
        <v>45582</v>
      </c>
      <c r="F11" s="147">
        <f>IFERROR(__xludf.DUMMYFUNCTION("""COMPUTED_VALUE"""),45603.0)</f>
        <v>45603</v>
      </c>
      <c r="G11" s="146" t="str">
        <f>IFERROR(__xludf.DUMMYFUNCTION("""COMPUTED_VALUE"""),"D36-1L")</f>
        <v>D36-1L</v>
      </c>
      <c r="H11" s="148">
        <f>IFERROR(__xludf.DUMMYFUNCTION("""COMPUTED_VALUE"""),159.0)</f>
        <v>159</v>
      </c>
      <c r="I11" s="148">
        <f>IFERROR(__xludf.DUMMYFUNCTION("""COMPUTED_VALUE"""),177.0)</f>
        <v>177</v>
      </c>
      <c r="J11" s="146">
        <f>IFERROR(__xludf.DUMMYFUNCTION("""COMPUTED_VALUE"""),10.0)</f>
        <v>10</v>
      </c>
      <c r="K11" s="146">
        <f>IFERROR(__xludf.DUMMYFUNCTION("""COMPUTED_VALUE"""),10.0)</f>
        <v>10</v>
      </c>
      <c r="L11" s="146"/>
      <c r="M11" s="146"/>
      <c r="N11" s="146"/>
      <c r="O11" s="146"/>
      <c r="P11" s="146"/>
      <c r="Q11" s="146"/>
      <c r="R11" s="146"/>
      <c r="T11" s="131" t="str">
        <f>IFERROR(__xludf.DUMMYFUNCTION("""COMPUTED_VALUE"""),"Y")</f>
        <v>Y</v>
      </c>
      <c r="U11" s="131" t="str">
        <f>IFERROR(__xludf.DUMMYFUNCTION("""COMPUTED_VALUE"""),"2")</f>
        <v>2</v>
      </c>
      <c r="V11" s="131" t="str">
        <f>IFERROR(__xludf.DUMMYFUNCTION("""COMPUTED_VALUE"""),"91-96")</f>
        <v>91-96</v>
      </c>
      <c r="W11" s="144">
        <f>IFERROR(__xludf.DUMMYFUNCTION("""COMPUTED_VALUE"""),45575.0)</f>
        <v>45575</v>
      </c>
      <c r="X11" s="144">
        <f>IFERROR(__xludf.DUMMYFUNCTION("""COMPUTED_VALUE"""),45582.0)</f>
        <v>45582</v>
      </c>
      <c r="Y11" s="144">
        <f>IFERROR(__xludf.DUMMYFUNCTION("""COMPUTED_VALUE"""),45603.0)</f>
        <v>45603</v>
      </c>
      <c r="Z11" s="131" t="str">
        <f>IFERROR(__xludf.DUMMYFUNCTION("""COMPUTED_VALUE"""),"D36-2L")</f>
        <v>D36-2L</v>
      </c>
      <c r="AA11" s="131">
        <f>IFERROR(__xludf.DUMMYFUNCTION("""COMPUTED_VALUE"""),1.0)</f>
        <v>1</v>
      </c>
      <c r="AB11" s="131">
        <f>IFERROR(__xludf.DUMMYFUNCTION("""COMPUTED_VALUE"""),161.0)</f>
        <v>161</v>
      </c>
      <c r="AC11" s="131">
        <f>IFERROR(__xludf.DUMMYFUNCTION("""COMPUTED_VALUE"""),81.0)</f>
        <v>81</v>
      </c>
      <c r="AD11" s="131">
        <f>IFERROR(__xludf.DUMMYFUNCTION("""COMPUTED_VALUE"""),81.0)</f>
        <v>81</v>
      </c>
      <c r="AE11" s="131"/>
      <c r="AF11" s="131"/>
      <c r="AG11" s="131"/>
      <c r="AH11" s="131"/>
      <c r="AI11" s="131"/>
      <c r="AJ11" s="131"/>
      <c r="AK11" s="131"/>
    </row>
    <row r="12">
      <c r="A12" s="145" t="str">
        <f>IFERROR(__xludf.DUMMYFUNCTION("""COMPUTED_VALUE"""),"Y")</f>
        <v>Y</v>
      </c>
      <c r="B12" s="146" t="str">
        <f>IFERROR(__xludf.DUMMYFUNCTION("""COMPUTED_VALUE"""),"2")</f>
        <v>2</v>
      </c>
      <c r="C12" s="146" t="str">
        <f>IFERROR(__xludf.DUMMYFUNCTION("""COMPUTED_VALUE"""),"91-96")</f>
        <v>91-96</v>
      </c>
      <c r="D12" s="147">
        <f>IFERROR(__xludf.DUMMYFUNCTION("""COMPUTED_VALUE"""),45575.0)</f>
        <v>45575</v>
      </c>
      <c r="E12" s="147">
        <f>IFERROR(__xludf.DUMMYFUNCTION("""COMPUTED_VALUE"""),45582.0)</f>
        <v>45582</v>
      </c>
      <c r="F12" s="147">
        <f>IFERROR(__xludf.DUMMYFUNCTION("""COMPUTED_VALUE"""),45603.0)</f>
        <v>45603</v>
      </c>
      <c r="G12" s="146" t="str">
        <f>IFERROR(__xludf.DUMMYFUNCTION("""COMPUTED_VALUE"""),"D36-2L")</f>
        <v>D36-2L</v>
      </c>
      <c r="H12" s="148">
        <f>IFERROR(__xludf.DUMMYFUNCTION("""COMPUTED_VALUE"""),1.0)</f>
        <v>1</v>
      </c>
      <c r="I12" s="148">
        <f>IFERROR(__xludf.DUMMYFUNCTION("""COMPUTED_VALUE"""),161.0)</f>
        <v>161</v>
      </c>
      <c r="J12" s="146">
        <f>IFERROR(__xludf.DUMMYFUNCTION("""COMPUTED_VALUE"""),81.0)</f>
        <v>81</v>
      </c>
      <c r="K12" s="146">
        <f>IFERROR(__xludf.DUMMYFUNCTION("""COMPUTED_VALUE"""),81.0)</f>
        <v>81</v>
      </c>
      <c r="L12" s="146"/>
      <c r="M12" s="146"/>
      <c r="N12" s="146"/>
      <c r="O12" s="146"/>
      <c r="P12" s="146"/>
      <c r="Q12" s="146"/>
      <c r="R12" s="146"/>
      <c r="T12" s="131" t="str">
        <f>IFERROR(__xludf.DUMMYFUNCTION("""COMPUTED_VALUE"""),"Y")</f>
        <v>Y</v>
      </c>
      <c r="U12" s="131" t="str">
        <f>IFERROR(__xludf.DUMMYFUNCTION("""COMPUTED_VALUE"""),"2")</f>
        <v>2</v>
      </c>
      <c r="V12" s="131" t="str">
        <f>IFERROR(__xludf.DUMMYFUNCTION("""COMPUTED_VALUE"""),"109-114")</f>
        <v>109-114</v>
      </c>
      <c r="W12" s="144">
        <f>IFERROR(__xludf.DUMMYFUNCTION("""COMPUTED_VALUE"""),45577.0)</f>
        <v>45577</v>
      </c>
      <c r="X12" s="144">
        <f>IFERROR(__xludf.DUMMYFUNCTION("""COMPUTED_VALUE"""),45584.0)</f>
        <v>45584</v>
      </c>
      <c r="Y12" s="144">
        <f>IFERROR(__xludf.DUMMYFUNCTION("""COMPUTED_VALUE"""),45605.0)</f>
        <v>45605</v>
      </c>
      <c r="Z12" s="131" t="str">
        <f>IFERROR(__xludf.DUMMYFUNCTION("""COMPUTED_VALUE"""),"D36-1L")</f>
        <v>D36-1L</v>
      </c>
      <c r="AA12" s="131"/>
      <c r="AB12" s="131"/>
      <c r="AC12" s="131"/>
      <c r="AD12" s="131"/>
      <c r="AE12" s="131">
        <f>IFERROR(__xludf.DUMMYFUNCTION("""COMPUTED_VALUE"""),2.0)</f>
        <v>2</v>
      </c>
      <c r="AF12" s="131">
        <f>IFERROR(__xludf.DUMMYFUNCTION("""COMPUTED_VALUE"""),178.0)</f>
        <v>178</v>
      </c>
      <c r="AG12" s="131">
        <f>IFERROR(__xludf.DUMMYFUNCTION("""COMPUTED_VALUE"""),89.0)</f>
        <v>89</v>
      </c>
      <c r="AH12" s="131">
        <f>IFERROR(__xludf.DUMMYFUNCTION("""COMPUTED_VALUE"""),89.0)</f>
        <v>89</v>
      </c>
      <c r="AI12" s="131"/>
      <c r="AJ12" s="131"/>
      <c r="AK12" s="131"/>
    </row>
    <row r="13">
      <c r="A13" s="145" t="str">
        <f>IFERROR(__xludf.DUMMYFUNCTION("""COMPUTED_VALUE"""),"Y")</f>
        <v>Y</v>
      </c>
      <c r="B13" s="146" t="str">
        <f>IFERROR(__xludf.DUMMYFUNCTION("""COMPUTED_VALUE"""),"2")</f>
        <v>2</v>
      </c>
      <c r="C13" s="146" t="str">
        <f>IFERROR(__xludf.DUMMYFUNCTION("""COMPUTED_VALUE"""),"109-114")</f>
        <v>109-114</v>
      </c>
      <c r="D13" s="147">
        <f>IFERROR(__xludf.DUMMYFUNCTION("""COMPUTED_VALUE"""),45577.0)</f>
        <v>45577</v>
      </c>
      <c r="E13" s="147">
        <f>IFERROR(__xludf.DUMMYFUNCTION("""COMPUTED_VALUE"""),45584.0)</f>
        <v>45584</v>
      </c>
      <c r="F13" s="147">
        <f>IFERROR(__xludf.DUMMYFUNCTION("""COMPUTED_VALUE"""),45605.0)</f>
        <v>45605</v>
      </c>
      <c r="G13" s="146" t="str">
        <f>IFERROR(__xludf.DUMMYFUNCTION("""COMPUTED_VALUE"""),"D36-1L")</f>
        <v>D36-1L</v>
      </c>
      <c r="H13" s="148"/>
      <c r="I13" s="148"/>
      <c r="J13" s="146"/>
      <c r="K13" s="146"/>
      <c r="L13" s="146">
        <f>IFERROR(__xludf.DUMMYFUNCTION("""COMPUTED_VALUE"""),2.0)</f>
        <v>2</v>
      </c>
      <c r="M13" s="146">
        <f>IFERROR(__xludf.DUMMYFUNCTION("""COMPUTED_VALUE"""),178.0)</f>
        <v>178</v>
      </c>
      <c r="N13" s="146">
        <f>IFERROR(__xludf.DUMMYFUNCTION("""COMPUTED_VALUE"""),89.0)</f>
        <v>89</v>
      </c>
      <c r="O13" s="146">
        <f>IFERROR(__xludf.DUMMYFUNCTION("""COMPUTED_VALUE"""),89.0)</f>
        <v>89</v>
      </c>
      <c r="P13" s="146"/>
      <c r="Q13" s="146"/>
      <c r="R13" s="146"/>
      <c r="T13" s="131" t="str">
        <f>IFERROR(__xludf.DUMMYFUNCTION("""COMPUTED_VALUE"""),"Y")</f>
        <v>Y</v>
      </c>
      <c r="U13" s="131" t="str">
        <f>IFERROR(__xludf.DUMMYFUNCTION("""COMPUTED_VALUE"""),"2")</f>
        <v>2</v>
      </c>
      <c r="V13" s="131" t="str">
        <f>IFERROR(__xludf.DUMMYFUNCTION("""COMPUTED_VALUE"""),"109-114")</f>
        <v>109-114</v>
      </c>
      <c r="W13" s="144">
        <f>IFERROR(__xludf.DUMMYFUNCTION("""COMPUTED_VALUE"""),45577.0)</f>
        <v>45577</v>
      </c>
      <c r="X13" s="144">
        <f>IFERROR(__xludf.DUMMYFUNCTION("""COMPUTED_VALUE"""),45584.0)</f>
        <v>45584</v>
      </c>
      <c r="Y13" s="144">
        <f>IFERROR(__xludf.DUMMYFUNCTION("""COMPUTED_VALUE"""),45605.0)</f>
        <v>45605</v>
      </c>
      <c r="Z13" s="131" t="str">
        <f>IFERROR(__xludf.DUMMYFUNCTION("""COMPUTED_VALUE"""),"D36-2L")</f>
        <v>D36-2L</v>
      </c>
      <c r="AA13" s="131"/>
      <c r="AB13" s="131"/>
      <c r="AC13" s="131"/>
      <c r="AD13" s="131"/>
      <c r="AE13" s="131">
        <f>IFERROR(__xludf.DUMMYFUNCTION("""COMPUTED_VALUE"""),2.0)</f>
        <v>2</v>
      </c>
      <c r="AF13" s="131">
        <f>IFERROR(__xludf.DUMMYFUNCTION("""COMPUTED_VALUE"""),24.0)</f>
        <v>24</v>
      </c>
      <c r="AG13" s="131">
        <f>IFERROR(__xludf.DUMMYFUNCTION("""COMPUTED_VALUE"""),12.0)</f>
        <v>12</v>
      </c>
      <c r="AH13" s="131">
        <f>IFERROR(__xludf.DUMMYFUNCTION("""COMPUTED_VALUE"""),12.0)</f>
        <v>12</v>
      </c>
      <c r="AI13" s="131"/>
      <c r="AJ13" s="131"/>
      <c r="AK13" s="131"/>
    </row>
    <row r="14">
      <c r="A14" s="145" t="str">
        <f>IFERROR(__xludf.DUMMYFUNCTION("""COMPUTED_VALUE"""),"Y")</f>
        <v>Y</v>
      </c>
      <c r="B14" s="146" t="str">
        <f>IFERROR(__xludf.DUMMYFUNCTION("""COMPUTED_VALUE"""),"2")</f>
        <v>2</v>
      </c>
      <c r="C14" s="146" t="str">
        <f>IFERROR(__xludf.DUMMYFUNCTION("""COMPUTED_VALUE"""),"109-114")</f>
        <v>109-114</v>
      </c>
      <c r="D14" s="147">
        <f>IFERROR(__xludf.DUMMYFUNCTION("""COMPUTED_VALUE"""),45577.0)</f>
        <v>45577</v>
      </c>
      <c r="E14" s="147">
        <f>IFERROR(__xludf.DUMMYFUNCTION("""COMPUTED_VALUE"""),45584.0)</f>
        <v>45584</v>
      </c>
      <c r="F14" s="147">
        <f>IFERROR(__xludf.DUMMYFUNCTION("""COMPUTED_VALUE"""),45605.0)</f>
        <v>45605</v>
      </c>
      <c r="G14" s="146" t="str">
        <f>IFERROR(__xludf.DUMMYFUNCTION("""COMPUTED_VALUE"""),"D36-2L")</f>
        <v>D36-2L</v>
      </c>
      <c r="H14" s="148"/>
      <c r="I14" s="148"/>
      <c r="J14" s="146"/>
      <c r="K14" s="146"/>
      <c r="L14" s="146">
        <f>IFERROR(__xludf.DUMMYFUNCTION("""COMPUTED_VALUE"""),2.0)</f>
        <v>2</v>
      </c>
      <c r="M14" s="146">
        <f>IFERROR(__xludf.DUMMYFUNCTION("""COMPUTED_VALUE"""),24.0)</f>
        <v>24</v>
      </c>
      <c r="N14" s="146">
        <f>IFERROR(__xludf.DUMMYFUNCTION("""COMPUTED_VALUE"""),12.0)</f>
        <v>12</v>
      </c>
      <c r="O14" s="146">
        <f>IFERROR(__xludf.DUMMYFUNCTION("""COMPUTED_VALUE"""),12.0)</f>
        <v>12</v>
      </c>
      <c r="P14" s="146"/>
      <c r="Q14" s="146"/>
      <c r="R14" s="146"/>
      <c r="T14" s="131" t="str">
        <f>IFERROR(__xludf.DUMMYFUNCTION("""COMPUTED_VALUE"""),"Y")</f>
        <v>Y</v>
      </c>
      <c r="U14" s="131" t="str">
        <f>IFERROR(__xludf.DUMMYFUNCTION("""COMPUTED_VALUE"""),"2")</f>
        <v>2</v>
      </c>
      <c r="V14" s="131" t="str">
        <f>IFERROR(__xludf.DUMMYFUNCTION("""COMPUTED_VALUE"""),"115-120")</f>
        <v>115-120</v>
      </c>
      <c r="W14" s="144">
        <f>IFERROR(__xludf.DUMMYFUNCTION("""COMPUTED_VALUE"""),45578.0)</f>
        <v>45578</v>
      </c>
      <c r="X14" s="144">
        <f>IFERROR(__xludf.DUMMYFUNCTION("""COMPUTED_VALUE"""),45585.0)</f>
        <v>45585</v>
      </c>
      <c r="Y14" s="144">
        <f>IFERROR(__xludf.DUMMYFUNCTION("""COMPUTED_VALUE"""),45606.0)</f>
        <v>45606</v>
      </c>
      <c r="Z14" s="131" t="str">
        <f>IFERROR(__xludf.DUMMYFUNCTION("""COMPUTED_VALUE"""),"D36-2L")</f>
        <v>D36-2L</v>
      </c>
      <c r="AA14" s="131">
        <f>IFERROR(__xludf.DUMMYFUNCTION("""COMPUTED_VALUE"""),163.0)</f>
        <v>163</v>
      </c>
      <c r="AB14" s="131">
        <f>IFERROR(__xludf.DUMMYFUNCTION("""COMPUTED_VALUE"""),347.0)</f>
        <v>347</v>
      </c>
      <c r="AC14" s="131">
        <f>IFERROR(__xludf.DUMMYFUNCTION("""COMPUTED_VALUE"""),93.0)</f>
        <v>93</v>
      </c>
      <c r="AD14" s="131">
        <f>IFERROR(__xludf.DUMMYFUNCTION("""COMPUTED_VALUE"""),93.0)</f>
        <v>93</v>
      </c>
      <c r="AE14" s="131"/>
      <c r="AF14" s="131"/>
      <c r="AG14" s="131"/>
      <c r="AH14" s="131"/>
      <c r="AI14" s="131"/>
      <c r="AJ14" s="131"/>
      <c r="AK14" s="131"/>
    </row>
    <row r="15">
      <c r="A15" s="145" t="str">
        <f>IFERROR(__xludf.DUMMYFUNCTION("""COMPUTED_VALUE"""),"Y")</f>
        <v>Y</v>
      </c>
      <c r="B15" s="146" t="str">
        <f>IFERROR(__xludf.DUMMYFUNCTION("""COMPUTED_VALUE"""),"2")</f>
        <v>2</v>
      </c>
      <c r="C15" s="146" t="str">
        <f>IFERROR(__xludf.DUMMYFUNCTION("""COMPUTED_VALUE"""),"115-120")</f>
        <v>115-120</v>
      </c>
      <c r="D15" s="147">
        <f>IFERROR(__xludf.DUMMYFUNCTION("""COMPUTED_VALUE"""),45578.0)</f>
        <v>45578</v>
      </c>
      <c r="E15" s="147">
        <f>IFERROR(__xludf.DUMMYFUNCTION("""COMPUTED_VALUE"""),45585.0)</f>
        <v>45585</v>
      </c>
      <c r="F15" s="147">
        <f>IFERROR(__xludf.DUMMYFUNCTION("""COMPUTED_VALUE"""),45606.0)</f>
        <v>45606</v>
      </c>
      <c r="G15" s="146" t="str">
        <f>IFERROR(__xludf.DUMMYFUNCTION("""COMPUTED_VALUE"""),"D36-2L")</f>
        <v>D36-2L</v>
      </c>
      <c r="H15" s="148">
        <f>IFERROR(__xludf.DUMMYFUNCTION("""COMPUTED_VALUE"""),163.0)</f>
        <v>163</v>
      </c>
      <c r="I15" s="148">
        <f>IFERROR(__xludf.DUMMYFUNCTION("""COMPUTED_VALUE"""),347.0)</f>
        <v>347</v>
      </c>
      <c r="J15" s="146">
        <f>IFERROR(__xludf.DUMMYFUNCTION("""COMPUTED_VALUE"""),93.0)</f>
        <v>93</v>
      </c>
      <c r="K15" s="146">
        <f>IFERROR(__xludf.DUMMYFUNCTION("""COMPUTED_VALUE"""),93.0)</f>
        <v>93</v>
      </c>
      <c r="L15" s="146"/>
      <c r="M15" s="146"/>
      <c r="N15" s="146"/>
      <c r="O15" s="146"/>
      <c r="P15" s="146"/>
      <c r="Q15" s="146"/>
      <c r="R15" s="146"/>
      <c r="T15" s="131" t="str">
        <f>IFERROR(__xludf.DUMMYFUNCTION("""COMPUTED_VALUE"""),"Y")</f>
        <v>Y</v>
      </c>
      <c r="U15" s="131" t="str">
        <f>IFERROR(__xludf.DUMMYFUNCTION("""COMPUTED_VALUE"""),"2")</f>
        <v>2</v>
      </c>
      <c r="V15" s="131" t="str">
        <f>IFERROR(__xludf.DUMMYFUNCTION("""COMPUTED_VALUE"""),"127-132")</f>
        <v>127-132</v>
      </c>
      <c r="W15" s="144">
        <f>IFERROR(__xludf.DUMMYFUNCTION("""COMPUTED_VALUE"""),45579.0)</f>
        <v>45579</v>
      </c>
      <c r="X15" s="144">
        <f>IFERROR(__xludf.DUMMYFUNCTION("""COMPUTED_VALUE"""),45586.0)</f>
        <v>45586</v>
      </c>
      <c r="Y15" s="144">
        <f>IFERROR(__xludf.DUMMYFUNCTION("""COMPUTED_VALUE"""),45607.0)</f>
        <v>45607</v>
      </c>
      <c r="Z15" s="131" t="str">
        <f>IFERROR(__xludf.DUMMYFUNCTION("""COMPUTED_VALUE"""),"D34-1L")</f>
        <v>D34-1L</v>
      </c>
      <c r="AA15" s="131">
        <f>IFERROR(__xludf.DUMMYFUNCTION("""COMPUTED_VALUE"""),31.0)</f>
        <v>31</v>
      </c>
      <c r="AB15" s="131">
        <f>IFERROR(__xludf.DUMMYFUNCTION("""COMPUTED_VALUE"""),183.0)</f>
        <v>183</v>
      </c>
      <c r="AC15" s="131">
        <f>IFERROR(__xludf.DUMMYFUNCTION("""COMPUTED_VALUE"""),77.0)</f>
        <v>77</v>
      </c>
      <c r="AD15" s="131">
        <f>IFERROR(__xludf.DUMMYFUNCTION("""COMPUTED_VALUE"""),77.0)</f>
        <v>77</v>
      </c>
      <c r="AE15" s="131"/>
      <c r="AF15" s="131"/>
      <c r="AG15" s="131"/>
      <c r="AH15" s="131"/>
      <c r="AI15" s="131"/>
      <c r="AJ15" s="131"/>
      <c r="AK15" s="131"/>
    </row>
    <row r="16">
      <c r="A16" s="145" t="str">
        <f>IFERROR(__xludf.DUMMYFUNCTION("""COMPUTED_VALUE"""),"Y")</f>
        <v>Y</v>
      </c>
      <c r="B16" s="146" t="str">
        <f>IFERROR(__xludf.DUMMYFUNCTION("""COMPUTED_VALUE"""),"2")</f>
        <v>2</v>
      </c>
      <c r="C16" s="146" t="str">
        <f>IFERROR(__xludf.DUMMYFUNCTION("""COMPUTED_VALUE"""),"127-132")</f>
        <v>127-132</v>
      </c>
      <c r="D16" s="147">
        <f>IFERROR(__xludf.DUMMYFUNCTION("""COMPUTED_VALUE"""),45579.0)</f>
        <v>45579</v>
      </c>
      <c r="E16" s="147">
        <f>IFERROR(__xludf.DUMMYFUNCTION("""COMPUTED_VALUE"""),45586.0)</f>
        <v>45586</v>
      </c>
      <c r="F16" s="147">
        <f>IFERROR(__xludf.DUMMYFUNCTION("""COMPUTED_VALUE"""),45607.0)</f>
        <v>45607</v>
      </c>
      <c r="G16" s="146" t="str">
        <f>IFERROR(__xludf.DUMMYFUNCTION("""COMPUTED_VALUE"""),"D34-1L")</f>
        <v>D34-1L</v>
      </c>
      <c r="H16" s="148">
        <f>IFERROR(__xludf.DUMMYFUNCTION("""COMPUTED_VALUE"""),31.0)</f>
        <v>31</v>
      </c>
      <c r="I16" s="148">
        <f>IFERROR(__xludf.DUMMYFUNCTION("""COMPUTED_VALUE"""),183.0)</f>
        <v>183</v>
      </c>
      <c r="J16" s="146">
        <f>IFERROR(__xludf.DUMMYFUNCTION("""COMPUTED_VALUE"""),77.0)</f>
        <v>77</v>
      </c>
      <c r="K16" s="146">
        <f>IFERROR(__xludf.DUMMYFUNCTION("""COMPUTED_VALUE"""),77.0)</f>
        <v>77</v>
      </c>
      <c r="L16" s="146"/>
      <c r="M16" s="146"/>
      <c r="N16" s="146"/>
      <c r="O16" s="146"/>
      <c r="P16" s="146"/>
      <c r="Q16" s="146"/>
      <c r="R16" s="146"/>
      <c r="T16" s="131" t="str">
        <f>IFERROR(__xludf.DUMMYFUNCTION("""COMPUTED_VALUE"""),"Y")</f>
        <v>Y</v>
      </c>
      <c r="U16" s="131" t="str">
        <f>IFERROR(__xludf.DUMMYFUNCTION("""COMPUTED_VALUE"""),"2")</f>
        <v>2</v>
      </c>
      <c r="V16" s="131" t="str">
        <f>IFERROR(__xludf.DUMMYFUNCTION("""COMPUTED_VALUE"""),"133-138")</f>
        <v>133-138</v>
      </c>
      <c r="W16" s="144">
        <f>IFERROR(__xludf.DUMMYFUNCTION("""COMPUTED_VALUE"""),45579.0)</f>
        <v>45579</v>
      </c>
      <c r="X16" s="144">
        <f>IFERROR(__xludf.DUMMYFUNCTION("""COMPUTED_VALUE"""),45586.0)</f>
        <v>45586</v>
      </c>
      <c r="Y16" s="144">
        <f>IFERROR(__xludf.DUMMYFUNCTION("""COMPUTED_VALUE"""),45607.0)</f>
        <v>45607</v>
      </c>
      <c r="Z16" s="131" t="str">
        <f>IFERROR(__xludf.DUMMYFUNCTION("""COMPUTED_VALUE"""),"D36-2L")</f>
        <v>D36-2L</v>
      </c>
      <c r="AA16" s="131"/>
      <c r="AB16" s="131"/>
      <c r="AC16" s="131"/>
      <c r="AD16" s="131"/>
      <c r="AE16" s="131">
        <f>IFERROR(__xludf.DUMMYFUNCTION("""COMPUTED_VALUE"""),26.0)</f>
        <v>26</v>
      </c>
      <c r="AF16" s="131">
        <f>IFERROR(__xludf.DUMMYFUNCTION("""COMPUTED_VALUE"""),220.0)</f>
        <v>220</v>
      </c>
      <c r="AG16" s="131">
        <f>IFERROR(__xludf.DUMMYFUNCTION("""COMPUTED_VALUE"""),98.0)</f>
        <v>98</v>
      </c>
      <c r="AH16" s="131">
        <f>IFERROR(__xludf.DUMMYFUNCTION("""COMPUTED_VALUE"""),98.0)</f>
        <v>98</v>
      </c>
      <c r="AI16" s="131"/>
      <c r="AJ16" s="131"/>
      <c r="AK16" s="131"/>
    </row>
    <row r="17">
      <c r="A17" s="145" t="str">
        <f>IFERROR(__xludf.DUMMYFUNCTION("""COMPUTED_VALUE"""),"Y")</f>
        <v>Y</v>
      </c>
      <c r="B17" s="146" t="str">
        <f>IFERROR(__xludf.DUMMYFUNCTION("""COMPUTED_VALUE"""),"2")</f>
        <v>2</v>
      </c>
      <c r="C17" s="146" t="str">
        <f>IFERROR(__xludf.DUMMYFUNCTION("""COMPUTED_VALUE"""),"133-138")</f>
        <v>133-138</v>
      </c>
      <c r="D17" s="147">
        <f>IFERROR(__xludf.DUMMYFUNCTION("""COMPUTED_VALUE"""),45579.0)</f>
        <v>45579</v>
      </c>
      <c r="E17" s="147">
        <f>IFERROR(__xludf.DUMMYFUNCTION("""COMPUTED_VALUE"""),45586.0)</f>
        <v>45586</v>
      </c>
      <c r="F17" s="147">
        <f>IFERROR(__xludf.DUMMYFUNCTION("""COMPUTED_VALUE"""),45607.0)</f>
        <v>45607</v>
      </c>
      <c r="G17" s="146" t="str">
        <f>IFERROR(__xludf.DUMMYFUNCTION("""COMPUTED_VALUE"""),"D36-2L")</f>
        <v>D36-2L</v>
      </c>
      <c r="H17" s="148"/>
      <c r="I17" s="148"/>
      <c r="J17" s="146"/>
      <c r="K17" s="146"/>
      <c r="L17" s="146">
        <f>IFERROR(__xludf.DUMMYFUNCTION("""COMPUTED_VALUE"""),26.0)</f>
        <v>26</v>
      </c>
      <c r="M17" s="146">
        <f>IFERROR(__xludf.DUMMYFUNCTION("""COMPUTED_VALUE"""),220.0)</f>
        <v>220</v>
      </c>
      <c r="N17" s="146">
        <f>IFERROR(__xludf.DUMMYFUNCTION("""COMPUTED_VALUE"""),98.0)</f>
        <v>98</v>
      </c>
      <c r="O17" s="146">
        <f>IFERROR(__xludf.DUMMYFUNCTION("""COMPUTED_VALUE"""),98.0)</f>
        <v>98</v>
      </c>
      <c r="P17" s="146"/>
      <c r="Q17" s="146"/>
      <c r="R17" s="146"/>
      <c r="T17" s="131" t="str">
        <f>IFERROR(__xludf.DUMMYFUNCTION("""COMPUTED_VALUE"""),"Y")</f>
        <v>Y</v>
      </c>
      <c r="U17" s="131" t="str">
        <f>IFERROR(__xludf.DUMMYFUNCTION("""COMPUTED_VALUE"""),"2")</f>
        <v>2</v>
      </c>
      <c r="V17" s="131" t="str">
        <f>IFERROR(__xludf.DUMMYFUNCTION("""COMPUTED_VALUE"""),"151-156")</f>
        <v>151-156</v>
      </c>
      <c r="W17" s="144">
        <f>IFERROR(__xludf.DUMMYFUNCTION("""COMPUTED_VALUE"""),45580.0)</f>
        <v>45580</v>
      </c>
      <c r="X17" s="144">
        <f>IFERROR(__xludf.DUMMYFUNCTION("""COMPUTED_VALUE"""),45587.0)</f>
        <v>45587</v>
      </c>
      <c r="Y17" s="144">
        <f>IFERROR(__xludf.DUMMYFUNCTION("""COMPUTED_VALUE"""),45608.0)</f>
        <v>45608</v>
      </c>
      <c r="Z17" s="131" t="str">
        <f>IFERROR(__xludf.DUMMYFUNCTION("""COMPUTED_VALUE"""),"D34-1L")</f>
        <v>D34-1L</v>
      </c>
      <c r="AA17" s="131">
        <f>IFERROR(__xludf.DUMMYFUNCTION("""COMPUTED_VALUE"""),185.0)</f>
        <v>185</v>
      </c>
      <c r="AB17" s="131">
        <f>IFERROR(__xludf.DUMMYFUNCTION("""COMPUTED_VALUE"""),299.0)</f>
        <v>299</v>
      </c>
      <c r="AC17" s="131">
        <f>IFERROR(__xludf.DUMMYFUNCTION("""COMPUTED_VALUE"""),58.0)</f>
        <v>58</v>
      </c>
      <c r="AD17" s="131">
        <f>IFERROR(__xludf.DUMMYFUNCTION("""COMPUTED_VALUE"""),58.0)</f>
        <v>58</v>
      </c>
      <c r="AE17" s="131"/>
      <c r="AF17" s="131"/>
      <c r="AG17" s="131"/>
      <c r="AH17" s="131"/>
      <c r="AI17" s="131"/>
      <c r="AJ17" s="131"/>
      <c r="AK17" s="131"/>
    </row>
    <row r="18">
      <c r="A18" s="145" t="str">
        <f>IFERROR(__xludf.DUMMYFUNCTION("""COMPUTED_VALUE"""),"Y")</f>
        <v>Y</v>
      </c>
      <c r="B18" s="146" t="str">
        <f>IFERROR(__xludf.DUMMYFUNCTION("""COMPUTED_VALUE"""),"2")</f>
        <v>2</v>
      </c>
      <c r="C18" s="146" t="str">
        <f>IFERROR(__xludf.DUMMYFUNCTION("""COMPUTED_VALUE"""),"151-156")</f>
        <v>151-156</v>
      </c>
      <c r="D18" s="147">
        <f>IFERROR(__xludf.DUMMYFUNCTION("""COMPUTED_VALUE"""),45580.0)</f>
        <v>45580</v>
      </c>
      <c r="E18" s="147">
        <f>IFERROR(__xludf.DUMMYFUNCTION("""COMPUTED_VALUE"""),45587.0)</f>
        <v>45587</v>
      </c>
      <c r="F18" s="147">
        <f>IFERROR(__xludf.DUMMYFUNCTION("""COMPUTED_VALUE"""),45608.0)</f>
        <v>45608</v>
      </c>
      <c r="G18" s="146" t="str">
        <f>IFERROR(__xludf.DUMMYFUNCTION("""COMPUTED_VALUE"""),"D34-1L")</f>
        <v>D34-1L</v>
      </c>
      <c r="H18" s="148">
        <f>IFERROR(__xludf.DUMMYFUNCTION("""COMPUTED_VALUE"""),185.0)</f>
        <v>185</v>
      </c>
      <c r="I18" s="148">
        <f>IFERROR(__xludf.DUMMYFUNCTION("""COMPUTED_VALUE"""),299.0)</f>
        <v>299</v>
      </c>
      <c r="J18" s="146">
        <f>IFERROR(__xludf.DUMMYFUNCTION("""COMPUTED_VALUE"""),58.0)</f>
        <v>58</v>
      </c>
      <c r="K18" s="146">
        <f>IFERROR(__xludf.DUMMYFUNCTION("""COMPUTED_VALUE"""),58.0)</f>
        <v>58</v>
      </c>
      <c r="L18" s="146"/>
      <c r="M18" s="146"/>
      <c r="N18" s="146"/>
      <c r="O18" s="146"/>
      <c r="P18" s="146"/>
      <c r="Q18" s="146"/>
      <c r="R18" s="146"/>
      <c r="T18" s="131" t="str">
        <f>IFERROR(__xludf.DUMMYFUNCTION("""COMPUTED_VALUE"""),"Y")</f>
        <v>Y</v>
      </c>
      <c r="U18" s="131" t="str">
        <f>IFERROR(__xludf.DUMMYFUNCTION("""COMPUTED_VALUE"""),"2")</f>
        <v>2</v>
      </c>
      <c r="V18" s="131" t="str">
        <f>IFERROR(__xludf.DUMMYFUNCTION("""COMPUTED_VALUE"""),"151-156")</f>
        <v>151-156</v>
      </c>
      <c r="W18" s="144">
        <f>IFERROR(__xludf.DUMMYFUNCTION("""COMPUTED_VALUE"""),45580.0)</f>
        <v>45580</v>
      </c>
      <c r="X18" s="144">
        <f>IFERROR(__xludf.DUMMYFUNCTION("""COMPUTED_VALUE"""),45587.0)</f>
        <v>45587</v>
      </c>
      <c r="Y18" s="144">
        <f>IFERROR(__xludf.DUMMYFUNCTION("""COMPUTED_VALUE"""),45608.0)</f>
        <v>45608</v>
      </c>
      <c r="Z18" s="131" t="str">
        <f>IFERROR(__xludf.DUMMYFUNCTION("""COMPUTED_VALUE"""),"D34-1L")</f>
        <v>D34-1L</v>
      </c>
      <c r="AA18" s="131"/>
      <c r="AB18" s="131"/>
      <c r="AC18" s="131"/>
      <c r="AD18" s="131"/>
      <c r="AE18" s="131">
        <f>IFERROR(__xludf.DUMMYFUNCTION("""COMPUTED_VALUE"""),4.0)</f>
        <v>4</v>
      </c>
      <c r="AF18" s="131">
        <f>IFERROR(__xludf.DUMMYFUNCTION("""COMPUTED_VALUE"""),8.0)</f>
        <v>8</v>
      </c>
      <c r="AG18" s="131">
        <f>IFERROR(__xludf.DUMMYFUNCTION("""COMPUTED_VALUE"""),3.0)</f>
        <v>3</v>
      </c>
      <c r="AH18" s="131">
        <f>IFERROR(__xludf.DUMMYFUNCTION("""COMPUTED_VALUE"""),3.0)</f>
        <v>3</v>
      </c>
      <c r="AI18" s="131"/>
      <c r="AJ18" s="131"/>
      <c r="AK18" s="131"/>
    </row>
    <row r="19">
      <c r="A19" s="145" t="str">
        <f>IFERROR(__xludf.DUMMYFUNCTION("""COMPUTED_VALUE"""),"Y")</f>
        <v>Y</v>
      </c>
      <c r="B19" s="146" t="str">
        <f>IFERROR(__xludf.DUMMYFUNCTION("""COMPUTED_VALUE"""),"2")</f>
        <v>2</v>
      </c>
      <c r="C19" s="146" t="str">
        <f>IFERROR(__xludf.DUMMYFUNCTION("""COMPUTED_VALUE"""),"151-156")</f>
        <v>151-156</v>
      </c>
      <c r="D19" s="147">
        <f>IFERROR(__xludf.DUMMYFUNCTION("""COMPUTED_VALUE"""),45580.0)</f>
        <v>45580</v>
      </c>
      <c r="E19" s="147">
        <f>IFERROR(__xludf.DUMMYFUNCTION("""COMPUTED_VALUE"""),45587.0)</f>
        <v>45587</v>
      </c>
      <c r="F19" s="147">
        <f>IFERROR(__xludf.DUMMYFUNCTION("""COMPUTED_VALUE"""),45608.0)</f>
        <v>45608</v>
      </c>
      <c r="G19" s="146" t="str">
        <f>IFERROR(__xludf.DUMMYFUNCTION("""COMPUTED_VALUE"""),"D34-1L")</f>
        <v>D34-1L</v>
      </c>
      <c r="H19" s="148"/>
      <c r="I19" s="148"/>
      <c r="J19" s="146"/>
      <c r="K19" s="146"/>
      <c r="L19" s="146">
        <f>IFERROR(__xludf.DUMMYFUNCTION("""COMPUTED_VALUE"""),4.0)</f>
        <v>4</v>
      </c>
      <c r="M19" s="146">
        <f>IFERROR(__xludf.DUMMYFUNCTION("""COMPUTED_VALUE"""),8.0)</f>
        <v>8</v>
      </c>
      <c r="N19" s="146">
        <f>IFERROR(__xludf.DUMMYFUNCTION("""COMPUTED_VALUE"""),3.0)</f>
        <v>3</v>
      </c>
      <c r="O19" s="146">
        <f>IFERROR(__xludf.DUMMYFUNCTION("""COMPUTED_VALUE"""),3.0)</f>
        <v>3</v>
      </c>
      <c r="P19" s="146"/>
      <c r="Q19" s="146"/>
      <c r="R19" s="146"/>
      <c r="T19" s="131" t="str">
        <f>IFERROR(__xludf.DUMMYFUNCTION("""COMPUTED_VALUE"""),"Y")</f>
        <v>Y</v>
      </c>
      <c r="U19" s="131" t="str">
        <f>IFERROR(__xludf.DUMMYFUNCTION("""COMPUTED_VALUE"""),"2")</f>
        <v>2</v>
      </c>
      <c r="V19" s="131" t="str">
        <f>IFERROR(__xludf.DUMMYFUNCTION("""COMPUTED_VALUE"""),"157-162")</f>
        <v>157-162</v>
      </c>
      <c r="W19" s="144">
        <f>IFERROR(__xludf.DUMMYFUNCTION("""COMPUTED_VALUE"""),45580.0)</f>
        <v>45580</v>
      </c>
      <c r="X19" s="144">
        <f>IFERROR(__xludf.DUMMYFUNCTION("""COMPUTED_VALUE"""),45587.0)</f>
        <v>45587</v>
      </c>
      <c r="Y19" s="144">
        <f>IFERROR(__xludf.DUMMYFUNCTION("""COMPUTED_VALUE"""),45608.0)</f>
        <v>45608</v>
      </c>
      <c r="Z19" s="131" t="str">
        <f>IFERROR(__xludf.DUMMYFUNCTION("""COMPUTED_VALUE"""),"D36-2L")</f>
        <v>D36-2L</v>
      </c>
      <c r="AA19" s="131"/>
      <c r="AB19" s="131"/>
      <c r="AC19" s="131"/>
      <c r="AD19" s="131"/>
      <c r="AE19" s="131">
        <f>IFERROR(__xludf.DUMMYFUNCTION("""COMPUTED_VALUE"""),220.0)</f>
        <v>220</v>
      </c>
      <c r="AF19" s="131">
        <f>IFERROR(__xludf.DUMMYFUNCTION("""COMPUTED_VALUE"""),248.0)</f>
        <v>248</v>
      </c>
      <c r="AG19" s="131">
        <f>IFERROR(__xludf.DUMMYFUNCTION("""COMPUTED_VALUE"""),15.0)</f>
        <v>15</v>
      </c>
      <c r="AH19" s="131">
        <f>IFERROR(__xludf.DUMMYFUNCTION("""COMPUTED_VALUE"""),15.0)</f>
        <v>15</v>
      </c>
      <c r="AI19" s="131"/>
      <c r="AJ19" s="131"/>
      <c r="AK19" s="131"/>
    </row>
    <row r="20">
      <c r="A20" s="145" t="str">
        <f>IFERROR(__xludf.DUMMYFUNCTION("""COMPUTED_VALUE"""),"Y")</f>
        <v>Y</v>
      </c>
      <c r="B20" s="146" t="str">
        <f>IFERROR(__xludf.DUMMYFUNCTION("""COMPUTED_VALUE"""),"2")</f>
        <v>2</v>
      </c>
      <c r="C20" s="146" t="str">
        <f>IFERROR(__xludf.DUMMYFUNCTION("""COMPUTED_VALUE"""),"157-162")</f>
        <v>157-162</v>
      </c>
      <c r="D20" s="147">
        <f>IFERROR(__xludf.DUMMYFUNCTION("""COMPUTED_VALUE"""),45580.0)</f>
        <v>45580</v>
      </c>
      <c r="E20" s="147">
        <f>IFERROR(__xludf.DUMMYFUNCTION("""COMPUTED_VALUE"""),45587.0)</f>
        <v>45587</v>
      </c>
      <c r="F20" s="147">
        <f>IFERROR(__xludf.DUMMYFUNCTION("""COMPUTED_VALUE"""),45608.0)</f>
        <v>45608</v>
      </c>
      <c r="G20" s="146" t="str">
        <f>IFERROR(__xludf.DUMMYFUNCTION("""COMPUTED_VALUE"""),"D36-2L")</f>
        <v>D36-2L</v>
      </c>
      <c r="H20" s="148"/>
      <c r="I20" s="148"/>
      <c r="J20" s="146"/>
      <c r="K20" s="146"/>
      <c r="L20" s="146">
        <f>IFERROR(__xludf.DUMMYFUNCTION("""COMPUTED_VALUE"""),220.0)</f>
        <v>220</v>
      </c>
      <c r="M20" s="146">
        <f>IFERROR(__xludf.DUMMYFUNCTION("""COMPUTED_VALUE"""),248.0)</f>
        <v>248</v>
      </c>
      <c r="N20" s="146">
        <f>IFERROR(__xludf.DUMMYFUNCTION("""COMPUTED_VALUE"""),15.0)</f>
        <v>15</v>
      </c>
      <c r="O20" s="146">
        <f>IFERROR(__xludf.DUMMYFUNCTION("""COMPUTED_VALUE"""),15.0)</f>
        <v>15</v>
      </c>
      <c r="P20" s="146"/>
      <c r="Q20" s="146"/>
      <c r="R20" s="146"/>
      <c r="T20" s="131" t="str">
        <f>IFERROR(__xludf.DUMMYFUNCTION("""COMPUTED_VALUE"""),"Y")</f>
        <v>Y</v>
      </c>
      <c r="U20" s="131" t="str">
        <f>IFERROR(__xludf.DUMMYFUNCTION("""COMPUTED_VALUE"""),"2")</f>
        <v>2</v>
      </c>
      <c r="V20" s="131" t="str">
        <f>IFERROR(__xludf.DUMMYFUNCTION("""COMPUTED_VALUE"""),"169-174")</f>
        <v>169-174</v>
      </c>
      <c r="W20" s="144">
        <f>IFERROR(__xludf.DUMMYFUNCTION("""COMPUTED_VALUE"""),45581.0)</f>
        <v>45581</v>
      </c>
      <c r="X20" s="144">
        <f>IFERROR(__xludf.DUMMYFUNCTION("""COMPUTED_VALUE"""),45588.0)</f>
        <v>45588</v>
      </c>
      <c r="Y20" s="144">
        <f>IFERROR(__xludf.DUMMYFUNCTION("""COMPUTED_VALUE"""),45609.0)</f>
        <v>45609</v>
      </c>
      <c r="Z20" s="131" t="str">
        <f>IFERROR(__xludf.DUMMYFUNCTION("""COMPUTED_VALUE"""),"D34-1L")</f>
        <v>D34-1L</v>
      </c>
      <c r="AA20" s="131"/>
      <c r="AB20" s="131"/>
      <c r="AC20" s="131"/>
      <c r="AD20" s="131"/>
      <c r="AE20" s="131">
        <f>IFERROR(__xludf.DUMMYFUNCTION("""COMPUTED_VALUE"""),10.0)</f>
        <v>10</v>
      </c>
      <c r="AF20" s="131">
        <f>IFERROR(__xludf.DUMMYFUNCTION("""COMPUTED_VALUE"""),180.0)</f>
        <v>180</v>
      </c>
      <c r="AG20" s="131">
        <f>IFERROR(__xludf.DUMMYFUNCTION("""COMPUTED_VALUE"""),86.0)</f>
        <v>86</v>
      </c>
      <c r="AH20" s="131">
        <f>IFERROR(__xludf.DUMMYFUNCTION("""COMPUTED_VALUE"""),86.0)</f>
        <v>86</v>
      </c>
      <c r="AI20" s="131"/>
      <c r="AJ20" s="131"/>
      <c r="AK20" s="131"/>
    </row>
    <row r="21">
      <c r="A21" s="145" t="str">
        <f>IFERROR(__xludf.DUMMYFUNCTION("""COMPUTED_VALUE"""),"Y")</f>
        <v>Y</v>
      </c>
      <c r="B21" s="146" t="str">
        <f>IFERROR(__xludf.DUMMYFUNCTION("""COMPUTED_VALUE"""),"2")</f>
        <v>2</v>
      </c>
      <c r="C21" s="146" t="str">
        <f>IFERROR(__xludf.DUMMYFUNCTION("""COMPUTED_VALUE"""),"169-174")</f>
        <v>169-174</v>
      </c>
      <c r="D21" s="147">
        <f>IFERROR(__xludf.DUMMYFUNCTION("""COMPUTED_VALUE"""),45581.0)</f>
        <v>45581</v>
      </c>
      <c r="E21" s="147">
        <f>IFERROR(__xludf.DUMMYFUNCTION("""COMPUTED_VALUE"""),45588.0)</f>
        <v>45588</v>
      </c>
      <c r="F21" s="147">
        <f>IFERROR(__xludf.DUMMYFUNCTION("""COMPUTED_VALUE"""),45609.0)</f>
        <v>45609</v>
      </c>
      <c r="G21" s="146" t="str">
        <f>IFERROR(__xludf.DUMMYFUNCTION("""COMPUTED_VALUE"""),"D34-1L")</f>
        <v>D34-1L</v>
      </c>
      <c r="H21" s="148"/>
      <c r="I21" s="148"/>
      <c r="J21" s="146"/>
      <c r="K21" s="146"/>
      <c r="L21" s="146">
        <f>IFERROR(__xludf.DUMMYFUNCTION("""COMPUTED_VALUE"""),10.0)</f>
        <v>10</v>
      </c>
      <c r="M21" s="146">
        <f>IFERROR(__xludf.DUMMYFUNCTION("""COMPUTED_VALUE"""),180.0)</f>
        <v>180</v>
      </c>
      <c r="N21" s="146">
        <f>IFERROR(__xludf.DUMMYFUNCTION("""COMPUTED_VALUE"""),86.0)</f>
        <v>86</v>
      </c>
      <c r="O21" s="146">
        <f>IFERROR(__xludf.DUMMYFUNCTION("""COMPUTED_VALUE"""),86.0)</f>
        <v>86</v>
      </c>
      <c r="P21" s="146"/>
      <c r="Q21" s="146"/>
      <c r="R21" s="146"/>
      <c r="T21" s="131" t="str">
        <f>IFERROR(__xludf.DUMMYFUNCTION("""COMPUTED_VALUE"""),"Y")</f>
        <v>Y</v>
      </c>
      <c r="U21" s="131" t="str">
        <f>IFERROR(__xludf.DUMMYFUNCTION("""COMPUTED_VALUE"""),"2")</f>
        <v>2</v>
      </c>
      <c r="V21" s="131" t="str">
        <f>IFERROR(__xludf.DUMMYFUNCTION("""COMPUTED_VALUE"""),"187-192")</f>
        <v>187-192</v>
      </c>
      <c r="W21" s="144">
        <f>IFERROR(__xludf.DUMMYFUNCTION("""COMPUTED_VALUE"""),45582.0)</f>
        <v>45582</v>
      </c>
      <c r="X21" s="144">
        <f>IFERROR(__xludf.DUMMYFUNCTION("""COMPUTED_VALUE"""),45589.0)</f>
        <v>45589</v>
      </c>
      <c r="Y21" s="144">
        <f>IFERROR(__xludf.DUMMYFUNCTION("""COMPUTED_VALUE"""),45610.0)</f>
        <v>45610</v>
      </c>
      <c r="Z21" s="131" t="str">
        <f>IFERROR(__xludf.DUMMYFUNCTION("""COMPUTED_VALUE"""),"D34-2L")</f>
        <v>D34-2L</v>
      </c>
      <c r="AA21" s="131">
        <f>IFERROR(__xludf.DUMMYFUNCTION("""COMPUTED_VALUE"""),1.0)</f>
        <v>1</v>
      </c>
      <c r="AB21" s="131">
        <f>IFERROR(__xludf.DUMMYFUNCTION("""COMPUTED_VALUE"""),201.0)</f>
        <v>201</v>
      </c>
      <c r="AC21" s="131">
        <f>IFERROR(__xludf.DUMMYFUNCTION("""COMPUTED_VALUE"""),101.0)</f>
        <v>101</v>
      </c>
      <c r="AD21" s="131">
        <f>IFERROR(__xludf.DUMMYFUNCTION("""COMPUTED_VALUE"""),101.0)</f>
        <v>101</v>
      </c>
      <c r="AE21" s="131"/>
      <c r="AF21" s="131"/>
      <c r="AG21" s="131"/>
      <c r="AH21" s="131"/>
      <c r="AI21" s="131"/>
      <c r="AJ21" s="131"/>
      <c r="AK21" s="131"/>
    </row>
    <row r="22">
      <c r="A22" s="145" t="str">
        <f>IFERROR(__xludf.DUMMYFUNCTION("""COMPUTED_VALUE"""),"Y")</f>
        <v>Y</v>
      </c>
      <c r="B22" s="146" t="str">
        <f>IFERROR(__xludf.DUMMYFUNCTION("""COMPUTED_VALUE"""),"2")</f>
        <v>2</v>
      </c>
      <c r="C22" s="146" t="str">
        <f>IFERROR(__xludf.DUMMYFUNCTION("""COMPUTED_VALUE"""),"187-192")</f>
        <v>187-192</v>
      </c>
      <c r="D22" s="147">
        <f>IFERROR(__xludf.DUMMYFUNCTION("""COMPUTED_VALUE"""),45582.0)</f>
        <v>45582</v>
      </c>
      <c r="E22" s="147">
        <f>IFERROR(__xludf.DUMMYFUNCTION("""COMPUTED_VALUE"""),45589.0)</f>
        <v>45589</v>
      </c>
      <c r="F22" s="147">
        <f>IFERROR(__xludf.DUMMYFUNCTION("""COMPUTED_VALUE"""),45610.0)</f>
        <v>45610</v>
      </c>
      <c r="G22" s="146" t="str">
        <f>IFERROR(__xludf.DUMMYFUNCTION("""COMPUTED_VALUE"""),"D34-2L")</f>
        <v>D34-2L</v>
      </c>
      <c r="H22" s="148">
        <f>IFERROR(__xludf.DUMMYFUNCTION("""COMPUTED_VALUE"""),1.0)</f>
        <v>1</v>
      </c>
      <c r="I22" s="148">
        <f>IFERROR(__xludf.DUMMYFUNCTION("""COMPUTED_VALUE"""),201.0)</f>
        <v>201</v>
      </c>
      <c r="J22" s="146">
        <f>IFERROR(__xludf.DUMMYFUNCTION("""COMPUTED_VALUE"""),101.0)</f>
        <v>101</v>
      </c>
      <c r="K22" s="146">
        <f>IFERROR(__xludf.DUMMYFUNCTION("""COMPUTED_VALUE"""),101.0)</f>
        <v>101</v>
      </c>
      <c r="L22" s="146"/>
      <c r="M22" s="146"/>
      <c r="N22" s="146"/>
      <c r="O22" s="146"/>
      <c r="P22" s="146"/>
      <c r="Q22" s="146"/>
      <c r="R22" s="146"/>
      <c r="T22" s="131" t="str">
        <f>IFERROR(__xludf.DUMMYFUNCTION("""COMPUTED_VALUE"""),"Y")</f>
        <v>Y</v>
      </c>
      <c r="U22" s="131" t="str">
        <f>IFERROR(__xludf.DUMMYFUNCTION("""COMPUTED_VALUE"""),"2")</f>
        <v>2</v>
      </c>
      <c r="V22" s="131" t="str">
        <f>IFERROR(__xludf.DUMMYFUNCTION("""COMPUTED_VALUE"""),"205-210")</f>
        <v>205-210</v>
      </c>
      <c r="W22" s="144">
        <f>IFERROR(__xludf.DUMMYFUNCTION("""COMPUTED_VALUE"""),45584.0)</f>
        <v>45584</v>
      </c>
      <c r="X22" s="144">
        <f>IFERROR(__xludf.DUMMYFUNCTION("""COMPUTED_VALUE"""),45591.0)</f>
        <v>45591</v>
      </c>
      <c r="Y22" s="144">
        <f>IFERROR(__xludf.DUMMYFUNCTION("""COMPUTED_VALUE"""),45612.0)</f>
        <v>45612</v>
      </c>
      <c r="Z22" s="131" t="str">
        <f>IFERROR(__xludf.DUMMYFUNCTION("""COMPUTED_VALUE"""),"D34-2L")</f>
        <v>D34-2L</v>
      </c>
      <c r="AA22" s="131"/>
      <c r="AB22" s="131"/>
      <c r="AC22" s="131"/>
      <c r="AD22" s="131"/>
      <c r="AE22" s="131">
        <f>IFERROR(__xludf.DUMMYFUNCTION("""COMPUTED_VALUE"""),2.0)</f>
        <v>2</v>
      </c>
      <c r="AF22" s="131">
        <f>IFERROR(__xludf.DUMMYFUNCTION("""COMPUTED_VALUE"""),104.0)</f>
        <v>104</v>
      </c>
      <c r="AG22" s="131">
        <f>IFERROR(__xludf.DUMMYFUNCTION("""COMPUTED_VALUE"""),52.0)</f>
        <v>52</v>
      </c>
      <c r="AH22" s="131">
        <f>IFERROR(__xludf.DUMMYFUNCTION("""COMPUTED_VALUE"""),52.0)</f>
        <v>52</v>
      </c>
      <c r="AI22" s="131"/>
      <c r="AJ22" s="131"/>
      <c r="AK22" s="131"/>
    </row>
    <row r="23">
      <c r="A23" s="145" t="str">
        <f>IFERROR(__xludf.DUMMYFUNCTION("""COMPUTED_VALUE"""),"Y")</f>
        <v>Y</v>
      </c>
      <c r="B23" s="146" t="str">
        <f>IFERROR(__xludf.DUMMYFUNCTION("""COMPUTED_VALUE"""),"2")</f>
        <v>2</v>
      </c>
      <c r="C23" s="146" t="str">
        <f>IFERROR(__xludf.DUMMYFUNCTION("""COMPUTED_VALUE"""),"205-210")</f>
        <v>205-210</v>
      </c>
      <c r="D23" s="147">
        <f>IFERROR(__xludf.DUMMYFUNCTION("""COMPUTED_VALUE"""),45584.0)</f>
        <v>45584</v>
      </c>
      <c r="E23" s="147">
        <f>IFERROR(__xludf.DUMMYFUNCTION("""COMPUTED_VALUE"""),45591.0)</f>
        <v>45591</v>
      </c>
      <c r="F23" s="147">
        <f>IFERROR(__xludf.DUMMYFUNCTION("""COMPUTED_VALUE"""),45612.0)</f>
        <v>45612</v>
      </c>
      <c r="G23" s="146" t="str">
        <f>IFERROR(__xludf.DUMMYFUNCTION("""COMPUTED_VALUE"""),"D34-2L")</f>
        <v>D34-2L</v>
      </c>
      <c r="H23" s="148"/>
      <c r="I23" s="148"/>
      <c r="J23" s="146"/>
      <c r="K23" s="146"/>
      <c r="L23" s="146">
        <f>IFERROR(__xludf.DUMMYFUNCTION("""COMPUTED_VALUE"""),2.0)</f>
        <v>2</v>
      </c>
      <c r="M23" s="146">
        <f>IFERROR(__xludf.DUMMYFUNCTION("""COMPUTED_VALUE"""),104.0)</f>
        <v>104</v>
      </c>
      <c r="N23" s="146">
        <f>IFERROR(__xludf.DUMMYFUNCTION("""COMPUTED_VALUE"""),52.0)</f>
        <v>52</v>
      </c>
      <c r="O23" s="146">
        <f>IFERROR(__xludf.DUMMYFUNCTION("""COMPUTED_VALUE"""),52.0)</f>
        <v>52</v>
      </c>
      <c r="P23" s="146"/>
      <c r="Q23" s="146"/>
      <c r="R23" s="146"/>
      <c r="T23" s="131" t="str">
        <f>IFERROR(__xludf.DUMMYFUNCTION("""COMPUTED_VALUE"""),"Y")</f>
        <v>Y</v>
      </c>
      <c r="U23" s="131" t="str">
        <f>IFERROR(__xludf.DUMMYFUNCTION("""COMPUTED_VALUE"""),"2")</f>
        <v>2</v>
      </c>
      <c r="V23" s="131" t="str">
        <f>IFERROR(__xludf.DUMMYFUNCTION("""COMPUTED_VALUE"""),"205-210")</f>
        <v>205-210</v>
      </c>
      <c r="W23" s="144">
        <f>IFERROR(__xludf.DUMMYFUNCTION("""COMPUTED_VALUE"""),45584.0)</f>
        <v>45584</v>
      </c>
      <c r="X23" s="144">
        <f>IFERROR(__xludf.DUMMYFUNCTION("""COMPUTED_VALUE"""),45591.0)</f>
        <v>45591</v>
      </c>
      <c r="Y23" s="144">
        <f>IFERROR(__xludf.DUMMYFUNCTION("""COMPUTED_VALUE"""),45612.0)</f>
        <v>45612</v>
      </c>
      <c r="Z23" s="131" t="str">
        <f>IFERROR(__xludf.DUMMYFUNCTION("""COMPUTED_VALUE"""),"D34-2L")</f>
        <v>D34-2L</v>
      </c>
      <c r="AA23" s="131">
        <f>IFERROR(__xludf.DUMMYFUNCTION("""COMPUTED_VALUE"""),203.0)</f>
        <v>203</v>
      </c>
      <c r="AB23" s="131">
        <f>IFERROR(__xludf.DUMMYFUNCTION("""COMPUTED_VALUE"""),255.0)</f>
        <v>255</v>
      </c>
      <c r="AC23" s="131">
        <f>IFERROR(__xludf.DUMMYFUNCTION("""COMPUTED_VALUE"""),27.0)</f>
        <v>27</v>
      </c>
      <c r="AD23" s="131">
        <f>IFERROR(__xludf.DUMMYFUNCTION("""COMPUTED_VALUE"""),27.0)</f>
        <v>27</v>
      </c>
      <c r="AE23" s="131"/>
      <c r="AF23" s="131"/>
      <c r="AG23" s="131"/>
      <c r="AH23" s="131"/>
      <c r="AI23" s="131"/>
      <c r="AJ23" s="131"/>
      <c r="AK23" s="131"/>
    </row>
    <row r="24">
      <c r="A24" s="145" t="str">
        <f>IFERROR(__xludf.DUMMYFUNCTION("""COMPUTED_VALUE"""),"Y")</f>
        <v>Y</v>
      </c>
      <c r="B24" s="146" t="str">
        <f>IFERROR(__xludf.DUMMYFUNCTION("""COMPUTED_VALUE"""),"2")</f>
        <v>2</v>
      </c>
      <c r="C24" s="146" t="str">
        <f>IFERROR(__xludf.DUMMYFUNCTION("""COMPUTED_VALUE"""),"205-210")</f>
        <v>205-210</v>
      </c>
      <c r="D24" s="147">
        <f>IFERROR(__xludf.DUMMYFUNCTION("""COMPUTED_VALUE"""),45584.0)</f>
        <v>45584</v>
      </c>
      <c r="E24" s="147">
        <f>IFERROR(__xludf.DUMMYFUNCTION("""COMPUTED_VALUE"""),45591.0)</f>
        <v>45591</v>
      </c>
      <c r="F24" s="147">
        <f>IFERROR(__xludf.DUMMYFUNCTION("""COMPUTED_VALUE"""),45612.0)</f>
        <v>45612</v>
      </c>
      <c r="G24" s="146" t="str">
        <f>IFERROR(__xludf.DUMMYFUNCTION("""COMPUTED_VALUE"""),"D34-2L")</f>
        <v>D34-2L</v>
      </c>
      <c r="H24" s="148">
        <f>IFERROR(__xludf.DUMMYFUNCTION("""COMPUTED_VALUE"""),203.0)</f>
        <v>203</v>
      </c>
      <c r="I24" s="148">
        <f>IFERROR(__xludf.DUMMYFUNCTION("""COMPUTED_VALUE"""),255.0)</f>
        <v>255</v>
      </c>
      <c r="J24" s="146">
        <f>IFERROR(__xludf.DUMMYFUNCTION("""COMPUTED_VALUE"""),27.0)</f>
        <v>27</v>
      </c>
      <c r="K24" s="146">
        <f>IFERROR(__xludf.DUMMYFUNCTION("""COMPUTED_VALUE"""),27.0)</f>
        <v>27</v>
      </c>
      <c r="L24" s="146"/>
      <c r="M24" s="146"/>
      <c r="N24" s="146"/>
      <c r="O24" s="146"/>
      <c r="P24" s="146"/>
      <c r="Q24" s="146"/>
      <c r="R24" s="146"/>
      <c r="T24" s="131" t="str">
        <f>IFERROR(__xludf.DUMMYFUNCTION("""COMPUTED_VALUE"""),"Y")</f>
        <v>Y</v>
      </c>
      <c r="U24" s="131" t="str">
        <f>IFERROR(__xludf.DUMMYFUNCTION("""COMPUTED_VALUE"""),"2")</f>
        <v>2</v>
      </c>
      <c r="V24" s="131" t="str">
        <f>IFERROR(__xludf.DUMMYFUNCTION("""COMPUTED_VALUE"""),"217-222")</f>
        <v>217-222</v>
      </c>
      <c r="W24" s="144">
        <f>IFERROR(__xludf.DUMMYFUNCTION("""COMPUTED_VALUE"""),45585.0)</f>
        <v>45585</v>
      </c>
      <c r="X24" s="144">
        <f>IFERROR(__xludf.DUMMYFUNCTION("""COMPUTED_VALUE"""),45592.0)</f>
        <v>45592</v>
      </c>
      <c r="Y24" s="144">
        <f>IFERROR(__xludf.DUMMYFUNCTION("""COMPUTED_VALUE"""),45613.0)</f>
        <v>45613</v>
      </c>
      <c r="Z24" s="131" t="str">
        <f>IFERROR(__xludf.DUMMYFUNCTION("""COMPUTED_VALUE"""),"D34-2L")</f>
        <v>D34-2L</v>
      </c>
      <c r="AA24" s="131">
        <f>IFERROR(__xludf.DUMMYFUNCTION("""COMPUTED_VALUE"""),257.0)</f>
        <v>257</v>
      </c>
      <c r="AB24" s="131">
        <f>IFERROR(__xludf.DUMMYFUNCTION("""COMPUTED_VALUE"""),299.0)</f>
        <v>299</v>
      </c>
      <c r="AC24" s="131">
        <f>IFERROR(__xludf.DUMMYFUNCTION("""COMPUTED_VALUE"""),22.0)</f>
        <v>22</v>
      </c>
      <c r="AD24" s="131">
        <f>IFERROR(__xludf.DUMMYFUNCTION("""COMPUTED_VALUE"""),22.0)</f>
        <v>22</v>
      </c>
      <c r="AE24" s="131"/>
      <c r="AF24" s="131"/>
      <c r="AG24" s="131"/>
      <c r="AH24" s="131"/>
      <c r="AI24" s="131"/>
      <c r="AJ24" s="131"/>
      <c r="AK24" s="131"/>
    </row>
    <row r="25">
      <c r="A25" s="145" t="str">
        <f>IFERROR(__xludf.DUMMYFUNCTION("""COMPUTED_VALUE"""),"Y")</f>
        <v>Y</v>
      </c>
      <c r="B25" s="146" t="str">
        <f>IFERROR(__xludf.DUMMYFUNCTION("""COMPUTED_VALUE"""),"2")</f>
        <v>2</v>
      </c>
      <c r="C25" s="146" t="str">
        <f>IFERROR(__xludf.DUMMYFUNCTION("""COMPUTED_VALUE"""),"217-222")</f>
        <v>217-222</v>
      </c>
      <c r="D25" s="147">
        <f>IFERROR(__xludf.DUMMYFUNCTION("""COMPUTED_VALUE"""),45585.0)</f>
        <v>45585</v>
      </c>
      <c r="E25" s="147">
        <f>IFERROR(__xludf.DUMMYFUNCTION("""COMPUTED_VALUE"""),45592.0)</f>
        <v>45592</v>
      </c>
      <c r="F25" s="147">
        <f>IFERROR(__xludf.DUMMYFUNCTION("""COMPUTED_VALUE"""),45613.0)</f>
        <v>45613</v>
      </c>
      <c r="G25" s="146" t="str">
        <f>IFERROR(__xludf.DUMMYFUNCTION("""COMPUTED_VALUE"""),"D34-2L")</f>
        <v>D34-2L</v>
      </c>
      <c r="H25" s="148">
        <f>IFERROR(__xludf.DUMMYFUNCTION("""COMPUTED_VALUE"""),257.0)</f>
        <v>257</v>
      </c>
      <c r="I25" s="148">
        <f>IFERROR(__xludf.DUMMYFUNCTION("""COMPUTED_VALUE"""),299.0)</f>
        <v>299</v>
      </c>
      <c r="J25" s="146">
        <f>IFERROR(__xludf.DUMMYFUNCTION("""COMPUTED_VALUE"""),22.0)</f>
        <v>22</v>
      </c>
      <c r="K25" s="146">
        <f>IFERROR(__xludf.DUMMYFUNCTION("""COMPUTED_VALUE"""),22.0)</f>
        <v>22</v>
      </c>
      <c r="L25" s="146"/>
      <c r="M25" s="146"/>
      <c r="N25" s="146"/>
      <c r="O25" s="146"/>
      <c r="P25" s="146"/>
      <c r="Q25" s="146"/>
      <c r="R25" s="146"/>
      <c r="T25" s="131" t="str">
        <f>IFERROR(__xludf.DUMMYFUNCTION("""COMPUTED_VALUE"""),"Y")</f>
        <v>Y</v>
      </c>
      <c r="U25" s="131" t="str">
        <f>IFERROR(__xludf.DUMMYFUNCTION("""COMPUTED_VALUE"""),"2")</f>
        <v>2</v>
      </c>
      <c r="V25" s="131" t="str">
        <f>IFERROR(__xludf.DUMMYFUNCTION("""COMPUTED_VALUE"""),"217-222")</f>
        <v>217-222</v>
      </c>
      <c r="W25" s="144">
        <f>IFERROR(__xludf.DUMMYFUNCTION("""COMPUTED_VALUE"""),45585.0)</f>
        <v>45585</v>
      </c>
      <c r="X25" s="144">
        <f>IFERROR(__xludf.DUMMYFUNCTION("""COMPUTED_VALUE"""),45592.0)</f>
        <v>45592</v>
      </c>
      <c r="Y25" s="144">
        <f>IFERROR(__xludf.DUMMYFUNCTION("""COMPUTED_VALUE"""),45613.0)</f>
        <v>45613</v>
      </c>
      <c r="Z25" s="131" t="str">
        <f>IFERROR(__xludf.DUMMYFUNCTION("""COMPUTED_VALUE"""),"D34-2L")</f>
        <v>D34-2L</v>
      </c>
      <c r="AA25" s="131"/>
      <c r="AB25" s="131"/>
      <c r="AC25" s="131"/>
      <c r="AD25" s="131"/>
      <c r="AE25" s="131">
        <f>IFERROR(__xludf.DUMMYFUNCTION("""COMPUTED_VALUE"""),106.0)</f>
        <v>106</v>
      </c>
      <c r="AF25" s="131">
        <f>IFERROR(__xludf.DUMMYFUNCTION("""COMPUTED_VALUE"""),254.0)</f>
        <v>254</v>
      </c>
      <c r="AG25" s="131">
        <f>IFERROR(__xludf.DUMMYFUNCTION("""COMPUTED_VALUE"""),75.0)</f>
        <v>75</v>
      </c>
      <c r="AH25" s="131">
        <f>IFERROR(__xludf.DUMMYFUNCTION("""COMPUTED_VALUE"""),75.0)</f>
        <v>75</v>
      </c>
      <c r="AI25" s="131"/>
      <c r="AJ25" s="131"/>
      <c r="AK25" s="131"/>
    </row>
    <row r="26">
      <c r="A26" s="145" t="str">
        <f>IFERROR(__xludf.DUMMYFUNCTION("""COMPUTED_VALUE"""),"Y")</f>
        <v>Y</v>
      </c>
      <c r="B26" s="146" t="str">
        <f>IFERROR(__xludf.DUMMYFUNCTION("""COMPUTED_VALUE"""),"2")</f>
        <v>2</v>
      </c>
      <c r="C26" s="146" t="str">
        <f>IFERROR(__xludf.DUMMYFUNCTION("""COMPUTED_VALUE"""),"217-222")</f>
        <v>217-222</v>
      </c>
      <c r="D26" s="147">
        <f>IFERROR(__xludf.DUMMYFUNCTION("""COMPUTED_VALUE"""),45585.0)</f>
        <v>45585</v>
      </c>
      <c r="E26" s="147">
        <f>IFERROR(__xludf.DUMMYFUNCTION("""COMPUTED_VALUE"""),45592.0)</f>
        <v>45592</v>
      </c>
      <c r="F26" s="147">
        <f>IFERROR(__xludf.DUMMYFUNCTION("""COMPUTED_VALUE"""),45613.0)</f>
        <v>45613</v>
      </c>
      <c r="G26" s="146" t="str">
        <f>IFERROR(__xludf.DUMMYFUNCTION("""COMPUTED_VALUE"""),"D34-2L")</f>
        <v>D34-2L</v>
      </c>
      <c r="H26" s="148"/>
      <c r="I26" s="148"/>
      <c r="J26" s="146"/>
      <c r="K26" s="146"/>
      <c r="L26" s="146">
        <f>IFERROR(__xludf.DUMMYFUNCTION("""COMPUTED_VALUE"""),106.0)</f>
        <v>106</v>
      </c>
      <c r="M26" s="146">
        <f>IFERROR(__xludf.DUMMYFUNCTION("""COMPUTED_VALUE"""),254.0)</f>
        <v>254</v>
      </c>
      <c r="N26" s="146">
        <f>IFERROR(__xludf.DUMMYFUNCTION("""COMPUTED_VALUE"""),75.0)</f>
        <v>75</v>
      </c>
      <c r="O26" s="146">
        <f>IFERROR(__xludf.DUMMYFUNCTION("""COMPUTED_VALUE"""),75.0)</f>
        <v>75</v>
      </c>
      <c r="P26" s="146"/>
      <c r="Q26" s="146"/>
      <c r="R26" s="146"/>
      <c r="T26" s="131" t="str">
        <f>IFERROR(__xludf.DUMMYFUNCTION("""COMPUTED_VALUE"""),"Y")</f>
        <v>Y</v>
      </c>
      <c r="U26" s="131" t="str">
        <f>IFERROR(__xludf.DUMMYFUNCTION("""COMPUTED_VALUE"""),"2")</f>
        <v>2</v>
      </c>
      <c r="V26" s="131" t="str">
        <f>IFERROR(__xludf.DUMMYFUNCTION("""COMPUTED_VALUE"""),"229-234")</f>
        <v>229-234</v>
      </c>
      <c r="W26" s="144">
        <f>IFERROR(__xludf.DUMMYFUNCTION("""COMPUTED_VALUE"""),45586.0)</f>
        <v>45586</v>
      </c>
      <c r="X26" s="144">
        <f>IFERROR(__xludf.DUMMYFUNCTION("""COMPUTED_VALUE"""),45593.0)</f>
        <v>45593</v>
      </c>
      <c r="Y26" s="144">
        <f>IFERROR(__xludf.DUMMYFUNCTION("""COMPUTED_VALUE"""),45614.0)</f>
        <v>45614</v>
      </c>
      <c r="Z26" s="131" t="str">
        <f>IFERROR(__xludf.DUMMYFUNCTION("""COMPUTED_VALUE"""),"D34-2R")</f>
        <v>D34-2R</v>
      </c>
      <c r="AA26" s="131">
        <f>IFERROR(__xludf.DUMMYFUNCTION("""COMPUTED_VALUE"""),1.0)</f>
        <v>1</v>
      </c>
      <c r="AB26" s="131">
        <f>IFERROR(__xludf.DUMMYFUNCTION("""COMPUTED_VALUE"""),201.0)</f>
        <v>201</v>
      </c>
      <c r="AC26" s="131">
        <f>IFERROR(__xludf.DUMMYFUNCTION("""COMPUTED_VALUE"""),101.0)</f>
        <v>101</v>
      </c>
      <c r="AD26" s="131">
        <f>IFERROR(__xludf.DUMMYFUNCTION("""COMPUTED_VALUE"""),101.0)</f>
        <v>101</v>
      </c>
      <c r="AE26" s="131"/>
      <c r="AF26" s="131"/>
      <c r="AG26" s="131"/>
      <c r="AH26" s="131"/>
      <c r="AI26" s="131"/>
      <c r="AJ26" s="131"/>
      <c r="AK26" s="131"/>
    </row>
    <row r="27">
      <c r="A27" s="145" t="str">
        <f>IFERROR(__xludf.DUMMYFUNCTION("""COMPUTED_VALUE"""),"Y")</f>
        <v>Y</v>
      </c>
      <c r="B27" s="146" t="str">
        <f>IFERROR(__xludf.DUMMYFUNCTION("""COMPUTED_VALUE"""),"2")</f>
        <v>2</v>
      </c>
      <c r="C27" s="146" t="str">
        <f>IFERROR(__xludf.DUMMYFUNCTION("""COMPUTED_VALUE"""),"229-234")</f>
        <v>229-234</v>
      </c>
      <c r="D27" s="147">
        <f>IFERROR(__xludf.DUMMYFUNCTION("""COMPUTED_VALUE"""),45586.0)</f>
        <v>45586</v>
      </c>
      <c r="E27" s="147">
        <f>IFERROR(__xludf.DUMMYFUNCTION("""COMPUTED_VALUE"""),45593.0)</f>
        <v>45593</v>
      </c>
      <c r="F27" s="147">
        <f>IFERROR(__xludf.DUMMYFUNCTION("""COMPUTED_VALUE"""),45614.0)</f>
        <v>45614</v>
      </c>
      <c r="G27" s="146" t="str">
        <f>IFERROR(__xludf.DUMMYFUNCTION("""COMPUTED_VALUE"""),"D34-2R")</f>
        <v>D34-2R</v>
      </c>
      <c r="H27" s="148">
        <f>IFERROR(__xludf.DUMMYFUNCTION("""COMPUTED_VALUE"""),1.0)</f>
        <v>1</v>
      </c>
      <c r="I27" s="148">
        <f>IFERROR(__xludf.DUMMYFUNCTION("""COMPUTED_VALUE"""),201.0)</f>
        <v>201</v>
      </c>
      <c r="J27" s="146">
        <f>IFERROR(__xludf.DUMMYFUNCTION("""COMPUTED_VALUE"""),101.0)</f>
        <v>101</v>
      </c>
      <c r="K27" s="146">
        <f>IFERROR(__xludf.DUMMYFUNCTION("""COMPUTED_VALUE"""),101.0)</f>
        <v>101</v>
      </c>
      <c r="L27" s="146"/>
      <c r="M27" s="146"/>
      <c r="N27" s="146"/>
      <c r="O27" s="146"/>
      <c r="P27" s="146"/>
      <c r="Q27" s="146"/>
      <c r="R27" s="146"/>
      <c r="T27" s="131" t="str">
        <f>IFERROR(__xludf.DUMMYFUNCTION("""COMPUTED_VALUE"""),"Y")</f>
        <v>Y</v>
      </c>
      <c r="U27" s="131" t="str">
        <f>IFERROR(__xludf.DUMMYFUNCTION("""COMPUTED_VALUE"""),"2")</f>
        <v>2</v>
      </c>
      <c r="V27" s="131" t="str">
        <f>IFERROR(__xludf.DUMMYFUNCTION("""COMPUTED_VALUE"""),"241-246")</f>
        <v>241-246</v>
      </c>
      <c r="W27" s="144">
        <f>IFERROR(__xludf.DUMMYFUNCTION("""COMPUTED_VALUE"""),45587.0)</f>
        <v>45587</v>
      </c>
      <c r="X27" s="144">
        <f>IFERROR(__xludf.DUMMYFUNCTION("""COMPUTED_VALUE"""),45594.0)</f>
        <v>45594</v>
      </c>
      <c r="Y27" s="144">
        <f>IFERROR(__xludf.DUMMYFUNCTION("""COMPUTED_VALUE"""),45615.0)</f>
        <v>45615</v>
      </c>
      <c r="Z27" s="131" t="str">
        <f>IFERROR(__xludf.DUMMYFUNCTION("""COMPUTED_VALUE"""),"D34-2R")</f>
        <v>D34-2R</v>
      </c>
      <c r="AA27" s="131"/>
      <c r="AB27" s="131"/>
      <c r="AC27" s="131"/>
      <c r="AD27" s="131"/>
      <c r="AE27" s="131">
        <f>IFERROR(__xludf.DUMMYFUNCTION("""COMPUTED_VALUE"""),2.0)</f>
        <v>2</v>
      </c>
      <c r="AF27" s="131">
        <f>IFERROR(__xludf.DUMMYFUNCTION("""COMPUTED_VALUE"""),160.0)</f>
        <v>160</v>
      </c>
      <c r="AG27" s="131">
        <f>IFERROR(__xludf.DUMMYFUNCTION("""COMPUTED_VALUE"""),80.0)</f>
        <v>80</v>
      </c>
      <c r="AH27" s="131">
        <f>IFERROR(__xludf.DUMMYFUNCTION("""COMPUTED_VALUE"""),80.0)</f>
        <v>80</v>
      </c>
      <c r="AI27" s="131"/>
      <c r="AJ27" s="131"/>
      <c r="AK27" s="131"/>
    </row>
    <row r="28">
      <c r="A28" s="145" t="str">
        <f>IFERROR(__xludf.DUMMYFUNCTION("""COMPUTED_VALUE"""),"Y")</f>
        <v>Y</v>
      </c>
      <c r="B28" s="146" t="str">
        <f>IFERROR(__xludf.DUMMYFUNCTION("""COMPUTED_VALUE"""),"2")</f>
        <v>2</v>
      </c>
      <c r="C28" s="146" t="str">
        <f>IFERROR(__xludf.DUMMYFUNCTION("""COMPUTED_VALUE"""),"241-246")</f>
        <v>241-246</v>
      </c>
      <c r="D28" s="147">
        <f>IFERROR(__xludf.DUMMYFUNCTION("""COMPUTED_VALUE"""),45587.0)</f>
        <v>45587</v>
      </c>
      <c r="E28" s="147">
        <f>IFERROR(__xludf.DUMMYFUNCTION("""COMPUTED_VALUE"""),45594.0)</f>
        <v>45594</v>
      </c>
      <c r="F28" s="147">
        <f>IFERROR(__xludf.DUMMYFUNCTION("""COMPUTED_VALUE"""),45615.0)</f>
        <v>45615</v>
      </c>
      <c r="G28" s="146" t="str">
        <f>IFERROR(__xludf.DUMMYFUNCTION("""COMPUTED_VALUE"""),"D34-2R")</f>
        <v>D34-2R</v>
      </c>
      <c r="H28" s="148"/>
      <c r="I28" s="148"/>
      <c r="J28" s="146"/>
      <c r="K28" s="146"/>
      <c r="L28" s="146">
        <f>IFERROR(__xludf.DUMMYFUNCTION("""COMPUTED_VALUE"""),2.0)</f>
        <v>2</v>
      </c>
      <c r="M28" s="146">
        <f>IFERROR(__xludf.DUMMYFUNCTION("""COMPUTED_VALUE"""),160.0)</f>
        <v>160</v>
      </c>
      <c r="N28" s="146">
        <f>IFERROR(__xludf.DUMMYFUNCTION("""COMPUTED_VALUE"""),80.0)</f>
        <v>80</v>
      </c>
      <c r="O28" s="146">
        <f>IFERROR(__xludf.DUMMYFUNCTION("""COMPUTED_VALUE"""),80.0)</f>
        <v>80</v>
      </c>
      <c r="P28" s="146"/>
      <c r="Q28" s="146"/>
      <c r="R28" s="146"/>
      <c r="T28" s="131" t="str">
        <f>IFERROR(__xludf.DUMMYFUNCTION("""COMPUTED_VALUE"""),"Y")</f>
        <v>Y</v>
      </c>
      <c r="U28" s="131" t="str">
        <f>IFERROR(__xludf.DUMMYFUNCTION("""COMPUTED_VALUE"""),"2")</f>
        <v>2</v>
      </c>
      <c r="V28" s="131" t="str">
        <f>IFERROR(__xludf.DUMMYFUNCTION("""COMPUTED_VALUE"""),"241-246")</f>
        <v>241-246</v>
      </c>
      <c r="W28" s="144">
        <f>IFERROR(__xludf.DUMMYFUNCTION("""COMPUTED_VALUE"""),45587.0)</f>
        <v>45587</v>
      </c>
      <c r="X28" s="144">
        <f>IFERROR(__xludf.DUMMYFUNCTION("""COMPUTED_VALUE"""),45594.0)</f>
        <v>45594</v>
      </c>
      <c r="Y28" s="144">
        <f>IFERROR(__xludf.DUMMYFUNCTION("""COMPUTED_VALUE"""),45615.0)</f>
        <v>45615</v>
      </c>
      <c r="Z28" s="131" t="str">
        <f>IFERROR(__xludf.DUMMYFUNCTION("""COMPUTED_VALUE"""),"D34-2L")</f>
        <v>D34-2L</v>
      </c>
      <c r="AA28" s="131"/>
      <c r="AB28" s="131"/>
      <c r="AC28" s="131"/>
      <c r="AD28" s="131"/>
      <c r="AE28" s="131">
        <f>IFERROR(__xludf.DUMMYFUNCTION("""COMPUTED_VALUE"""),256.0)</f>
        <v>256</v>
      </c>
      <c r="AF28" s="131">
        <f>IFERROR(__xludf.DUMMYFUNCTION("""COMPUTED_VALUE"""),298.0)</f>
        <v>298</v>
      </c>
      <c r="AG28" s="131">
        <f>IFERROR(__xludf.DUMMYFUNCTION("""COMPUTED_VALUE"""),22.0)</f>
        <v>22</v>
      </c>
      <c r="AH28" s="131">
        <f>IFERROR(__xludf.DUMMYFUNCTION("""COMPUTED_VALUE"""),22.0)</f>
        <v>22</v>
      </c>
      <c r="AI28" s="131"/>
      <c r="AJ28" s="131"/>
      <c r="AK28" s="131"/>
    </row>
    <row r="29">
      <c r="A29" s="145" t="str">
        <f>IFERROR(__xludf.DUMMYFUNCTION("""COMPUTED_VALUE"""),"Y")</f>
        <v>Y</v>
      </c>
      <c r="B29" s="146" t="str">
        <f>IFERROR(__xludf.DUMMYFUNCTION("""COMPUTED_VALUE"""),"2")</f>
        <v>2</v>
      </c>
      <c r="C29" s="146" t="str">
        <f>IFERROR(__xludf.DUMMYFUNCTION("""COMPUTED_VALUE"""),"241-246")</f>
        <v>241-246</v>
      </c>
      <c r="D29" s="147">
        <f>IFERROR(__xludf.DUMMYFUNCTION("""COMPUTED_VALUE"""),45587.0)</f>
        <v>45587</v>
      </c>
      <c r="E29" s="147">
        <f>IFERROR(__xludf.DUMMYFUNCTION("""COMPUTED_VALUE"""),45594.0)</f>
        <v>45594</v>
      </c>
      <c r="F29" s="147">
        <f>IFERROR(__xludf.DUMMYFUNCTION("""COMPUTED_VALUE"""),45615.0)</f>
        <v>45615</v>
      </c>
      <c r="G29" s="146" t="str">
        <f>IFERROR(__xludf.DUMMYFUNCTION("""COMPUTED_VALUE"""),"D34-2L")</f>
        <v>D34-2L</v>
      </c>
      <c r="H29" s="148"/>
      <c r="I29" s="148"/>
      <c r="J29" s="146"/>
      <c r="K29" s="146"/>
      <c r="L29" s="146">
        <f>IFERROR(__xludf.DUMMYFUNCTION("""COMPUTED_VALUE"""),256.0)</f>
        <v>256</v>
      </c>
      <c r="M29" s="146">
        <f>IFERROR(__xludf.DUMMYFUNCTION("""COMPUTED_VALUE"""),298.0)</f>
        <v>298</v>
      </c>
      <c r="N29" s="146">
        <f>IFERROR(__xludf.DUMMYFUNCTION("""COMPUTED_VALUE"""),22.0)</f>
        <v>22</v>
      </c>
      <c r="O29" s="146">
        <f>IFERROR(__xludf.DUMMYFUNCTION("""COMPUTED_VALUE"""),22.0)</f>
        <v>22</v>
      </c>
      <c r="P29" s="146"/>
      <c r="Q29" s="146"/>
      <c r="R29" s="146"/>
      <c r="T29" s="131" t="str">
        <f>IFERROR(__xludf.DUMMYFUNCTION("""COMPUTED_VALUE"""),"Y")</f>
        <v>Y</v>
      </c>
      <c r="U29" s="131" t="str">
        <f>IFERROR(__xludf.DUMMYFUNCTION("""COMPUTED_VALUE"""),"2")</f>
        <v>2</v>
      </c>
      <c r="V29" s="131" t="str">
        <f>IFERROR(__xludf.DUMMYFUNCTION("""COMPUTED_VALUE"""),"253-258")</f>
        <v>253-258</v>
      </c>
      <c r="W29" s="144">
        <f>IFERROR(__xludf.DUMMYFUNCTION("""COMPUTED_VALUE"""),45588.0)</f>
        <v>45588</v>
      </c>
      <c r="X29" s="144">
        <f>IFERROR(__xludf.DUMMYFUNCTION("""COMPUTED_VALUE"""),45595.0)</f>
        <v>45595</v>
      </c>
      <c r="Y29" s="144">
        <f>IFERROR(__xludf.DUMMYFUNCTION("""COMPUTED_VALUE"""),45616.0)</f>
        <v>45616</v>
      </c>
      <c r="Z29" s="131" t="str">
        <f>IFERROR(__xludf.DUMMYFUNCTION("""COMPUTED_VALUE"""),"D34-1L")</f>
        <v>D34-1L</v>
      </c>
      <c r="AA29" s="131"/>
      <c r="AB29" s="131"/>
      <c r="AC29" s="131"/>
      <c r="AD29" s="131"/>
      <c r="AE29" s="131">
        <f>IFERROR(__xludf.DUMMYFUNCTION("""COMPUTED_VALUE"""),182.0)</f>
        <v>182</v>
      </c>
      <c r="AF29" s="131">
        <f>IFERROR(__xludf.DUMMYFUNCTION("""COMPUTED_VALUE"""),266.0)</f>
        <v>266</v>
      </c>
      <c r="AG29" s="131">
        <f>IFERROR(__xludf.DUMMYFUNCTION("""COMPUTED_VALUE"""),43.0)</f>
        <v>43</v>
      </c>
      <c r="AH29" s="131">
        <f>IFERROR(__xludf.DUMMYFUNCTION("""COMPUTED_VALUE"""),43.0)</f>
        <v>43</v>
      </c>
      <c r="AI29" s="131"/>
      <c r="AJ29" s="131"/>
      <c r="AK29" s="131"/>
    </row>
    <row r="30">
      <c r="A30" s="145" t="str">
        <f>IFERROR(__xludf.DUMMYFUNCTION("""COMPUTED_VALUE"""),"Y")</f>
        <v>Y</v>
      </c>
      <c r="B30" s="146" t="str">
        <f>IFERROR(__xludf.DUMMYFUNCTION("""COMPUTED_VALUE"""),"2")</f>
        <v>2</v>
      </c>
      <c r="C30" s="146" t="str">
        <f>IFERROR(__xludf.DUMMYFUNCTION("""COMPUTED_VALUE"""),"253-258")</f>
        <v>253-258</v>
      </c>
      <c r="D30" s="147">
        <f>IFERROR(__xludf.DUMMYFUNCTION("""COMPUTED_VALUE"""),45588.0)</f>
        <v>45588</v>
      </c>
      <c r="E30" s="147">
        <f>IFERROR(__xludf.DUMMYFUNCTION("""COMPUTED_VALUE"""),45595.0)</f>
        <v>45595</v>
      </c>
      <c r="F30" s="147">
        <f>IFERROR(__xludf.DUMMYFUNCTION("""COMPUTED_VALUE"""),45616.0)</f>
        <v>45616</v>
      </c>
      <c r="G30" s="146" t="str">
        <f>IFERROR(__xludf.DUMMYFUNCTION("""COMPUTED_VALUE"""),"D34-1L")</f>
        <v>D34-1L</v>
      </c>
      <c r="H30" s="148"/>
      <c r="I30" s="148"/>
      <c r="J30" s="146"/>
      <c r="K30" s="146"/>
      <c r="L30" s="146">
        <f>IFERROR(__xludf.DUMMYFUNCTION("""COMPUTED_VALUE"""),182.0)</f>
        <v>182</v>
      </c>
      <c r="M30" s="146">
        <f>IFERROR(__xludf.DUMMYFUNCTION("""COMPUTED_VALUE"""),266.0)</f>
        <v>266</v>
      </c>
      <c r="N30" s="146">
        <f>IFERROR(__xludf.DUMMYFUNCTION("""COMPUTED_VALUE"""),43.0)</f>
        <v>43</v>
      </c>
      <c r="O30" s="146">
        <f>IFERROR(__xludf.DUMMYFUNCTION("""COMPUTED_VALUE"""),43.0)</f>
        <v>43</v>
      </c>
      <c r="P30" s="146"/>
      <c r="Q30" s="146"/>
      <c r="R30" s="146"/>
      <c r="T30" s="131" t="str">
        <f>IFERROR(__xludf.DUMMYFUNCTION("""COMPUTED_VALUE"""),"Y")</f>
        <v>Y</v>
      </c>
      <c r="U30" s="131" t="str">
        <f>IFERROR(__xludf.DUMMYFUNCTION("""COMPUTED_VALUE"""),"2")</f>
        <v>2</v>
      </c>
      <c r="V30" s="131" t="str">
        <f>IFERROR(__xludf.DUMMYFUNCTION("""COMPUTED_VALUE"""),"253-258")</f>
        <v>253-258</v>
      </c>
      <c r="W30" s="144">
        <f>IFERROR(__xludf.DUMMYFUNCTION("""COMPUTED_VALUE"""),45588.0)</f>
        <v>45588</v>
      </c>
      <c r="X30" s="144">
        <f>IFERROR(__xludf.DUMMYFUNCTION("""COMPUTED_VALUE"""),45595.0)</f>
        <v>45595</v>
      </c>
      <c r="Y30" s="144">
        <f>IFERROR(__xludf.DUMMYFUNCTION("""COMPUTED_VALUE"""),45616.0)</f>
        <v>45616</v>
      </c>
      <c r="Z30" s="131" t="str">
        <f>IFERROR(__xludf.DUMMYFUNCTION("""COMPUTED_VALUE"""),"D34-1R")</f>
        <v>D34-1R</v>
      </c>
      <c r="AA30" s="131">
        <f>IFERROR(__xludf.DUMMYFUNCTION("""COMPUTED_VALUE"""),1.0)</f>
        <v>1</v>
      </c>
      <c r="AB30" s="131">
        <f>IFERROR(__xludf.DUMMYFUNCTION("""COMPUTED_VALUE"""),77.0)</f>
        <v>77</v>
      </c>
      <c r="AC30" s="131">
        <f>IFERROR(__xludf.DUMMYFUNCTION("""COMPUTED_VALUE"""),39.0)</f>
        <v>39</v>
      </c>
      <c r="AD30" s="131">
        <f>IFERROR(__xludf.DUMMYFUNCTION("""COMPUTED_VALUE"""),39.0)</f>
        <v>39</v>
      </c>
      <c r="AE30" s="131"/>
      <c r="AF30" s="131"/>
      <c r="AG30" s="131"/>
      <c r="AH30" s="131"/>
      <c r="AI30" s="131"/>
      <c r="AJ30" s="131"/>
      <c r="AK30" s="131"/>
    </row>
    <row r="31">
      <c r="A31" s="145" t="str">
        <f>IFERROR(__xludf.DUMMYFUNCTION("""COMPUTED_VALUE"""),"Y")</f>
        <v>Y</v>
      </c>
      <c r="B31" s="146" t="str">
        <f>IFERROR(__xludf.DUMMYFUNCTION("""COMPUTED_VALUE"""),"2")</f>
        <v>2</v>
      </c>
      <c r="C31" s="146" t="str">
        <f>IFERROR(__xludf.DUMMYFUNCTION("""COMPUTED_VALUE"""),"253-258")</f>
        <v>253-258</v>
      </c>
      <c r="D31" s="147">
        <f>IFERROR(__xludf.DUMMYFUNCTION("""COMPUTED_VALUE"""),45588.0)</f>
        <v>45588</v>
      </c>
      <c r="E31" s="147">
        <f>IFERROR(__xludf.DUMMYFUNCTION("""COMPUTED_VALUE"""),45595.0)</f>
        <v>45595</v>
      </c>
      <c r="F31" s="147">
        <f>IFERROR(__xludf.DUMMYFUNCTION("""COMPUTED_VALUE"""),45616.0)</f>
        <v>45616</v>
      </c>
      <c r="G31" s="146" t="str">
        <f>IFERROR(__xludf.DUMMYFUNCTION("""COMPUTED_VALUE"""),"D34-1R")</f>
        <v>D34-1R</v>
      </c>
      <c r="H31" s="148">
        <f>IFERROR(__xludf.DUMMYFUNCTION("""COMPUTED_VALUE"""),1.0)</f>
        <v>1</v>
      </c>
      <c r="I31" s="148">
        <f>IFERROR(__xludf.DUMMYFUNCTION("""COMPUTED_VALUE"""),77.0)</f>
        <v>77</v>
      </c>
      <c r="J31" s="146">
        <f>IFERROR(__xludf.DUMMYFUNCTION("""COMPUTED_VALUE"""),39.0)</f>
        <v>39</v>
      </c>
      <c r="K31" s="146">
        <f>IFERROR(__xludf.DUMMYFUNCTION("""COMPUTED_VALUE"""),39.0)</f>
        <v>39</v>
      </c>
      <c r="L31" s="146"/>
      <c r="M31" s="146"/>
      <c r="N31" s="146"/>
      <c r="O31" s="146"/>
      <c r="P31" s="146"/>
      <c r="Q31" s="146"/>
      <c r="R31" s="146"/>
      <c r="T31" s="131" t="str">
        <f>IFERROR(__xludf.DUMMYFUNCTION("""COMPUTED_VALUE"""),"Y")</f>
        <v>Y</v>
      </c>
      <c r="U31" s="131" t="str">
        <f>IFERROR(__xludf.DUMMYFUNCTION("""COMPUTED_VALUE"""),"2")</f>
        <v>2</v>
      </c>
      <c r="V31" s="131" t="str">
        <f>IFERROR(__xludf.DUMMYFUNCTION("""COMPUTED_VALUE"""),"265-270")</f>
        <v>265-270</v>
      </c>
      <c r="W31" s="144">
        <f>IFERROR(__xludf.DUMMYFUNCTION("""COMPUTED_VALUE"""),45589.0)</f>
        <v>45589</v>
      </c>
      <c r="X31" s="144">
        <f>IFERROR(__xludf.DUMMYFUNCTION("""COMPUTED_VALUE"""),45596.0)</f>
        <v>45596</v>
      </c>
      <c r="Y31" s="144">
        <f>IFERROR(__xludf.DUMMYFUNCTION("""COMPUTED_VALUE"""),45617.0)</f>
        <v>45617</v>
      </c>
      <c r="Z31" s="131" t="str">
        <f>IFERROR(__xludf.DUMMYFUNCTION("""COMPUTED_VALUE"""),"D34-1R")</f>
        <v>D34-1R</v>
      </c>
      <c r="AA31" s="131">
        <f>IFERROR(__xludf.DUMMYFUNCTION("""COMPUTED_VALUE"""),79.0)</f>
        <v>79</v>
      </c>
      <c r="AB31" s="131">
        <f>IFERROR(__xludf.DUMMYFUNCTION("""COMPUTED_VALUE"""),159.0)</f>
        <v>159</v>
      </c>
      <c r="AC31" s="131">
        <f>IFERROR(__xludf.DUMMYFUNCTION("""COMPUTED_VALUE"""),41.0)</f>
        <v>41</v>
      </c>
      <c r="AD31" s="131">
        <f>IFERROR(__xludf.DUMMYFUNCTION("""COMPUTED_VALUE"""),41.0)</f>
        <v>41</v>
      </c>
      <c r="AE31" s="131"/>
      <c r="AF31" s="131"/>
      <c r="AG31" s="131"/>
      <c r="AH31" s="131"/>
      <c r="AI31" s="131"/>
      <c r="AJ31" s="131"/>
      <c r="AK31" s="131"/>
    </row>
    <row r="32">
      <c r="A32" s="145" t="str">
        <f>IFERROR(__xludf.DUMMYFUNCTION("""COMPUTED_VALUE"""),"Y")</f>
        <v>Y</v>
      </c>
      <c r="B32" s="146" t="str">
        <f>IFERROR(__xludf.DUMMYFUNCTION("""COMPUTED_VALUE"""),"2")</f>
        <v>2</v>
      </c>
      <c r="C32" s="146" t="str">
        <f>IFERROR(__xludf.DUMMYFUNCTION("""COMPUTED_VALUE"""),"265-270")</f>
        <v>265-270</v>
      </c>
      <c r="D32" s="147">
        <f>IFERROR(__xludf.DUMMYFUNCTION("""COMPUTED_VALUE"""),45589.0)</f>
        <v>45589</v>
      </c>
      <c r="E32" s="147">
        <f>IFERROR(__xludf.DUMMYFUNCTION("""COMPUTED_VALUE"""),45596.0)</f>
        <v>45596</v>
      </c>
      <c r="F32" s="147">
        <f>IFERROR(__xludf.DUMMYFUNCTION("""COMPUTED_VALUE"""),45617.0)</f>
        <v>45617</v>
      </c>
      <c r="G32" s="146" t="str">
        <f>IFERROR(__xludf.DUMMYFUNCTION("""COMPUTED_VALUE"""),"D34-1R")</f>
        <v>D34-1R</v>
      </c>
      <c r="H32" s="148">
        <f>IFERROR(__xludf.DUMMYFUNCTION("""COMPUTED_VALUE"""),79.0)</f>
        <v>79</v>
      </c>
      <c r="I32" s="148">
        <f>IFERROR(__xludf.DUMMYFUNCTION("""COMPUTED_VALUE"""),159.0)</f>
        <v>159</v>
      </c>
      <c r="J32" s="146">
        <f>IFERROR(__xludf.DUMMYFUNCTION("""COMPUTED_VALUE"""),41.0)</f>
        <v>41</v>
      </c>
      <c r="K32" s="146">
        <f>IFERROR(__xludf.DUMMYFUNCTION("""COMPUTED_VALUE"""),41.0)</f>
        <v>41</v>
      </c>
      <c r="L32" s="146"/>
      <c r="M32" s="146"/>
      <c r="N32" s="146"/>
      <c r="O32" s="146"/>
      <c r="P32" s="146"/>
      <c r="Q32" s="146"/>
      <c r="R32" s="146"/>
      <c r="T32" s="131" t="str">
        <f>IFERROR(__xludf.DUMMYFUNCTION("""COMPUTED_VALUE"""),"Y")</f>
        <v>Y</v>
      </c>
      <c r="U32" s="131" t="str">
        <f>IFERROR(__xludf.DUMMYFUNCTION("""COMPUTED_VALUE"""),"2")</f>
        <v>2</v>
      </c>
      <c r="V32" s="131" t="str">
        <f>IFERROR(__xludf.DUMMYFUNCTION("""COMPUTED_VALUE"""),"265-270")</f>
        <v>265-270</v>
      </c>
      <c r="W32" s="144">
        <f>IFERROR(__xludf.DUMMYFUNCTION("""COMPUTED_VALUE"""),45589.0)</f>
        <v>45589</v>
      </c>
      <c r="X32" s="144">
        <f>IFERROR(__xludf.DUMMYFUNCTION("""COMPUTED_VALUE"""),45596.0)</f>
        <v>45596</v>
      </c>
      <c r="Y32" s="144">
        <f>IFERROR(__xludf.DUMMYFUNCTION("""COMPUTED_VALUE"""),45617.0)</f>
        <v>45617</v>
      </c>
      <c r="Z32" s="131" t="str">
        <f>IFERROR(__xludf.DUMMYFUNCTION("""COMPUTED_VALUE"""),"D34-2R")</f>
        <v>D34-2R</v>
      </c>
      <c r="AA32" s="131">
        <f>IFERROR(__xludf.DUMMYFUNCTION("""COMPUTED_VALUE"""),211.0)</f>
        <v>211</v>
      </c>
      <c r="AB32" s="131">
        <f>IFERROR(__xludf.DUMMYFUNCTION("""COMPUTED_VALUE"""),293.0)</f>
        <v>293</v>
      </c>
      <c r="AC32" s="131">
        <f>IFERROR(__xludf.DUMMYFUNCTION("""COMPUTED_VALUE"""),42.0)</f>
        <v>42</v>
      </c>
      <c r="AD32" s="131">
        <f>IFERROR(__xludf.DUMMYFUNCTION("""COMPUTED_VALUE"""),42.0)</f>
        <v>42</v>
      </c>
      <c r="AE32" s="131"/>
      <c r="AF32" s="131"/>
      <c r="AG32" s="131"/>
      <c r="AH32" s="131"/>
      <c r="AI32" s="131"/>
      <c r="AJ32" s="131"/>
      <c r="AK32" s="131"/>
    </row>
    <row r="33">
      <c r="A33" s="145" t="str">
        <f>IFERROR(__xludf.DUMMYFUNCTION("""COMPUTED_VALUE"""),"Y")</f>
        <v>Y</v>
      </c>
      <c r="B33" s="146" t="str">
        <f>IFERROR(__xludf.DUMMYFUNCTION("""COMPUTED_VALUE"""),"2")</f>
        <v>2</v>
      </c>
      <c r="C33" s="146" t="str">
        <f>IFERROR(__xludf.DUMMYFUNCTION("""COMPUTED_VALUE"""),"265-270")</f>
        <v>265-270</v>
      </c>
      <c r="D33" s="147">
        <f>IFERROR(__xludf.DUMMYFUNCTION("""COMPUTED_VALUE"""),45589.0)</f>
        <v>45589</v>
      </c>
      <c r="E33" s="147">
        <f>IFERROR(__xludf.DUMMYFUNCTION("""COMPUTED_VALUE"""),45596.0)</f>
        <v>45596</v>
      </c>
      <c r="F33" s="147">
        <f>IFERROR(__xludf.DUMMYFUNCTION("""COMPUTED_VALUE"""),45617.0)</f>
        <v>45617</v>
      </c>
      <c r="G33" s="146" t="str">
        <f>IFERROR(__xludf.DUMMYFUNCTION("""COMPUTED_VALUE"""),"D34-2R")</f>
        <v>D34-2R</v>
      </c>
      <c r="H33" s="148">
        <f>IFERROR(__xludf.DUMMYFUNCTION("""COMPUTED_VALUE"""),211.0)</f>
        <v>211</v>
      </c>
      <c r="I33" s="148">
        <f>IFERROR(__xludf.DUMMYFUNCTION("""COMPUTED_VALUE"""),293.0)</f>
        <v>293</v>
      </c>
      <c r="J33" s="146">
        <f>IFERROR(__xludf.DUMMYFUNCTION("""COMPUTED_VALUE"""),42.0)</f>
        <v>42</v>
      </c>
      <c r="K33" s="146">
        <f>IFERROR(__xludf.DUMMYFUNCTION("""COMPUTED_VALUE"""),42.0)</f>
        <v>42</v>
      </c>
      <c r="L33" s="146"/>
      <c r="M33" s="146"/>
      <c r="N33" s="146"/>
      <c r="O33" s="146"/>
      <c r="P33" s="146"/>
      <c r="Q33" s="146"/>
      <c r="R33" s="146"/>
      <c r="T33" s="131" t="str">
        <f>IFERROR(__xludf.DUMMYFUNCTION("""COMPUTED_VALUE"""),"Y")</f>
        <v>Y</v>
      </c>
      <c r="U33" s="131" t="str">
        <f>IFERROR(__xludf.DUMMYFUNCTION("""COMPUTED_VALUE"""),"2")</f>
        <v>2</v>
      </c>
      <c r="V33" s="131" t="str">
        <f>IFERROR(__xludf.DUMMYFUNCTION("""COMPUTED_VALUE"""),"277-282")</f>
        <v>277-282</v>
      </c>
      <c r="W33" s="144">
        <f>IFERROR(__xludf.DUMMYFUNCTION("""COMPUTED_VALUE"""),45592.0)</f>
        <v>45592</v>
      </c>
      <c r="X33" s="144">
        <f>IFERROR(__xludf.DUMMYFUNCTION("""COMPUTED_VALUE"""),45599.0)</f>
        <v>45599</v>
      </c>
      <c r="Y33" s="144">
        <f>IFERROR(__xludf.DUMMYFUNCTION("""COMPUTED_VALUE"""),45620.0)</f>
        <v>45620</v>
      </c>
      <c r="Z33" s="131" t="str">
        <f>IFERROR(__xludf.DUMMYFUNCTION("""COMPUTED_VALUE"""),"D34-1R")</f>
        <v>D34-1R</v>
      </c>
      <c r="AA33" s="131"/>
      <c r="AB33" s="131"/>
      <c r="AC33" s="131"/>
      <c r="AD33" s="131"/>
      <c r="AE33" s="131">
        <f>IFERROR(__xludf.DUMMYFUNCTION("""COMPUTED_VALUE"""),2.0)</f>
        <v>2</v>
      </c>
      <c r="AF33" s="131">
        <f>IFERROR(__xludf.DUMMYFUNCTION("""COMPUTED_VALUE"""),58.0)</f>
        <v>58</v>
      </c>
      <c r="AG33" s="131">
        <f>IFERROR(__xludf.DUMMYFUNCTION("""COMPUTED_VALUE"""),29.0)</f>
        <v>29</v>
      </c>
      <c r="AH33" s="131">
        <f>IFERROR(__xludf.DUMMYFUNCTION("""COMPUTED_VALUE"""),29.0)</f>
        <v>29</v>
      </c>
      <c r="AI33" s="131"/>
      <c r="AJ33" s="131"/>
      <c r="AK33" s="131"/>
    </row>
    <row r="34">
      <c r="A34" s="145" t="str">
        <f>IFERROR(__xludf.DUMMYFUNCTION("""COMPUTED_VALUE"""),"Y")</f>
        <v>Y</v>
      </c>
      <c r="B34" s="146" t="str">
        <f>IFERROR(__xludf.DUMMYFUNCTION("""COMPUTED_VALUE"""),"2")</f>
        <v>2</v>
      </c>
      <c r="C34" s="146" t="str">
        <f>IFERROR(__xludf.DUMMYFUNCTION("""COMPUTED_VALUE"""),"277-282")</f>
        <v>277-282</v>
      </c>
      <c r="D34" s="147">
        <f>IFERROR(__xludf.DUMMYFUNCTION("""COMPUTED_VALUE"""),45592.0)</f>
        <v>45592</v>
      </c>
      <c r="E34" s="147">
        <f>IFERROR(__xludf.DUMMYFUNCTION("""COMPUTED_VALUE"""),45599.0)</f>
        <v>45599</v>
      </c>
      <c r="F34" s="147">
        <f>IFERROR(__xludf.DUMMYFUNCTION("""COMPUTED_VALUE"""),45620.0)</f>
        <v>45620</v>
      </c>
      <c r="G34" s="146" t="str">
        <f>IFERROR(__xludf.DUMMYFUNCTION("""COMPUTED_VALUE"""),"D34-1R")</f>
        <v>D34-1R</v>
      </c>
      <c r="H34" s="148"/>
      <c r="I34" s="148"/>
      <c r="J34" s="146"/>
      <c r="K34" s="146"/>
      <c r="L34" s="146">
        <f>IFERROR(__xludf.DUMMYFUNCTION("""COMPUTED_VALUE"""),2.0)</f>
        <v>2</v>
      </c>
      <c r="M34" s="146">
        <f>IFERROR(__xludf.DUMMYFUNCTION("""COMPUTED_VALUE"""),58.0)</f>
        <v>58</v>
      </c>
      <c r="N34" s="146">
        <f>IFERROR(__xludf.DUMMYFUNCTION("""COMPUTED_VALUE"""),29.0)</f>
        <v>29</v>
      </c>
      <c r="O34" s="146">
        <f>IFERROR(__xludf.DUMMYFUNCTION("""COMPUTED_VALUE"""),29.0)</f>
        <v>29</v>
      </c>
      <c r="P34" s="146"/>
      <c r="Q34" s="146"/>
      <c r="R34" s="146"/>
      <c r="T34" s="131" t="str">
        <f>IFERROR(__xludf.DUMMYFUNCTION("""COMPUTED_VALUE"""),"Y")</f>
        <v>Y</v>
      </c>
      <c r="U34" s="131" t="str">
        <f>IFERROR(__xludf.DUMMYFUNCTION("""COMPUTED_VALUE"""),"2")</f>
        <v>2</v>
      </c>
      <c r="V34" s="131" t="str">
        <f>IFERROR(__xludf.DUMMYFUNCTION("""COMPUTED_VALUE"""),"277-282")</f>
        <v>277-282</v>
      </c>
      <c r="W34" s="144">
        <f>IFERROR(__xludf.DUMMYFUNCTION("""COMPUTED_VALUE"""),45592.0)</f>
        <v>45592</v>
      </c>
      <c r="X34" s="144">
        <f>IFERROR(__xludf.DUMMYFUNCTION("""COMPUTED_VALUE"""),45599.0)</f>
        <v>45599</v>
      </c>
      <c r="Y34" s="144">
        <f>IFERROR(__xludf.DUMMYFUNCTION("""COMPUTED_VALUE"""),45620.0)</f>
        <v>45620</v>
      </c>
      <c r="Z34" s="131" t="str">
        <f>IFERROR(__xludf.DUMMYFUNCTION("""COMPUTED_VALUE"""),"D34-1R")</f>
        <v>D34-1R</v>
      </c>
      <c r="AA34" s="131">
        <f>IFERROR(__xludf.DUMMYFUNCTION("""COMPUTED_VALUE"""),161.0)</f>
        <v>161</v>
      </c>
      <c r="AB34" s="131">
        <f>IFERROR(__xludf.DUMMYFUNCTION("""COMPUTED_VALUE"""),229.0)</f>
        <v>229</v>
      </c>
      <c r="AC34" s="131">
        <f>IFERROR(__xludf.DUMMYFUNCTION("""COMPUTED_VALUE"""),35.0)</f>
        <v>35</v>
      </c>
      <c r="AD34" s="131">
        <f>IFERROR(__xludf.DUMMYFUNCTION("""COMPUTED_VALUE"""),35.0)</f>
        <v>35</v>
      </c>
      <c r="AE34" s="131"/>
      <c r="AF34" s="131"/>
      <c r="AG34" s="131"/>
      <c r="AH34" s="131"/>
      <c r="AI34" s="131"/>
      <c r="AJ34" s="131"/>
      <c r="AK34" s="131"/>
    </row>
    <row r="35">
      <c r="A35" s="145" t="str">
        <f>IFERROR(__xludf.DUMMYFUNCTION("""COMPUTED_VALUE"""),"Y")</f>
        <v>Y</v>
      </c>
      <c r="B35" s="146" t="str">
        <f>IFERROR(__xludf.DUMMYFUNCTION("""COMPUTED_VALUE"""),"2")</f>
        <v>2</v>
      </c>
      <c r="C35" s="146" t="str">
        <f>IFERROR(__xludf.DUMMYFUNCTION("""COMPUTED_VALUE"""),"277-282")</f>
        <v>277-282</v>
      </c>
      <c r="D35" s="147">
        <f>IFERROR(__xludf.DUMMYFUNCTION("""COMPUTED_VALUE"""),45592.0)</f>
        <v>45592</v>
      </c>
      <c r="E35" s="147">
        <f>IFERROR(__xludf.DUMMYFUNCTION("""COMPUTED_VALUE"""),45599.0)</f>
        <v>45599</v>
      </c>
      <c r="F35" s="147">
        <f>IFERROR(__xludf.DUMMYFUNCTION("""COMPUTED_VALUE"""),45620.0)</f>
        <v>45620</v>
      </c>
      <c r="G35" s="146" t="str">
        <f>IFERROR(__xludf.DUMMYFUNCTION("""COMPUTED_VALUE"""),"D34-1R")</f>
        <v>D34-1R</v>
      </c>
      <c r="H35" s="148">
        <f>IFERROR(__xludf.DUMMYFUNCTION("""COMPUTED_VALUE"""),161.0)</f>
        <v>161</v>
      </c>
      <c r="I35" s="148">
        <f>IFERROR(__xludf.DUMMYFUNCTION("""COMPUTED_VALUE"""),229.0)</f>
        <v>229</v>
      </c>
      <c r="J35" s="146">
        <f>IFERROR(__xludf.DUMMYFUNCTION("""COMPUTED_VALUE"""),35.0)</f>
        <v>35</v>
      </c>
      <c r="K35" s="146">
        <f>IFERROR(__xludf.DUMMYFUNCTION("""COMPUTED_VALUE"""),35.0)</f>
        <v>35</v>
      </c>
      <c r="L35" s="146"/>
      <c r="M35" s="146"/>
      <c r="N35" s="146"/>
      <c r="O35" s="146"/>
      <c r="P35" s="146"/>
      <c r="Q35" s="146"/>
      <c r="R35" s="146"/>
      <c r="T35" s="131" t="str">
        <f>IFERROR(__xludf.DUMMYFUNCTION("""COMPUTED_VALUE"""),"Y")</f>
        <v>Y</v>
      </c>
      <c r="U35" s="131" t="str">
        <f>IFERROR(__xludf.DUMMYFUNCTION("""COMPUTED_VALUE"""),"2")</f>
        <v>2</v>
      </c>
      <c r="V35" s="131" t="str">
        <f>IFERROR(__xludf.DUMMYFUNCTION("""COMPUTED_VALUE"""),"277-282")</f>
        <v>277-282</v>
      </c>
      <c r="W35" s="144">
        <f>IFERROR(__xludf.DUMMYFUNCTION("""COMPUTED_VALUE"""),45592.0)</f>
        <v>45592</v>
      </c>
      <c r="X35" s="144">
        <f>IFERROR(__xludf.DUMMYFUNCTION("""COMPUTED_VALUE"""),45599.0)</f>
        <v>45599</v>
      </c>
      <c r="Y35" s="144">
        <f>IFERROR(__xludf.DUMMYFUNCTION("""COMPUTED_VALUE"""),45620.0)</f>
        <v>45620</v>
      </c>
      <c r="Z35" s="131" t="str">
        <f>IFERROR(__xludf.DUMMYFUNCTION("""COMPUTED_VALUE"""),"D34-1R")</f>
        <v>D34-1R</v>
      </c>
      <c r="AA35" s="131">
        <f>IFERROR(__xludf.DUMMYFUNCTION("""COMPUTED_VALUE"""),243.0)</f>
        <v>243</v>
      </c>
      <c r="AB35" s="131">
        <f>IFERROR(__xludf.DUMMYFUNCTION("""COMPUTED_VALUE"""),275.0)</f>
        <v>275</v>
      </c>
      <c r="AC35" s="131">
        <f>IFERROR(__xludf.DUMMYFUNCTION("""COMPUTED_VALUE"""),17.0)</f>
        <v>17</v>
      </c>
      <c r="AD35" s="131">
        <f>IFERROR(__xludf.DUMMYFUNCTION("""COMPUTED_VALUE"""),17.0)</f>
        <v>17</v>
      </c>
      <c r="AE35" s="131"/>
      <c r="AF35" s="131"/>
      <c r="AG35" s="131"/>
      <c r="AH35" s="131"/>
      <c r="AI35" s="131"/>
      <c r="AJ35" s="131"/>
      <c r="AK35" s="131"/>
    </row>
    <row r="36">
      <c r="A36" s="145" t="str">
        <f>IFERROR(__xludf.DUMMYFUNCTION("""COMPUTED_VALUE"""),"Y")</f>
        <v>Y</v>
      </c>
      <c r="B36" s="146" t="str">
        <f>IFERROR(__xludf.DUMMYFUNCTION("""COMPUTED_VALUE"""),"2")</f>
        <v>2</v>
      </c>
      <c r="C36" s="146" t="str">
        <f>IFERROR(__xludf.DUMMYFUNCTION("""COMPUTED_VALUE"""),"277-282")</f>
        <v>277-282</v>
      </c>
      <c r="D36" s="147">
        <f>IFERROR(__xludf.DUMMYFUNCTION("""COMPUTED_VALUE"""),45592.0)</f>
        <v>45592</v>
      </c>
      <c r="E36" s="147">
        <f>IFERROR(__xludf.DUMMYFUNCTION("""COMPUTED_VALUE"""),45599.0)</f>
        <v>45599</v>
      </c>
      <c r="F36" s="147">
        <f>IFERROR(__xludf.DUMMYFUNCTION("""COMPUTED_VALUE"""),45620.0)</f>
        <v>45620</v>
      </c>
      <c r="G36" s="146" t="str">
        <f>IFERROR(__xludf.DUMMYFUNCTION("""COMPUTED_VALUE"""),"D34-1R")</f>
        <v>D34-1R</v>
      </c>
      <c r="H36" s="148">
        <f>IFERROR(__xludf.DUMMYFUNCTION("""COMPUTED_VALUE"""),243.0)</f>
        <v>243</v>
      </c>
      <c r="I36" s="148">
        <f>IFERROR(__xludf.DUMMYFUNCTION("""COMPUTED_VALUE"""),275.0)</f>
        <v>275</v>
      </c>
      <c r="J36" s="146">
        <f>IFERROR(__xludf.DUMMYFUNCTION("""COMPUTED_VALUE"""),17.0)</f>
        <v>17</v>
      </c>
      <c r="K36" s="146">
        <f>IFERROR(__xludf.DUMMYFUNCTION("""COMPUTED_VALUE"""),17.0)</f>
        <v>17</v>
      </c>
      <c r="L36" s="146"/>
      <c r="M36" s="146"/>
      <c r="N36" s="146"/>
      <c r="O36" s="146"/>
      <c r="P36" s="146"/>
      <c r="Q36" s="146"/>
      <c r="R36" s="146"/>
      <c r="T36" s="131" t="str">
        <f>IFERROR(__xludf.DUMMYFUNCTION("""COMPUTED_VALUE"""),"Y")</f>
        <v>Y</v>
      </c>
      <c r="U36" s="131" t="str">
        <f>IFERROR(__xludf.DUMMYFUNCTION("""COMPUTED_VALUE"""),"2")</f>
        <v>2</v>
      </c>
      <c r="V36" s="131" t="str">
        <f>IFERROR(__xludf.DUMMYFUNCTION("""COMPUTED_VALUE"""),"283-288")</f>
        <v>283-288</v>
      </c>
      <c r="W36" s="144">
        <f>IFERROR(__xludf.DUMMYFUNCTION("""COMPUTED_VALUE"""),45593.0)</f>
        <v>45593</v>
      </c>
      <c r="X36" s="144">
        <f>IFERROR(__xludf.DUMMYFUNCTION("""COMPUTED_VALUE"""),45600.0)</f>
        <v>45600</v>
      </c>
      <c r="Y36" s="144">
        <f>IFERROR(__xludf.DUMMYFUNCTION("""COMPUTED_VALUE"""),45621.0)</f>
        <v>45621</v>
      </c>
      <c r="Z36" s="131" t="str">
        <f>IFERROR(__xludf.DUMMYFUNCTION("""COMPUTED_VALUE"""),"D34-1R")</f>
        <v>D34-1R</v>
      </c>
      <c r="AA36" s="131">
        <f>IFERROR(__xludf.DUMMYFUNCTION("""COMPUTED_VALUE"""),277.0)</f>
        <v>277</v>
      </c>
      <c r="AB36" s="131">
        <f>IFERROR(__xludf.DUMMYFUNCTION("""COMPUTED_VALUE"""),291.0)</f>
        <v>291</v>
      </c>
      <c r="AC36" s="131">
        <f>IFERROR(__xludf.DUMMYFUNCTION("""COMPUTED_VALUE"""),8.0)</f>
        <v>8</v>
      </c>
      <c r="AD36" s="131">
        <f>IFERROR(__xludf.DUMMYFUNCTION("""COMPUTED_VALUE"""),8.0)</f>
        <v>8</v>
      </c>
      <c r="AE36" s="131">
        <f>IFERROR(__xludf.DUMMYFUNCTION("""COMPUTED_VALUE"""),60.0)</f>
        <v>60</v>
      </c>
      <c r="AF36" s="131">
        <f>IFERROR(__xludf.DUMMYFUNCTION("""COMPUTED_VALUE"""),268.0)</f>
        <v>268</v>
      </c>
      <c r="AG36" s="131">
        <f>IFERROR(__xludf.DUMMYFUNCTION("""COMPUTED_VALUE"""),105.0)</f>
        <v>105</v>
      </c>
      <c r="AH36" s="131">
        <f>IFERROR(__xludf.DUMMYFUNCTION("""COMPUTED_VALUE"""),105.0)</f>
        <v>105</v>
      </c>
      <c r="AI36" s="131"/>
      <c r="AJ36" s="131"/>
      <c r="AK36" s="131"/>
    </row>
    <row r="37">
      <c r="A37" s="145" t="str">
        <f>IFERROR(__xludf.DUMMYFUNCTION("""COMPUTED_VALUE"""),"Y")</f>
        <v>Y</v>
      </c>
      <c r="B37" s="146" t="str">
        <f>IFERROR(__xludf.DUMMYFUNCTION("""COMPUTED_VALUE"""),"2")</f>
        <v>2</v>
      </c>
      <c r="C37" s="146" t="str">
        <f>IFERROR(__xludf.DUMMYFUNCTION("""COMPUTED_VALUE"""),"283-288")</f>
        <v>283-288</v>
      </c>
      <c r="D37" s="147">
        <f>IFERROR(__xludf.DUMMYFUNCTION("""COMPUTED_VALUE"""),45593.0)</f>
        <v>45593</v>
      </c>
      <c r="E37" s="147">
        <f>IFERROR(__xludf.DUMMYFUNCTION("""COMPUTED_VALUE"""),45600.0)</f>
        <v>45600</v>
      </c>
      <c r="F37" s="147">
        <f>IFERROR(__xludf.DUMMYFUNCTION("""COMPUTED_VALUE"""),45621.0)</f>
        <v>45621</v>
      </c>
      <c r="G37" s="146" t="str">
        <f>IFERROR(__xludf.DUMMYFUNCTION("""COMPUTED_VALUE"""),"D34-1R")</f>
        <v>D34-1R</v>
      </c>
      <c r="H37" s="148">
        <f>IFERROR(__xludf.DUMMYFUNCTION("""COMPUTED_VALUE"""),277.0)</f>
        <v>277</v>
      </c>
      <c r="I37" s="148">
        <f>IFERROR(__xludf.DUMMYFUNCTION("""COMPUTED_VALUE"""),291.0)</f>
        <v>291</v>
      </c>
      <c r="J37" s="146">
        <f>IFERROR(__xludf.DUMMYFUNCTION("""COMPUTED_VALUE"""),8.0)</f>
        <v>8</v>
      </c>
      <c r="K37" s="146">
        <f>IFERROR(__xludf.DUMMYFUNCTION("""COMPUTED_VALUE"""),8.0)</f>
        <v>8</v>
      </c>
      <c r="L37" s="146">
        <f>IFERROR(__xludf.DUMMYFUNCTION("""COMPUTED_VALUE"""),60.0)</f>
        <v>60</v>
      </c>
      <c r="M37" s="146">
        <f>IFERROR(__xludf.DUMMYFUNCTION("""COMPUTED_VALUE"""),268.0)</f>
        <v>268</v>
      </c>
      <c r="N37" s="146">
        <f>IFERROR(__xludf.DUMMYFUNCTION("""COMPUTED_VALUE"""),105.0)</f>
        <v>105</v>
      </c>
      <c r="O37" s="146">
        <f>IFERROR(__xludf.DUMMYFUNCTION("""COMPUTED_VALUE"""),105.0)</f>
        <v>105</v>
      </c>
      <c r="P37" s="146"/>
      <c r="Q37" s="146"/>
      <c r="R37" s="146"/>
      <c r="T37" s="131" t="str">
        <f>IFERROR(__xludf.DUMMYFUNCTION("""COMPUTED_VALUE"""),"Y")</f>
        <v>Y</v>
      </c>
      <c r="U37" s="131" t="str">
        <f>IFERROR(__xludf.DUMMYFUNCTION("""COMPUTED_VALUE"""),"2")</f>
        <v>2</v>
      </c>
      <c r="V37" s="131" t="str">
        <f>IFERROR(__xludf.DUMMYFUNCTION("""COMPUTED_VALUE"""),"289-294")</f>
        <v>289-294</v>
      </c>
      <c r="W37" s="144">
        <f>IFERROR(__xludf.DUMMYFUNCTION("""COMPUTED_VALUE"""),45594.0)</f>
        <v>45594</v>
      </c>
      <c r="X37" s="144">
        <f>IFERROR(__xludf.DUMMYFUNCTION("""COMPUTED_VALUE"""),45601.0)</f>
        <v>45601</v>
      </c>
      <c r="Y37" s="144">
        <f>IFERROR(__xludf.DUMMYFUNCTION("""COMPUTED_VALUE"""),45622.0)</f>
        <v>45622</v>
      </c>
      <c r="Z37" s="131" t="str">
        <f>IFERROR(__xludf.DUMMYFUNCTION("""COMPUTED_VALUE"""),"D34-3R")</f>
        <v>D34-3R</v>
      </c>
      <c r="AA37" s="131">
        <f>IFERROR(__xludf.DUMMYFUNCTION("""COMPUTED_VALUE"""),9.0)</f>
        <v>9</v>
      </c>
      <c r="AB37" s="131">
        <f>IFERROR(__xludf.DUMMYFUNCTION("""COMPUTED_VALUE"""),95.0)</f>
        <v>95</v>
      </c>
      <c r="AC37" s="131">
        <f>IFERROR(__xludf.DUMMYFUNCTION("""COMPUTED_VALUE"""),44.0)</f>
        <v>44</v>
      </c>
      <c r="AD37" s="131">
        <f>IFERROR(__xludf.DUMMYFUNCTION("""COMPUTED_VALUE"""),44.0)</f>
        <v>44</v>
      </c>
      <c r="AE37" s="131"/>
      <c r="AF37" s="131"/>
      <c r="AG37" s="131"/>
      <c r="AH37" s="131"/>
      <c r="AI37" s="131"/>
      <c r="AJ37" s="131"/>
      <c r="AK37" s="131"/>
    </row>
    <row r="38">
      <c r="A38" s="145" t="str">
        <f>IFERROR(__xludf.DUMMYFUNCTION("""COMPUTED_VALUE"""),"Y")</f>
        <v>Y</v>
      </c>
      <c r="B38" s="146" t="str">
        <f>IFERROR(__xludf.DUMMYFUNCTION("""COMPUTED_VALUE"""),"2")</f>
        <v>2</v>
      </c>
      <c r="C38" s="146" t="str">
        <f>IFERROR(__xludf.DUMMYFUNCTION("""COMPUTED_VALUE"""),"289-294")</f>
        <v>289-294</v>
      </c>
      <c r="D38" s="147">
        <f>IFERROR(__xludf.DUMMYFUNCTION("""COMPUTED_VALUE"""),45594.0)</f>
        <v>45594</v>
      </c>
      <c r="E38" s="147">
        <f>IFERROR(__xludf.DUMMYFUNCTION("""COMPUTED_VALUE"""),45601.0)</f>
        <v>45601</v>
      </c>
      <c r="F38" s="147">
        <f>IFERROR(__xludf.DUMMYFUNCTION("""COMPUTED_VALUE"""),45622.0)</f>
        <v>45622</v>
      </c>
      <c r="G38" s="146" t="str">
        <f>IFERROR(__xludf.DUMMYFUNCTION("""COMPUTED_VALUE"""),"D34-3R")</f>
        <v>D34-3R</v>
      </c>
      <c r="H38" s="148">
        <f>IFERROR(__xludf.DUMMYFUNCTION("""COMPUTED_VALUE"""),9.0)</f>
        <v>9</v>
      </c>
      <c r="I38" s="148">
        <f>IFERROR(__xludf.DUMMYFUNCTION("""COMPUTED_VALUE"""),95.0)</f>
        <v>95</v>
      </c>
      <c r="J38" s="146">
        <f>IFERROR(__xludf.DUMMYFUNCTION("""COMPUTED_VALUE"""),44.0)</f>
        <v>44</v>
      </c>
      <c r="K38" s="146">
        <f>IFERROR(__xludf.DUMMYFUNCTION("""COMPUTED_VALUE"""),44.0)</f>
        <v>44</v>
      </c>
      <c r="L38" s="146"/>
      <c r="M38" s="146"/>
      <c r="N38" s="146"/>
      <c r="O38" s="146"/>
      <c r="P38" s="146"/>
      <c r="Q38" s="146"/>
      <c r="R38" s="146"/>
      <c r="T38" s="131" t="str">
        <f>IFERROR(__xludf.DUMMYFUNCTION("""COMPUTED_VALUE"""),"Y")</f>
        <v>Y</v>
      </c>
      <c r="U38" s="131" t="str">
        <f>IFERROR(__xludf.DUMMYFUNCTION("""COMPUTED_VALUE"""),"2")</f>
        <v>2</v>
      </c>
      <c r="V38" s="131" t="str">
        <f>IFERROR(__xludf.DUMMYFUNCTION("""COMPUTED_VALUE"""),"289-294")</f>
        <v>289-294</v>
      </c>
      <c r="W38" s="144">
        <f>IFERROR(__xludf.DUMMYFUNCTION("""COMPUTED_VALUE"""),45594.0)</f>
        <v>45594</v>
      </c>
      <c r="X38" s="144">
        <f>IFERROR(__xludf.DUMMYFUNCTION("""COMPUTED_VALUE"""),45601.0)</f>
        <v>45601</v>
      </c>
      <c r="Y38" s="144">
        <f>IFERROR(__xludf.DUMMYFUNCTION("""COMPUTED_VALUE"""),45622.0)</f>
        <v>45622</v>
      </c>
      <c r="Z38" s="131" t="str">
        <f>IFERROR(__xludf.DUMMYFUNCTION("""COMPUTED_VALUE"""),"D34-2R")</f>
        <v>D34-2R</v>
      </c>
      <c r="AA38" s="131">
        <f>IFERROR(__xludf.DUMMYFUNCTION("""COMPUTED_VALUE"""),295.0)</f>
        <v>295</v>
      </c>
      <c r="AB38" s="131">
        <f>IFERROR(__xludf.DUMMYFUNCTION("""COMPUTED_VALUE"""),297.0)</f>
        <v>297</v>
      </c>
      <c r="AC38" s="131">
        <f>IFERROR(__xludf.DUMMYFUNCTION("""COMPUTED_VALUE"""),2.0)</f>
        <v>2</v>
      </c>
      <c r="AD38" s="131">
        <f>IFERROR(__xludf.DUMMYFUNCTION("""COMPUTED_VALUE"""),2.0)</f>
        <v>2</v>
      </c>
      <c r="AE38" s="131">
        <f>IFERROR(__xludf.DUMMYFUNCTION("""COMPUTED_VALUE"""),162.0)</f>
        <v>162</v>
      </c>
      <c r="AF38" s="131">
        <f>IFERROR(__xludf.DUMMYFUNCTION("""COMPUTED_VALUE"""),200.0)</f>
        <v>200</v>
      </c>
      <c r="AG38" s="131">
        <f>IFERROR(__xludf.DUMMYFUNCTION("""COMPUTED_VALUE"""),20.0)</f>
        <v>20</v>
      </c>
      <c r="AH38" s="131">
        <f>IFERROR(__xludf.DUMMYFUNCTION("""COMPUTED_VALUE"""),20.0)</f>
        <v>20</v>
      </c>
      <c r="AI38" s="131"/>
      <c r="AJ38" s="131"/>
      <c r="AK38" s="131"/>
    </row>
    <row r="39">
      <c r="A39" s="145" t="str">
        <f>IFERROR(__xludf.DUMMYFUNCTION("""COMPUTED_VALUE"""),"Y")</f>
        <v>Y</v>
      </c>
      <c r="B39" s="146" t="str">
        <f>IFERROR(__xludf.DUMMYFUNCTION("""COMPUTED_VALUE"""),"2")</f>
        <v>2</v>
      </c>
      <c r="C39" s="146" t="str">
        <f>IFERROR(__xludf.DUMMYFUNCTION("""COMPUTED_VALUE"""),"289-294")</f>
        <v>289-294</v>
      </c>
      <c r="D39" s="147">
        <f>IFERROR(__xludf.DUMMYFUNCTION("""COMPUTED_VALUE"""),45594.0)</f>
        <v>45594</v>
      </c>
      <c r="E39" s="147">
        <f>IFERROR(__xludf.DUMMYFUNCTION("""COMPUTED_VALUE"""),45601.0)</f>
        <v>45601</v>
      </c>
      <c r="F39" s="147">
        <f>IFERROR(__xludf.DUMMYFUNCTION("""COMPUTED_VALUE"""),45622.0)</f>
        <v>45622</v>
      </c>
      <c r="G39" s="146" t="str">
        <f>IFERROR(__xludf.DUMMYFUNCTION("""COMPUTED_VALUE"""),"D34-2R")</f>
        <v>D34-2R</v>
      </c>
      <c r="H39" s="148">
        <f>IFERROR(__xludf.DUMMYFUNCTION("""COMPUTED_VALUE"""),295.0)</f>
        <v>295</v>
      </c>
      <c r="I39" s="148">
        <f>IFERROR(__xludf.DUMMYFUNCTION("""COMPUTED_VALUE"""),297.0)</f>
        <v>297</v>
      </c>
      <c r="J39" s="146">
        <f>IFERROR(__xludf.DUMMYFUNCTION("""COMPUTED_VALUE"""),2.0)</f>
        <v>2</v>
      </c>
      <c r="K39" s="146">
        <f>IFERROR(__xludf.DUMMYFUNCTION("""COMPUTED_VALUE"""),2.0)</f>
        <v>2</v>
      </c>
      <c r="L39" s="146">
        <f>IFERROR(__xludf.DUMMYFUNCTION("""COMPUTED_VALUE"""),162.0)</f>
        <v>162</v>
      </c>
      <c r="M39" s="146">
        <f>IFERROR(__xludf.DUMMYFUNCTION("""COMPUTED_VALUE"""),200.0)</f>
        <v>200</v>
      </c>
      <c r="N39" s="146">
        <f>IFERROR(__xludf.DUMMYFUNCTION("""COMPUTED_VALUE"""),20.0)</f>
        <v>20</v>
      </c>
      <c r="O39" s="146">
        <f>IFERROR(__xludf.DUMMYFUNCTION("""COMPUTED_VALUE"""),20.0)</f>
        <v>20</v>
      </c>
      <c r="P39" s="146"/>
      <c r="Q39" s="146"/>
      <c r="R39" s="146"/>
      <c r="T39" s="131" t="str">
        <f>IFERROR(__xludf.DUMMYFUNCTION("""COMPUTED_VALUE"""),"Y")</f>
        <v>Y</v>
      </c>
      <c r="U39" s="131" t="str">
        <f>IFERROR(__xludf.DUMMYFUNCTION("""COMPUTED_VALUE"""),"2")</f>
        <v>2</v>
      </c>
      <c r="V39" s="131" t="str">
        <f>IFERROR(__xludf.DUMMYFUNCTION("""COMPUTED_VALUE"""),"289-294")</f>
        <v>289-294</v>
      </c>
      <c r="W39" s="144">
        <f>IFERROR(__xludf.DUMMYFUNCTION("""COMPUTED_VALUE"""),45594.0)</f>
        <v>45594</v>
      </c>
      <c r="X39" s="144">
        <f>IFERROR(__xludf.DUMMYFUNCTION("""COMPUTED_VALUE"""),45601.0)</f>
        <v>45601</v>
      </c>
      <c r="Y39" s="144">
        <f>IFERROR(__xludf.DUMMYFUNCTION("""COMPUTED_VALUE"""),45622.0)</f>
        <v>45622</v>
      </c>
      <c r="Z39" s="131" t="str">
        <f>IFERROR(__xludf.DUMMYFUNCTION("""COMPUTED_VALUE"""),"D34-2R")</f>
        <v>D34-2R</v>
      </c>
      <c r="AA39" s="131"/>
      <c r="AB39" s="131"/>
      <c r="AC39" s="131"/>
      <c r="AD39" s="131"/>
      <c r="AE39" s="131">
        <f>IFERROR(__xludf.DUMMYFUNCTION("""COMPUTED_VALUE"""),212.0)</f>
        <v>212</v>
      </c>
      <c r="AF39" s="131">
        <f>IFERROR(__xludf.DUMMYFUNCTION("""COMPUTED_VALUE"""),292.0)</f>
        <v>292</v>
      </c>
      <c r="AG39" s="131">
        <f>IFERROR(__xludf.DUMMYFUNCTION("""COMPUTED_VALUE"""),41.0)</f>
        <v>41</v>
      </c>
      <c r="AH39" s="131">
        <f>IFERROR(__xludf.DUMMYFUNCTION("""COMPUTED_VALUE"""),41.0)</f>
        <v>41</v>
      </c>
      <c r="AI39" s="131"/>
      <c r="AJ39" s="131"/>
      <c r="AK39" s="131"/>
    </row>
    <row r="40">
      <c r="A40" s="145" t="str">
        <f>IFERROR(__xludf.DUMMYFUNCTION("""COMPUTED_VALUE"""),"Y")</f>
        <v>Y</v>
      </c>
      <c r="B40" s="146" t="str">
        <f>IFERROR(__xludf.DUMMYFUNCTION("""COMPUTED_VALUE"""),"2")</f>
        <v>2</v>
      </c>
      <c r="C40" s="146" t="str">
        <f>IFERROR(__xludf.DUMMYFUNCTION("""COMPUTED_VALUE"""),"289-294")</f>
        <v>289-294</v>
      </c>
      <c r="D40" s="147">
        <f>IFERROR(__xludf.DUMMYFUNCTION("""COMPUTED_VALUE"""),45594.0)</f>
        <v>45594</v>
      </c>
      <c r="E40" s="147">
        <f>IFERROR(__xludf.DUMMYFUNCTION("""COMPUTED_VALUE"""),45601.0)</f>
        <v>45601</v>
      </c>
      <c r="F40" s="147">
        <f>IFERROR(__xludf.DUMMYFUNCTION("""COMPUTED_VALUE"""),45622.0)</f>
        <v>45622</v>
      </c>
      <c r="G40" s="146" t="str">
        <f>IFERROR(__xludf.DUMMYFUNCTION("""COMPUTED_VALUE"""),"D34-2R")</f>
        <v>D34-2R</v>
      </c>
      <c r="H40" s="148"/>
      <c r="I40" s="148"/>
      <c r="J40" s="146"/>
      <c r="K40" s="146"/>
      <c r="L40" s="146">
        <f>IFERROR(__xludf.DUMMYFUNCTION("""COMPUTED_VALUE"""),212.0)</f>
        <v>212</v>
      </c>
      <c r="M40" s="146">
        <f>IFERROR(__xludf.DUMMYFUNCTION("""COMPUTED_VALUE"""),292.0)</f>
        <v>292</v>
      </c>
      <c r="N40" s="146">
        <f>IFERROR(__xludf.DUMMYFUNCTION("""COMPUTED_VALUE"""),41.0)</f>
        <v>41</v>
      </c>
      <c r="O40" s="146">
        <f>IFERROR(__xludf.DUMMYFUNCTION("""COMPUTED_VALUE"""),41.0)</f>
        <v>41</v>
      </c>
      <c r="P40" s="146"/>
      <c r="Q40" s="146"/>
      <c r="R40" s="146"/>
      <c r="T40" s="131" t="str">
        <f>IFERROR(__xludf.DUMMYFUNCTION("""COMPUTED_VALUE"""),"Y")</f>
        <v>Y</v>
      </c>
      <c r="U40" s="131" t="str">
        <f>IFERROR(__xludf.DUMMYFUNCTION("""COMPUTED_VALUE"""),"2")</f>
        <v>2</v>
      </c>
      <c r="V40" s="131" t="str">
        <f>IFERROR(__xludf.DUMMYFUNCTION("""COMPUTED_VALUE"""),"295-300")</f>
        <v>295-300</v>
      </c>
      <c r="W40" s="144">
        <f>IFERROR(__xludf.DUMMYFUNCTION("""COMPUTED_VALUE"""),45595.0)</f>
        <v>45595</v>
      </c>
      <c r="X40" s="144">
        <f>IFERROR(__xludf.DUMMYFUNCTION("""COMPUTED_VALUE"""),45602.0)</f>
        <v>45602</v>
      </c>
      <c r="Y40" s="144">
        <f>IFERROR(__xludf.DUMMYFUNCTION("""COMPUTED_VALUE"""),45623.0)</f>
        <v>45623</v>
      </c>
      <c r="Z40" s="131" t="str">
        <f>IFERROR(__xludf.DUMMYFUNCTION("""COMPUTED_VALUE"""),"D34-3R")</f>
        <v>D34-3R</v>
      </c>
      <c r="AA40" s="131">
        <f>IFERROR(__xludf.DUMMYFUNCTION("""COMPUTED_VALUE"""),97.0)</f>
        <v>97</v>
      </c>
      <c r="AB40" s="131">
        <f>IFERROR(__xludf.DUMMYFUNCTION("""COMPUTED_VALUE"""),147.0)</f>
        <v>147</v>
      </c>
      <c r="AC40" s="131">
        <f>IFERROR(__xludf.DUMMYFUNCTION("""COMPUTED_VALUE"""),26.0)</f>
        <v>26</v>
      </c>
      <c r="AD40" s="131">
        <f>IFERROR(__xludf.DUMMYFUNCTION("""COMPUTED_VALUE"""),26.0)</f>
        <v>26</v>
      </c>
      <c r="AE40" s="131">
        <f>IFERROR(__xludf.DUMMYFUNCTION("""COMPUTED_VALUE"""),10.0)</f>
        <v>10</v>
      </c>
      <c r="AF40" s="131">
        <f>IFERROR(__xludf.DUMMYFUNCTION("""COMPUTED_VALUE"""),46.0)</f>
        <v>46</v>
      </c>
      <c r="AG40" s="131">
        <f>IFERROR(__xludf.DUMMYFUNCTION("""COMPUTED_VALUE"""),19.0)</f>
        <v>19</v>
      </c>
      <c r="AH40" s="131">
        <f>IFERROR(__xludf.DUMMYFUNCTION("""COMPUTED_VALUE"""),19.0)</f>
        <v>19</v>
      </c>
      <c r="AI40" s="131"/>
      <c r="AJ40" s="131"/>
      <c r="AK40" s="131"/>
    </row>
    <row r="41">
      <c r="A41" s="145" t="str">
        <f>IFERROR(__xludf.DUMMYFUNCTION("""COMPUTED_VALUE"""),"Y")</f>
        <v>Y</v>
      </c>
      <c r="B41" s="146" t="str">
        <f>IFERROR(__xludf.DUMMYFUNCTION("""COMPUTED_VALUE"""),"2")</f>
        <v>2</v>
      </c>
      <c r="C41" s="146" t="str">
        <f>IFERROR(__xludf.DUMMYFUNCTION("""COMPUTED_VALUE"""),"295-300")</f>
        <v>295-300</v>
      </c>
      <c r="D41" s="147">
        <f>IFERROR(__xludf.DUMMYFUNCTION("""COMPUTED_VALUE"""),45595.0)</f>
        <v>45595</v>
      </c>
      <c r="E41" s="147">
        <f>IFERROR(__xludf.DUMMYFUNCTION("""COMPUTED_VALUE"""),45602.0)</f>
        <v>45602</v>
      </c>
      <c r="F41" s="147">
        <f>IFERROR(__xludf.DUMMYFUNCTION("""COMPUTED_VALUE"""),45623.0)</f>
        <v>45623</v>
      </c>
      <c r="G41" s="146" t="str">
        <f>IFERROR(__xludf.DUMMYFUNCTION("""COMPUTED_VALUE"""),"D34-3R")</f>
        <v>D34-3R</v>
      </c>
      <c r="H41" s="148">
        <f>IFERROR(__xludf.DUMMYFUNCTION("""COMPUTED_VALUE"""),97.0)</f>
        <v>97</v>
      </c>
      <c r="I41" s="148">
        <f>IFERROR(__xludf.DUMMYFUNCTION("""COMPUTED_VALUE"""),147.0)</f>
        <v>147</v>
      </c>
      <c r="J41" s="146">
        <f>IFERROR(__xludf.DUMMYFUNCTION("""COMPUTED_VALUE"""),26.0)</f>
        <v>26</v>
      </c>
      <c r="K41" s="146">
        <f>IFERROR(__xludf.DUMMYFUNCTION("""COMPUTED_VALUE"""),26.0)</f>
        <v>26</v>
      </c>
      <c r="L41" s="146">
        <f>IFERROR(__xludf.DUMMYFUNCTION("""COMPUTED_VALUE"""),10.0)</f>
        <v>10</v>
      </c>
      <c r="M41" s="146">
        <f>IFERROR(__xludf.DUMMYFUNCTION("""COMPUTED_VALUE"""),46.0)</f>
        <v>46</v>
      </c>
      <c r="N41" s="146">
        <f>IFERROR(__xludf.DUMMYFUNCTION("""COMPUTED_VALUE"""),19.0)</f>
        <v>19</v>
      </c>
      <c r="O41" s="146">
        <f>IFERROR(__xludf.DUMMYFUNCTION("""COMPUTED_VALUE"""),19.0)</f>
        <v>19</v>
      </c>
      <c r="P41" s="146"/>
      <c r="Q41" s="146"/>
      <c r="R41" s="146"/>
      <c r="T41" s="131" t="str">
        <f>IFERROR(__xludf.DUMMYFUNCTION("""COMPUTED_VALUE"""),"Y")</f>
        <v>Y</v>
      </c>
      <c r="U41" s="131" t="str">
        <f>IFERROR(__xludf.DUMMYFUNCTION("""COMPUTED_VALUE"""),"2")</f>
        <v>2</v>
      </c>
      <c r="V41" s="131" t="str">
        <f>IFERROR(__xludf.DUMMYFUNCTION("""COMPUTED_VALUE"""),"295-300")</f>
        <v>295-300</v>
      </c>
      <c r="W41" s="144">
        <f>IFERROR(__xludf.DUMMYFUNCTION("""COMPUTED_VALUE"""),45595.0)</f>
        <v>45595</v>
      </c>
      <c r="X41" s="144">
        <f>IFERROR(__xludf.DUMMYFUNCTION("""COMPUTED_VALUE"""),45602.0)</f>
        <v>45602</v>
      </c>
      <c r="Y41" s="144">
        <f>IFERROR(__xludf.DUMMYFUNCTION("""COMPUTED_VALUE"""),45623.0)</f>
        <v>45623</v>
      </c>
      <c r="Z41" s="131" t="str">
        <f>IFERROR(__xludf.DUMMYFUNCTION("""COMPUTED_VALUE"""),"D34-3R")</f>
        <v>D34-3R</v>
      </c>
      <c r="AA41" s="131">
        <f>IFERROR(__xludf.DUMMYFUNCTION("""COMPUTED_VALUE"""),159.0)</f>
        <v>159</v>
      </c>
      <c r="AB41" s="131">
        <f>IFERROR(__xludf.DUMMYFUNCTION("""COMPUTED_VALUE"""),303.0)</f>
        <v>303</v>
      </c>
      <c r="AC41" s="131">
        <f>IFERROR(__xludf.DUMMYFUNCTION("""COMPUTED_VALUE"""),73.0)</f>
        <v>73</v>
      </c>
      <c r="AD41" s="131">
        <f>IFERROR(__xludf.DUMMYFUNCTION("""COMPUTED_VALUE"""),73.0)</f>
        <v>73</v>
      </c>
      <c r="AE41" s="131"/>
      <c r="AF41" s="131"/>
      <c r="AG41" s="131"/>
      <c r="AH41" s="131"/>
      <c r="AI41" s="131"/>
      <c r="AJ41" s="131"/>
      <c r="AK41" s="131"/>
    </row>
    <row r="42">
      <c r="A42" s="145" t="str">
        <f>IFERROR(__xludf.DUMMYFUNCTION("""COMPUTED_VALUE"""),"Y")</f>
        <v>Y</v>
      </c>
      <c r="B42" s="146" t="str">
        <f>IFERROR(__xludf.DUMMYFUNCTION("""COMPUTED_VALUE"""),"2")</f>
        <v>2</v>
      </c>
      <c r="C42" s="146" t="str">
        <f>IFERROR(__xludf.DUMMYFUNCTION("""COMPUTED_VALUE"""),"295-300")</f>
        <v>295-300</v>
      </c>
      <c r="D42" s="147">
        <f>IFERROR(__xludf.DUMMYFUNCTION("""COMPUTED_VALUE"""),45595.0)</f>
        <v>45595</v>
      </c>
      <c r="E42" s="147">
        <f>IFERROR(__xludf.DUMMYFUNCTION("""COMPUTED_VALUE"""),45602.0)</f>
        <v>45602</v>
      </c>
      <c r="F42" s="147">
        <f>IFERROR(__xludf.DUMMYFUNCTION("""COMPUTED_VALUE"""),45623.0)</f>
        <v>45623</v>
      </c>
      <c r="G42" s="146" t="str">
        <f>IFERROR(__xludf.DUMMYFUNCTION("""COMPUTED_VALUE"""),"D34-3R")</f>
        <v>D34-3R</v>
      </c>
      <c r="H42" s="148">
        <f>IFERROR(__xludf.DUMMYFUNCTION("""COMPUTED_VALUE"""),159.0)</f>
        <v>159</v>
      </c>
      <c r="I42" s="148">
        <f>IFERROR(__xludf.DUMMYFUNCTION("""COMPUTED_VALUE"""),303.0)</f>
        <v>303</v>
      </c>
      <c r="J42" s="146">
        <f>IFERROR(__xludf.DUMMYFUNCTION("""COMPUTED_VALUE"""),73.0)</f>
        <v>73</v>
      </c>
      <c r="K42" s="146">
        <f>IFERROR(__xludf.DUMMYFUNCTION("""COMPUTED_VALUE"""),73.0)</f>
        <v>73</v>
      </c>
      <c r="L42" s="146"/>
      <c r="M42" s="146"/>
      <c r="N42" s="146"/>
      <c r="O42" s="146"/>
      <c r="P42" s="146"/>
      <c r="Q42" s="146"/>
      <c r="R42" s="146"/>
      <c r="T42" s="131" t="str">
        <f>IFERROR(__xludf.DUMMYFUNCTION("""COMPUTED_VALUE"""),"Y")</f>
        <v>Y</v>
      </c>
      <c r="U42" s="131" t="str">
        <f>IFERROR(__xludf.DUMMYFUNCTION("""COMPUTED_VALUE"""),"2")</f>
        <v>2</v>
      </c>
      <c r="V42" s="131" t="str">
        <f>IFERROR(__xludf.DUMMYFUNCTION("""COMPUTED_VALUE"""),"307 to 312")</f>
        <v>307 to 312</v>
      </c>
      <c r="W42" s="144">
        <f>IFERROR(__xludf.DUMMYFUNCTION("""COMPUTED_VALUE"""),45596.0)</f>
        <v>45596</v>
      </c>
      <c r="X42" s="144">
        <f>IFERROR(__xludf.DUMMYFUNCTION("""COMPUTED_VALUE"""),45603.0)</f>
        <v>45603</v>
      </c>
      <c r="Y42" s="144">
        <f>IFERROR(__xludf.DUMMYFUNCTION("""COMPUTED_VALUE"""),45624.0)</f>
        <v>45624</v>
      </c>
      <c r="Z42" s="131" t="str">
        <f>IFERROR(__xludf.DUMMYFUNCTION("""COMPUTED_VALUE"""),"D34-3R")</f>
        <v>D34-3R</v>
      </c>
      <c r="AA42" s="131"/>
      <c r="AB42" s="131"/>
      <c r="AC42" s="131"/>
      <c r="AD42" s="131"/>
      <c r="AE42" s="131">
        <f>IFERROR(__xludf.DUMMYFUNCTION("""COMPUTED_VALUE"""),48.0)</f>
        <v>48</v>
      </c>
      <c r="AF42" s="131">
        <f>IFERROR(__xludf.DUMMYFUNCTION("""COMPUTED_VALUE"""),146.0)</f>
        <v>146</v>
      </c>
      <c r="AG42" s="131">
        <f>IFERROR(__xludf.DUMMYFUNCTION("""COMPUTED_VALUE"""),50.0)</f>
        <v>50</v>
      </c>
      <c r="AH42" s="131">
        <f>IFERROR(__xludf.DUMMYFUNCTION("""COMPUTED_VALUE"""),50.0)</f>
        <v>50</v>
      </c>
      <c r="AI42" s="131"/>
      <c r="AJ42" s="131"/>
      <c r="AK42" s="131"/>
    </row>
    <row r="43">
      <c r="A43" s="145" t="str">
        <f>IFERROR(__xludf.DUMMYFUNCTION("""COMPUTED_VALUE"""),"Y")</f>
        <v>Y</v>
      </c>
      <c r="B43" s="146" t="str">
        <f>IFERROR(__xludf.DUMMYFUNCTION("""COMPUTED_VALUE"""),"2")</f>
        <v>2</v>
      </c>
      <c r="C43" s="146" t="str">
        <f>IFERROR(__xludf.DUMMYFUNCTION("""COMPUTED_VALUE"""),"307 to 312")</f>
        <v>307 to 312</v>
      </c>
      <c r="D43" s="147">
        <f>IFERROR(__xludf.DUMMYFUNCTION("""COMPUTED_VALUE"""),45596.0)</f>
        <v>45596</v>
      </c>
      <c r="E43" s="147">
        <f>IFERROR(__xludf.DUMMYFUNCTION("""COMPUTED_VALUE"""),45603.0)</f>
        <v>45603</v>
      </c>
      <c r="F43" s="147">
        <f>IFERROR(__xludf.DUMMYFUNCTION("""COMPUTED_VALUE"""),45624.0)</f>
        <v>45624</v>
      </c>
      <c r="G43" s="146" t="str">
        <f>IFERROR(__xludf.DUMMYFUNCTION("""COMPUTED_VALUE"""),"D34-3R")</f>
        <v>D34-3R</v>
      </c>
      <c r="H43" s="148"/>
      <c r="I43" s="148"/>
      <c r="J43" s="146"/>
      <c r="K43" s="146"/>
      <c r="L43" s="146">
        <f>IFERROR(__xludf.DUMMYFUNCTION("""COMPUTED_VALUE"""),48.0)</f>
        <v>48</v>
      </c>
      <c r="M43" s="146">
        <f>IFERROR(__xludf.DUMMYFUNCTION("""COMPUTED_VALUE"""),146.0)</f>
        <v>146</v>
      </c>
      <c r="N43" s="146">
        <f>IFERROR(__xludf.DUMMYFUNCTION("""COMPUTED_VALUE"""),50.0)</f>
        <v>50</v>
      </c>
      <c r="O43" s="146">
        <f>IFERROR(__xludf.DUMMYFUNCTION("""COMPUTED_VALUE"""),50.0)</f>
        <v>50</v>
      </c>
      <c r="P43" s="146"/>
      <c r="Q43" s="146"/>
      <c r="R43" s="146"/>
      <c r="T43" s="131" t="str">
        <f>IFERROR(__xludf.DUMMYFUNCTION("""COMPUTED_VALUE"""),"Y")</f>
        <v>Y</v>
      </c>
      <c r="U43" s="131" t="str">
        <f>IFERROR(__xludf.DUMMYFUNCTION("""COMPUTED_VALUE"""),"2")</f>
        <v>2</v>
      </c>
      <c r="V43" s="131" t="str">
        <f>IFERROR(__xludf.DUMMYFUNCTION("""COMPUTED_VALUE"""),"307 to 312")</f>
        <v>307 to 312</v>
      </c>
      <c r="W43" s="144">
        <f>IFERROR(__xludf.DUMMYFUNCTION("""COMPUTED_VALUE"""),45596.0)</f>
        <v>45596</v>
      </c>
      <c r="X43" s="144">
        <f>IFERROR(__xludf.DUMMYFUNCTION("""COMPUTED_VALUE"""),45603.0)</f>
        <v>45603</v>
      </c>
      <c r="Y43" s="144">
        <f>IFERROR(__xludf.DUMMYFUNCTION("""COMPUTED_VALUE"""),45624.0)</f>
        <v>45624</v>
      </c>
      <c r="Z43" s="131" t="str">
        <f>IFERROR(__xludf.DUMMYFUNCTION("""COMPUTED_VALUE"""),"D34-3R")</f>
        <v>D34-3R</v>
      </c>
      <c r="AA43" s="131"/>
      <c r="AB43" s="131"/>
      <c r="AC43" s="131"/>
      <c r="AD43" s="131"/>
      <c r="AE43" s="131">
        <f>IFERROR(__xludf.DUMMYFUNCTION("""COMPUTED_VALUE"""),160.0)</f>
        <v>160</v>
      </c>
      <c r="AF43" s="131">
        <f>IFERROR(__xludf.DUMMYFUNCTION("""COMPUTED_VALUE"""),304.0)</f>
        <v>304</v>
      </c>
      <c r="AG43" s="131">
        <f>IFERROR(__xludf.DUMMYFUNCTION("""COMPUTED_VALUE"""),73.0)</f>
        <v>73</v>
      </c>
      <c r="AH43" s="131">
        <f>IFERROR(__xludf.DUMMYFUNCTION("""COMPUTED_VALUE"""),73.0)</f>
        <v>73</v>
      </c>
      <c r="AI43" s="131"/>
      <c r="AJ43" s="131"/>
      <c r="AK43" s="131"/>
    </row>
    <row r="44">
      <c r="A44" s="145" t="str">
        <f>IFERROR(__xludf.DUMMYFUNCTION("""COMPUTED_VALUE"""),"Y")</f>
        <v>Y</v>
      </c>
      <c r="B44" s="146" t="str">
        <f>IFERROR(__xludf.DUMMYFUNCTION("""COMPUTED_VALUE"""),"2")</f>
        <v>2</v>
      </c>
      <c r="C44" s="146" t="str">
        <f>IFERROR(__xludf.DUMMYFUNCTION("""COMPUTED_VALUE"""),"307 to 312")</f>
        <v>307 to 312</v>
      </c>
      <c r="D44" s="147">
        <f>IFERROR(__xludf.DUMMYFUNCTION("""COMPUTED_VALUE"""),45596.0)</f>
        <v>45596</v>
      </c>
      <c r="E44" s="147">
        <f>IFERROR(__xludf.DUMMYFUNCTION("""COMPUTED_VALUE"""),45603.0)</f>
        <v>45603</v>
      </c>
      <c r="F44" s="147">
        <f>IFERROR(__xludf.DUMMYFUNCTION("""COMPUTED_VALUE"""),45624.0)</f>
        <v>45624</v>
      </c>
      <c r="G44" s="146" t="str">
        <f>IFERROR(__xludf.DUMMYFUNCTION("""COMPUTED_VALUE"""),"D34-3R")</f>
        <v>D34-3R</v>
      </c>
      <c r="H44" s="148"/>
      <c r="I44" s="148"/>
      <c r="J44" s="146"/>
      <c r="K44" s="146"/>
      <c r="L44" s="146">
        <f>IFERROR(__xludf.DUMMYFUNCTION("""COMPUTED_VALUE"""),160.0)</f>
        <v>160</v>
      </c>
      <c r="M44" s="146">
        <f>IFERROR(__xludf.DUMMYFUNCTION("""COMPUTED_VALUE"""),304.0)</f>
        <v>304</v>
      </c>
      <c r="N44" s="146">
        <f>IFERROR(__xludf.DUMMYFUNCTION("""COMPUTED_VALUE"""),73.0)</f>
        <v>73</v>
      </c>
      <c r="O44" s="146">
        <f>IFERROR(__xludf.DUMMYFUNCTION("""COMPUTED_VALUE"""),73.0)</f>
        <v>73</v>
      </c>
      <c r="P44" s="146"/>
      <c r="Q44" s="146"/>
      <c r="R44" s="146"/>
      <c r="T44" s="131" t="str">
        <f>IFERROR(__xludf.DUMMYFUNCTION("""COMPUTED_VALUE"""),"Y")</f>
        <v>Y</v>
      </c>
      <c r="U44" s="131" t="str">
        <f>IFERROR(__xludf.DUMMYFUNCTION("""COMPUTED_VALUE"""),"2")</f>
        <v>2</v>
      </c>
      <c r="V44" s="131" t="str">
        <f>IFERROR(__xludf.DUMMYFUNCTION("""COMPUTED_VALUE"""),"307 to 312")</f>
        <v>307 to 312</v>
      </c>
      <c r="W44" s="144">
        <f>IFERROR(__xludf.DUMMYFUNCTION("""COMPUTED_VALUE"""),45596.0)</f>
        <v>45596</v>
      </c>
      <c r="X44" s="144">
        <f>IFERROR(__xludf.DUMMYFUNCTION("""COMPUTED_VALUE"""),45603.0)</f>
        <v>45603</v>
      </c>
      <c r="Y44" s="144">
        <f>IFERROR(__xludf.DUMMYFUNCTION("""COMPUTED_VALUE"""),45624.0)</f>
        <v>45624</v>
      </c>
      <c r="Z44" s="131" t="str">
        <f>IFERROR(__xludf.DUMMYFUNCTION("""COMPUTED_VALUE"""),"D34-2R")</f>
        <v>D34-2R</v>
      </c>
      <c r="AA44" s="131"/>
      <c r="AB44" s="131"/>
      <c r="AC44" s="131"/>
      <c r="AD44" s="131"/>
      <c r="AE44" s="131">
        <f>IFERROR(__xludf.DUMMYFUNCTION("""COMPUTED_VALUE"""),294.0)</f>
        <v>294</v>
      </c>
      <c r="AF44" s="131">
        <f>IFERROR(__xludf.DUMMYFUNCTION("""COMPUTED_VALUE"""),296.0)</f>
        <v>296</v>
      </c>
      <c r="AG44" s="131">
        <f>IFERROR(__xludf.DUMMYFUNCTION("""COMPUTED_VALUE"""),2.0)</f>
        <v>2</v>
      </c>
      <c r="AH44" s="131">
        <f>IFERROR(__xludf.DUMMYFUNCTION("""COMPUTED_VALUE"""),2.0)</f>
        <v>2</v>
      </c>
      <c r="AI44" s="131"/>
      <c r="AJ44" s="131"/>
      <c r="AK44" s="131"/>
    </row>
    <row r="45">
      <c r="A45" s="145" t="str">
        <f>IFERROR(__xludf.DUMMYFUNCTION("""COMPUTED_VALUE"""),"Y")</f>
        <v>Y</v>
      </c>
      <c r="B45" s="146" t="str">
        <f>IFERROR(__xludf.DUMMYFUNCTION("""COMPUTED_VALUE"""),"2")</f>
        <v>2</v>
      </c>
      <c r="C45" s="146" t="str">
        <f>IFERROR(__xludf.DUMMYFUNCTION("""COMPUTED_VALUE"""),"307 to 312")</f>
        <v>307 to 312</v>
      </c>
      <c r="D45" s="147">
        <f>IFERROR(__xludf.DUMMYFUNCTION("""COMPUTED_VALUE"""),45596.0)</f>
        <v>45596</v>
      </c>
      <c r="E45" s="147">
        <f>IFERROR(__xludf.DUMMYFUNCTION("""COMPUTED_VALUE"""),45603.0)</f>
        <v>45603</v>
      </c>
      <c r="F45" s="147">
        <f>IFERROR(__xludf.DUMMYFUNCTION("""COMPUTED_VALUE"""),45624.0)</f>
        <v>45624</v>
      </c>
      <c r="G45" s="146" t="str">
        <f>IFERROR(__xludf.DUMMYFUNCTION("""COMPUTED_VALUE"""),"D34-2R")</f>
        <v>D34-2R</v>
      </c>
      <c r="H45" s="148"/>
      <c r="I45" s="148"/>
      <c r="J45" s="146"/>
      <c r="K45" s="146"/>
      <c r="L45" s="146">
        <f>IFERROR(__xludf.DUMMYFUNCTION("""COMPUTED_VALUE"""),294.0)</f>
        <v>294</v>
      </c>
      <c r="M45" s="146">
        <f>IFERROR(__xludf.DUMMYFUNCTION("""COMPUTED_VALUE"""),296.0)</f>
        <v>296</v>
      </c>
      <c r="N45" s="146">
        <f>IFERROR(__xludf.DUMMYFUNCTION("""COMPUTED_VALUE"""),2.0)</f>
        <v>2</v>
      </c>
      <c r="O45" s="146">
        <f>IFERROR(__xludf.DUMMYFUNCTION("""COMPUTED_VALUE"""),2.0)</f>
        <v>2</v>
      </c>
      <c r="P45" s="146"/>
      <c r="Q45" s="146"/>
      <c r="R45" s="146"/>
      <c r="T45" s="131" t="str">
        <f>IFERROR(__xludf.DUMMYFUNCTION("""COMPUTED_VALUE"""),"Y")</f>
        <v>Y</v>
      </c>
      <c r="U45" s="131" t="str">
        <f>IFERROR(__xludf.DUMMYFUNCTION("""COMPUTED_VALUE"""),"2")</f>
        <v>2</v>
      </c>
      <c r="V45" s="131" t="str">
        <f>IFERROR(__xludf.DUMMYFUNCTION("""COMPUTED_VALUE"""),"319-324")</f>
        <v>319-324</v>
      </c>
      <c r="W45" s="144">
        <f>IFERROR(__xludf.DUMMYFUNCTION("""COMPUTED_VALUE"""),45598.0)</f>
        <v>45598</v>
      </c>
      <c r="X45" s="144">
        <f>IFERROR(__xludf.DUMMYFUNCTION("""COMPUTED_VALUE"""),45605.0)</f>
        <v>45605</v>
      </c>
      <c r="Y45" s="144">
        <f>IFERROR(__xludf.DUMMYFUNCTION("""COMPUTED_VALUE"""),45626.0)</f>
        <v>45626</v>
      </c>
      <c r="Z45" s="131" t="str">
        <f>IFERROR(__xludf.DUMMYFUNCTION("""COMPUTED_VALUE"""),"D34-3L")</f>
        <v>D34-3L</v>
      </c>
      <c r="AA45" s="131">
        <f>IFERROR(__xludf.DUMMYFUNCTION("""COMPUTED_VALUE"""),5.0)</f>
        <v>5</v>
      </c>
      <c r="AB45" s="131">
        <f>IFERROR(__xludf.DUMMYFUNCTION("""COMPUTED_VALUE"""),245.0)</f>
        <v>245</v>
      </c>
      <c r="AC45" s="131">
        <f>IFERROR(__xludf.DUMMYFUNCTION("""COMPUTED_VALUE"""),121.0)</f>
        <v>121</v>
      </c>
      <c r="AD45" s="131">
        <f>IFERROR(__xludf.DUMMYFUNCTION("""COMPUTED_VALUE"""),121.0)</f>
        <v>121</v>
      </c>
      <c r="AE45" s="131"/>
      <c r="AF45" s="131"/>
      <c r="AG45" s="131"/>
      <c r="AH45" s="131"/>
      <c r="AI45" s="131"/>
      <c r="AJ45" s="131"/>
      <c r="AK45" s="131"/>
    </row>
    <row r="46">
      <c r="A46" s="145" t="str">
        <f>IFERROR(__xludf.DUMMYFUNCTION("""COMPUTED_VALUE"""),"Y")</f>
        <v>Y</v>
      </c>
      <c r="B46" s="146" t="str">
        <f>IFERROR(__xludf.DUMMYFUNCTION("""COMPUTED_VALUE"""),"2")</f>
        <v>2</v>
      </c>
      <c r="C46" s="146" t="str">
        <f>IFERROR(__xludf.DUMMYFUNCTION("""COMPUTED_VALUE"""),"319-324")</f>
        <v>319-324</v>
      </c>
      <c r="D46" s="147">
        <f>IFERROR(__xludf.DUMMYFUNCTION("""COMPUTED_VALUE"""),45598.0)</f>
        <v>45598</v>
      </c>
      <c r="E46" s="147">
        <f>IFERROR(__xludf.DUMMYFUNCTION("""COMPUTED_VALUE"""),45605.0)</f>
        <v>45605</v>
      </c>
      <c r="F46" s="147">
        <f>IFERROR(__xludf.DUMMYFUNCTION("""COMPUTED_VALUE"""),45626.0)</f>
        <v>45626</v>
      </c>
      <c r="G46" s="146" t="str">
        <f>IFERROR(__xludf.DUMMYFUNCTION("""COMPUTED_VALUE"""),"D34-3L")</f>
        <v>D34-3L</v>
      </c>
      <c r="H46" s="148">
        <f>IFERROR(__xludf.DUMMYFUNCTION("""COMPUTED_VALUE"""),5.0)</f>
        <v>5</v>
      </c>
      <c r="I46" s="148">
        <f>IFERROR(__xludf.DUMMYFUNCTION("""COMPUTED_VALUE"""),245.0)</f>
        <v>245</v>
      </c>
      <c r="J46" s="146">
        <f>IFERROR(__xludf.DUMMYFUNCTION("""COMPUTED_VALUE"""),121.0)</f>
        <v>121</v>
      </c>
      <c r="K46" s="146">
        <f>IFERROR(__xludf.DUMMYFUNCTION("""COMPUTED_VALUE"""),121.0)</f>
        <v>121</v>
      </c>
      <c r="L46" s="146"/>
      <c r="M46" s="146"/>
      <c r="N46" s="146"/>
      <c r="O46" s="146"/>
      <c r="P46" s="146"/>
      <c r="Q46" s="146"/>
      <c r="R46" s="146"/>
      <c r="T46" s="131" t="str">
        <f>IFERROR(__xludf.DUMMYFUNCTION("""COMPUTED_VALUE"""),"Y")</f>
        <v>Y</v>
      </c>
      <c r="U46" s="131" t="str">
        <f>IFERROR(__xludf.DUMMYFUNCTION("""COMPUTED_VALUE"""),"2")</f>
        <v>2</v>
      </c>
      <c r="V46" s="131" t="str">
        <f>IFERROR(__xludf.DUMMYFUNCTION("""COMPUTED_VALUE"""),"331 to 336")</f>
        <v>331 to 336</v>
      </c>
      <c r="W46" s="144">
        <f>IFERROR(__xludf.DUMMYFUNCTION("""COMPUTED_VALUE"""),45600.0)</f>
        <v>45600</v>
      </c>
      <c r="X46" s="144">
        <f>IFERROR(__xludf.DUMMYFUNCTION("""COMPUTED_VALUE"""),45607.0)</f>
        <v>45607</v>
      </c>
      <c r="Y46" s="144">
        <f>IFERROR(__xludf.DUMMYFUNCTION("""COMPUTED_VALUE"""),45628.0)</f>
        <v>45628</v>
      </c>
      <c r="Z46" s="131" t="str">
        <f>IFERROR(__xludf.DUMMYFUNCTION("""COMPUTED_VALUE"""),"D34-3L")</f>
        <v>D34-3L</v>
      </c>
      <c r="AA46" s="131">
        <f>IFERROR(__xludf.DUMMYFUNCTION("""COMPUTED_VALUE"""),247.0)</f>
        <v>247</v>
      </c>
      <c r="AB46" s="131">
        <f>IFERROR(__xludf.DUMMYFUNCTION("""COMPUTED_VALUE"""),305.0)</f>
        <v>305</v>
      </c>
      <c r="AC46" s="131">
        <f>IFERROR(__xludf.DUMMYFUNCTION("""COMPUTED_VALUE"""),30.0)</f>
        <v>30</v>
      </c>
      <c r="AD46" s="131">
        <f>IFERROR(__xludf.DUMMYFUNCTION("""COMPUTED_VALUE"""),30.0)</f>
        <v>30</v>
      </c>
      <c r="AE46" s="131">
        <f>IFERROR(__xludf.DUMMYFUNCTION("""COMPUTED_VALUE"""),6.0)</f>
        <v>6</v>
      </c>
      <c r="AF46" s="131">
        <f>IFERROR(__xludf.DUMMYFUNCTION("""COMPUTED_VALUE"""),216.0)</f>
        <v>216</v>
      </c>
      <c r="AG46" s="131">
        <f>IFERROR(__xludf.DUMMYFUNCTION("""COMPUTED_VALUE"""),106.0)</f>
        <v>106</v>
      </c>
      <c r="AH46" s="131">
        <f>IFERROR(__xludf.DUMMYFUNCTION("""COMPUTED_VALUE"""),106.0)</f>
        <v>106</v>
      </c>
      <c r="AI46" s="131"/>
      <c r="AJ46" s="131"/>
      <c r="AK46" s="131"/>
    </row>
    <row r="47">
      <c r="A47" s="145" t="str">
        <f>IFERROR(__xludf.DUMMYFUNCTION("""COMPUTED_VALUE"""),"Y")</f>
        <v>Y</v>
      </c>
      <c r="B47" s="146" t="str">
        <f>IFERROR(__xludf.DUMMYFUNCTION("""COMPUTED_VALUE"""),"2")</f>
        <v>2</v>
      </c>
      <c r="C47" s="146" t="str">
        <f>IFERROR(__xludf.DUMMYFUNCTION("""COMPUTED_VALUE"""),"331 to 336")</f>
        <v>331 to 336</v>
      </c>
      <c r="D47" s="147">
        <f>IFERROR(__xludf.DUMMYFUNCTION("""COMPUTED_VALUE"""),45600.0)</f>
        <v>45600</v>
      </c>
      <c r="E47" s="147">
        <f>IFERROR(__xludf.DUMMYFUNCTION("""COMPUTED_VALUE"""),45607.0)</f>
        <v>45607</v>
      </c>
      <c r="F47" s="147">
        <f>IFERROR(__xludf.DUMMYFUNCTION("""COMPUTED_VALUE"""),45628.0)</f>
        <v>45628</v>
      </c>
      <c r="G47" s="146" t="str">
        <f>IFERROR(__xludf.DUMMYFUNCTION("""COMPUTED_VALUE"""),"D34-3L")</f>
        <v>D34-3L</v>
      </c>
      <c r="H47" s="148">
        <f>IFERROR(__xludf.DUMMYFUNCTION("""COMPUTED_VALUE"""),247.0)</f>
        <v>247</v>
      </c>
      <c r="I47" s="148">
        <f>IFERROR(__xludf.DUMMYFUNCTION("""COMPUTED_VALUE"""),305.0)</f>
        <v>305</v>
      </c>
      <c r="J47" s="146">
        <f>IFERROR(__xludf.DUMMYFUNCTION("""COMPUTED_VALUE"""),30.0)</f>
        <v>30</v>
      </c>
      <c r="K47" s="146">
        <f>IFERROR(__xludf.DUMMYFUNCTION("""COMPUTED_VALUE"""),30.0)</f>
        <v>30</v>
      </c>
      <c r="L47" s="146">
        <f>IFERROR(__xludf.DUMMYFUNCTION("""COMPUTED_VALUE"""),6.0)</f>
        <v>6</v>
      </c>
      <c r="M47" s="146">
        <f>IFERROR(__xludf.DUMMYFUNCTION("""COMPUTED_VALUE"""),216.0)</f>
        <v>216</v>
      </c>
      <c r="N47" s="146">
        <f>IFERROR(__xludf.DUMMYFUNCTION("""COMPUTED_VALUE"""),106.0)</f>
        <v>106</v>
      </c>
      <c r="O47" s="146">
        <f>IFERROR(__xludf.DUMMYFUNCTION("""COMPUTED_VALUE"""),106.0)</f>
        <v>106</v>
      </c>
      <c r="P47" s="146"/>
      <c r="Q47" s="146"/>
      <c r="R47" s="146"/>
      <c r="T47" s="131" t="str">
        <f>IFERROR(__xludf.DUMMYFUNCTION("""COMPUTED_VALUE"""),"Y")</f>
        <v>Y</v>
      </c>
      <c r="U47" s="131" t="str">
        <f>IFERROR(__xludf.DUMMYFUNCTION("""COMPUTED_VALUE"""),"2")</f>
        <v>2</v>
      </c>
      <c r="V47" s="131" t="str">
        <f>IFERROR(__xludf.DUMMYFUNCTION("""COMPUTED_VALUE"""),"343 to 348")</f>
        <v>343 to 348</v>
      </c>
      <c r="W47" s="144">
        <f>IFERROR(__xludf.DUMMYFUNCTION("""COMPUTED_VALUE"""),45601.0)</f>
        <v>45601</v>
      </c>
      <c r="X47" s="144">
        <f>IFERROR(__xludf.DUMMYFUNCTION("""COMPUTED_VALUE"""),45608.0)</f>
        <v>45608</v>
      </c>
      <c r="Y47" s="144">
        <f>IFERROR(__xludf.DUMMYFUNCTION("""COMPUTED_VALUE"""),45629.0)</f>
        <v>45629</v>
      </c>
      <c r="Z47" s="131" t="str">
        <f>IFERROR(__xludf.DUMMYFUNCTION("""COMPUTED_VALUE"""),"D34-3L")</f>
        <v>D34-3L</v>
      </c>
      <c r="AA47" s="131"/>
      <c r="AB47" s="131"/>
      <c r="AC47" s="131"/>
      <c r="AD47" s="131"/>
      <c r="AE47" s="131">
        <f>IFERROR(__xludf.DUMMYFUNCTION("""COMPUTED_VALUE"""),216.0)</f>
        <v>216</v>
      </c>
      <c r="AF47" s="131">
        <f>IFERROR(__xludf.DUMMYFUNCTION("""COMPUTED_VALUE"""),306.0)</f>
        <v>306</v>
      </c>
      <c r="AG47" s="131">
        <f>IFERROR(__xludf.DUMMYFUNCTION("""COMPUTED_VALUE"""),46.0)</f>
        <v>46</v>
      </c>
      <c r="AH47" s="131">
        <f>IFERROR(__xludf.DUMMYFUNCTION("""COMPUTED_VALUE"""),46.0)</f>
        <v>46</v>
      </c>
      <c r="AI47" s="131"/>
      <c r="AJ47" s="131"/>
      <c r="AK47" s="131"/>
    </row>
    <row r="48">
      <c r="A48" s="145" t="str">
        <f>IFERROR(__xludf.DUMMYFUNCTION("""COMPUTED_VALUE"""),"Y")</f>
        <v>Y</v>
      </c>
      <c r="B48" s="146" t="str">
        <f>IFERROR(__xludf.DUMMYFUNCTION("""COMPUTED_VALUE"""),"2")</f>
        <v>2</v>
      </c>
      <c r="C48" s="146" t="str">
        <f>IFERROR(__xludf.DUMMYFUNCTION("""COMPUTED_VALUE"""),"343 to 348")</f>
        <v>343 to 348</v>
      </c>
      <c r="D48" s="147">
        <f>IFERROR(__xludf.DUMMYFUNCTION("""COMPUTED_VALUE"""),45601.0)</f>
        <v>45601</v>
      </c>
      <c r="E48" s="147">
        <f>IFERROR(__xludf.DUMMYFUNCTION("""COMPUTED_VALUE"""),45608.0)</f>
        <v>45608</v>
      </c>
      <c r="F48" s="147">
        <f>IFERROR(__xludf.DUMMYFUNCTION("""COMPUTED_VALUE"""),45629.0)</f>
        <v>45629</v>
      </c>
      <c r="G48" s="146" t="str">
        <f>IFERROR(__xludf.DUMMYFUNCTION("""COMPUTED_VALUE"""),"D34-3L")</f>
        <v>D34-3L</v>
      </c>
      <c r="H48" s="148"/>
      <c r="I48" s="148"/>
      <c r="J48" s="146"/>
      <c r="K48" s="146"/>
      <c r="L48" s="146">
        <f>IFERROR(__xludf.DUMMYFUNCTION("""COMPUTED_VALUE"""),216.0)</f>
        <v>216</v>
      </c>
      <c r="M48" s="146">
        <f>IFERROR(__xludf.DUMMYFUNCTION("""COMPUTED_VALUE"""),306.0)</f>
        <v>306</v>
      </c>
      <c r="N48" s="146">
        <f>IFERROR(__xludf.DUMMYFUNCTION("""COMPUTED_VALUE"""),46.0)</f>
        <v>46</v>
      </c>
      <c r="O48" s="146">
        <f>IFERROR(__xludf.DUMMYFUNCTION("""COMPUTED_VALUE"""),46.0)</f>
        <v>46</v>
      </c>
      <c r="P48" s="146"/>
      <c r="Q48" s="146"/>
      <c r="R48" s="146"/>
      <c r="T48" s="131" t="str">
        <f>IFERROR(__xludf.DUMMYFUNCTION("""COMPUTED_VALUE"""),"Y")</f>
        <v>Y</v>
      </c>
      <c r="U48" s="131" t="str">
        <f>IFERROR(__xludf.DUMMYFUNCTION("""COMPUTED_VALUE"""),"2")</f>
        <v>2</v>
      </c>
      <c r="V48" s="131" t="str">
        <f>IFERROR(__xludf.DUMMYFUNCTION("""COMPUTED_VALUE"""),"343 to 348")</f>
        <v>343 to 348</v>
      </c>
      <c r="W48" s="144">
        <f>IFERROR(__xludf.DUMMYFUNCTION("""COMPUTED_VALUE"""),45601.0)</f>
        <v>45601</v>
      </c>
      <c r="X48" s="144">
        <f>IFERROR(__xludf.DUMMYFUNCTION("""COMPUTED_VALUE"""),45608.0)</f>
        <v>45608</v>
      </c>
      <c r="Y48" s="144">
        <f>IFERROR(__xludf.DUMMYFUNCTION("""COMPUTED_VALUE"""),45629.0)</f>
        <v>45629</v>
      </c>
      <c r="Z48" s="131" t="str">
        <f>IFERROR(__xludf.DUMMYFUNCTION("""COMPUTED_VALUE"""),"D34-4R")</f>
        <v>D34-4R</v>
      </c>
      <c r="AA48" s="131">
        <f>IFERROR(__xludf.DUMMYFUNCTION("""COMPUTED_VALUE"""),5.0)</f>
        <v>5</v>
      </c>
      <c r="AB48" s="131">
        <f>IFERROR(__xludf.DUMMYFUNCTION("""COMPUTED_VALUE"""),95.0)</f>
        <v>95</v>
      </c>
      <c r="AC48" s="131">
        <f>IFERROR(__xludf.DUMMYFUNCTION("""COMPUTED_VALUE"""),46.0)</f>
        <v>46</v>
      </c>
      <c r="AD48" s="131">
        <f>IFERROR(__xludf.DUMMYFUNCTION("""COMPUTED_VALUE"""),46.0)</f>
        <v>46</v>
      </c>
      <c r="AE48" s="131"/>
      <c r="AF48" s="131"/>
      <c r="AG48" s="131"/>
      <c r="AH48" s="131"/>
      <c r="AI48" s="131"/>
      <c r="AJ48" s="131"/>
      <c r="AK48" s="131"/>
    </row>
    <row r="49">
      <c r="A49" s="145" t="str">
        <f>IFERROR(__xludf.DUMMYFUNCTION("""COMPUTED_VALUE"""),"Y")</f>
        <v>Y</v>
      </c>
      <c r="B49" s="146" t="str">
        <f>IFERROR(__xludf.DUMMYFUNCTION("""COMPUTED_VALUE"""),"2")</f>
        <v>2</v>
      </c>
      <c r="C49" s="146" t="str">
        <f>IFERROR(__xludf.DUMMYFUNCTION("""COMPUTED_VALUE"""),"343 to 348")</f>
        <v>343 to 348</v>
      </c>
      <c r="D49" s="147">
        <f>IFERROR(__xludf.DUMMYFUNCTION("""COMPUTED_VALUE"""),45601.0)</f>
        <v>45601</v>
      </c>
      <c r="E49" s="147">
        <f>IFERROR(__xludf.DUMMYFUNCTION("""COMPUTED_VALUE"""),45608.0)</f>
        <v>45608</v>
      </c>
      <c r="F49" s="147">
        <f>IFERROR(__xludf.DUMMYFUNCTION("""COMPUTED_VALUE"""),45629.0)</f>
        <v>45629</v>
      </c>
      <c r="G49" s="146" t="str">
        <f>IFERROR(__xludf.DUMMYFUNCTION("""COMPUTED_VALUE"""),"D34-4R")</f>
        <v>D34-4R</v>
      </c>
      <c r="H49" s="148">
        <f>IFERROR(__xludf.DUMMYFUNCTION("""COMPUTED_VALUE"""),5.0)</f>
        <v>5</v>
      </c>
      <c r="I49" s="148">
        <f>IFERROR(__xludf.DUMMYFUNCTION("""COMPUTED_VALUE"""),95.0)</f>
        <v>95</v>
      </c>
      <c r="J49" s="146">
        <f>IFERROR(__xludf.DUMMYFUNCTION("""COMPUTED_VALUE"""),46.0)</f>
        <v>46</v>
      </c>
      <c r="K49" s="146">
        <f>IFERROR(__xludf.DUMMYFUNCTION("""COMPUTED_VALUE"""),46.0)</f>
        <v>46</v>
      </c>
      <c r="L49" s="146"/>
      <c r="M49" s="146"/>
      <c r="N49" s="146"/>
      <c r="O49" s="146"/>
      <c r="P49" s="146"/>
      <c r="Q49" s="146"/>
      <c r="R49" s="146"/>
      <c r="T49" s="131" t="str">
        <f>IFERROR(__xludf.DUMMYFUNCTION("""COMPUTED_VALUE"""),"Y")</f>
        <v>Y</v>
      </c>
      <c r="U49" s="131" t="str">
        <f>IFERROR(__xludf.DUMMYFUNCTION("""COMPUTED_VALUE"""),"2")</f>
        <v>2</v>
      </c>
      <c r="V49" s="131" t="str">
        <f>IFERROR(__xludf.DUMMYFUNCTION("""COMPUTED_VALUE"""),"343 to 348")</f>
        <v>343 to 348</v>
      </c>
      <c r="W49" s="144">
        <f>IFERROR(__xludf.DUMMYFUNCTION("""COMPUTED_VALUE"""),45601.0)</f>
        <v>45601</v>
      </c>
      <c r="X49" s="144">
        <f>IFERROR(__xludf.DUMMYFUNCTION("""COMPUTED_VALUE"""),45608.0)</f>
        <v>45608</v>
      </c>
      <c r="Y49" s="144">
        <f>IFERROR(__xludf.DUMMYFUNCTION("""COMPUTED_VALUE"""),45629.0)</f>
        <v>45629</v>
      </c>
      <c r="Z49" s="131" t="str">
        <f>IFERROR(__xludf.DUMMYFUNCTION("""COMPUTED_VALUE"""),"D34-4R")</f>
        <v>D34-4R</v>
      </c>
      <c r="AA49" s="131">
        <f>IFERROR(__xludf.DUMMYFUNCTION("""COMPUTED_VALUE"""),111.0)</f>
        <v>111</v>
      </c>
      <c r="AB49" s="131">
        <f>IFERROR(__xludf.DUMMYFUNCTION("""COMPUTED_VALUE"""),153.0)</f>
        <v>153</v>
      </c>
      <c r="AC49" s="131">
        <f>IFERROR(__xludf.DUMMYFUNCTION("""COMPUTED_VALUE"""),22.0)</f>
        <v>22</v>
      </c>
      <c r="AD49" s="131">
        <f>IFERROR(__xludf.DUMMYFUNCTION("""COMPUTED_VALUE"""),22.0)</f>
        <v>22</v>
      </c>
      <c r="AE49" s="131"/>
      <c r="AF49" s="131"/>
      <c r="AG49" s="131"/>
      <c r="AH49" s="131"/>
      <c r="AI49" s="131"/>
      <c r="AJ49" s="131"/>
      <c r="AK49" s="131"/>
    </row>
    <row r="50">
      <c r="A50" s="145" t="str">
        <f>IFERROR(__xludf.DUMMYFUNCTION("""COMPUTED_VALUE"""),"Y")</f>
        <v>Y</v>
      </c>
      <c r="B50" s="146" t="str">
        <f>IFERROR(__xludf.DUMMYFUNCTION("""COMPUTED_VALUE"""),"2")</f>
        <v>2</v>
      </c>
      <c r="C50" s="146" t="str">
        <f>IFERROR(__xludf.DUMMYFUNCTION("""COMPUTED_VALUE"""),"343 to 348")</f>
        <v>343 to 348</v>
      </c>
      <c r="D50" s="147">
        <f>IFERROR(__xludf.DUMMYFUNCTION("""COMPUTED_VALUE"""),45601.0)</f>
        <v>45601</v>
      </c>
      <c r="E50" s="147">
        <f>IFERROR(__xludf.DUMMYFUNCTION("""COMPUTED_VALUE"""),45608.0)</f>
        <v>45608</v>
      </c>
      <c r="F50" s="147">
        <f>IFERROR(__xludf.DUMMYFUNCTION("""COMPUTED_VALUE"""),45629.0)</f>
        <v>45629</v>
      </c>
      <c r="G50" s="146" t="str">
        <f>IFERROR(__xludf.DUMMYFUNCTION("""COMPUTED_VALUE"""),"D34-4R")</f>
        <v>D34-4R</v>
      </c>
      <c r="H50" s="148">
        <f>IFERROR(__xludf.DUMMYFUNCTION("""COMPUTED_VALUE"""),111.0)</f>
        <v>111</v>
      </c>
      <c r="I50" s="148">
        <f>IFERROR(__xludf.DUMMYFUNCTION("""COMPUTED_VALUE"""),153.0)</f>
        <v>153</v>
      </c>
      <c r="J50" s="146">
        <f>IFERROR(__xludf.DUMMYFUNCTION("""COMPUTED_VALUE"""),22.0)</f>
        <v>22</v>
      </c>
      <c r="K50" s="146">
        <f>IFERROR(__xludf.DUMMYFUNCTION("""COMPUTED_VALUE"""),22.0)</f>
        <v>22</v>
      </c>
      <c r="L50" s="146"/>
      <c r="M50" s="146"/>
      <c r="N50" s="146"/>
      <c r="O50" s="146"/>
      <c r="P50" s="146"/>
      <c r="Q50" s="146"/>
      <c r="R50" s="146"/>
      <c r="T50" s="131" t="str">
        <f>IFERROR(__xludf.DUMMYFUNCTION("""COMPUTED_VALUE"""),"Y")</f>
        <v>Y</v>
      </c>
      <c r="U50" s="131" t="str">
        <f>IFERROR(__xludf.DUMMYFUNCTION("""COMPUTED_VALUE"""),"3")</f>
        <v>3</v>
      </c>
      <c r="V50" s="131" t="str">
        <f>IFERROR(__xludf.DUMMYFUNCTION("""COMPUTED_VALUE"""),"غير ماشي في سلفة رقم ٢")</f>
        <v>غير ماشي في سلفة رقم ٢</v>
      </c>
      <c r="W50" s="144">
        <f>IFERROR(__xludf.DUMMYFUNCTION("""COMPUTED_VALUE"""),45601.0)</f>
        <v>45601</v>
      </c>
      <c r="X50" s="144">
        <f>IFERROR(__xludf.DUMMYFUNCTION("""COMPUTED_VALUE"""),45608.0)</f>
        <v>45608</v>
      </c>
      <c r="Y50" s="144">
        <f>IFERROR(__xludf.DUMMYFUNCTION("""COMPUTED_VALUE"""),45629.0)</f>
        <v>45629</v>
      </c>
      <c r="Z50" s="131" t="str">
        <f>IFERROR(__xludf.DUMMYFUNCTION("""COMPUTED_VALUE"""),"D37-2R")</f>
        <v>D37-2R</v>
      </c>
      <c r="AA50" s="131">
        <f>IFERROR(__xludf.DUMMYFUNCTION("""COMPUTED_VALUE"""),47.0)</f>
        <v>47</v>
      </c>
      <c r="AB50" s="131">
        <f>IFERROR(__xludf.DUMMYFUNCTION("""COMPUTED_VALUE"""),289.0)</f>
        <v>289</v>
      </c>
      <c r="AC50" s="131">
        <f>IFERROR(__xludf.DUMMYFUNCTION("""COMPUTED_VALUE"""),122.0)</f>
        <v>122</v>
      </c>
      <c r="AD50" s="131">
        <f>IFERROR(__xludf.DUMMYFUNCTION("""COMPUTED_VALUE"""),122.0)</f>
        <v>122</v>
      </c>
      <c r="AE50" s="131"/>
      <c r="AF50" s="131"/>
      <c r="AG50" s="131"/>
      <c r="AH50" s="131"/>
      <c r="AI50" s="131"/>
      <c r="AJ50" s="131"/>
      <c r="AK50" s="131"/>
    </row>
    <row r="51">
      <c r="A51" s="145" t="str">
        <f>IFERROR(__xludf.DUMMYFUNCTION("""COMPUTED_VALUE"""),"Y")</f>
        <v>Y</v>
      </c>
      <c r="B51" s="146" t="str">
        <f>IFERROR(__xludf.DUMMYFUNCTION("""COMPUTED_VALUE"""),"3")</f>
        <v>3</v>
      </c>
      <c r="C51" s="146" t="str">
        <f>IFERROR(__xludf.DUMMYFUNCTION("""COMPUTED_VALUE"""),"غير ماشي في سلفة رقم ٢")</f>
        <v>غير ماشي في سلفة رقم ٢</v>
      </c>
      <c r="D51" s="147">
        <f>IFERROR(__xludf.DUMMYFUNCTION("""COMPUTED_VALUE"""),45601.0)</f>
        <v>45601</v>
      </c>
      <c r="E51" s="147">
        <f>IFERROR(__xludf.DUMMYFUNCTION("""COMPUTED_VALUE"""),45608.0)</f>
        <v>45608</v>
      </c>
      <c r="F51" s="147">
        <f>IFERROR(__xludf.DUMMYFUNCTION("""COMPUTED_VALUE"""),45629.0)</f>
        <v>45629</v>
      </c>
      <c r="G51" s="146" t="str">
        <f>IFERROR(__xludf.DUMMYFUNCTION("""COMPUTED_VALUE"""),"D37-2R")</f>
        <v>D37-2R</v>
      </c>
      <c r="H51" s="148">
        <f>IFERROR(__xludf.DUMMYFUNCTION("""COMPUTED_VALUE"""),47.0)</f>
        <v>47</v>
      </c>
      <c r="I51" s="148">
        <f>IFERROR(__xludf.DUMMYFUNCTION("""COMPUTED_VALUE"""),289.0)</f>
        <v>289</v>
      </c>
      <c r="J51" s="146">
        <f>IFERROR(__xludf.DUMMYFUNCTION("""COMPUTED_VALUE"""),122.0)</f>
        <v>122</v>
      </c>
      <c r="K51" s="146">
        <f>IFERROR(__xludf.DUMMYFUNCTION("""COMPUTED_VALUE"""),122.0)</f>
        <v>122</v>
      </c>
      <c r="L51" s="146"/>
      <c r="M51" s="146"/>
      <c r="N51" s="146"/>
      <c r="O51" s="146"/>
      <c r="P51" s="146"/>
      <c r="Q51" s="146"/>
      <c r="R51" s="146"/>
      <c r="T51" s="131" t="str">
        <f>IFERROR(__xludf.DUMMYFUNCTION("""COMPUTED_VALUE"""),"Y")</f>
        <v>Y</v>
      </c>
      <c r="U51" s="131" t="str">
        <f>IFERROR(__xludf.DUMMYFUNCTION("""COMPUTED_VALUE"""),"2")</f>
        <v>2</v>
      </c>
      <c r="V51" s="131" t="str">
        <f>IFERROR(__xludf.DUMMYFUNCTION("""COMPUTED_VALUE"""),"361 to 366")</f>
        <v>361 to 366</v>
      </c>
      <c r="W51" s="144">
        <f>IFERROR(__xludf.DUMMYFUNCTION("""COMPUTED_VALUE"""),45602.0)</f>
        <v>45602</v>
      </c>
      <c r="X51" s="144">
        <f>IFERROR(__xludf.DUMMYFUNCTION("""COMPUTED_VALUE"""),45609.0)</f>
        <v>45609</v>
      </c>
      <c r="Y51" s="144">
        <f>IFERROR(__xludf.DUMMYFUNCTION("""COMPUTED_VALUE"""),45630.0)</f>
        <v>45630</v>
      </c>
      <c r="Z51" s="131" t="str">
        <f>IFERROR(__xludf.DUMMYFUNCTION("""COMPUTED_VALUE"""),"D34-4R")</f>
        <v>D34-4R</v>
      </c>
      <c r="AA51" s="131">
        <f>IFERROR(__xludf.DUMMYFUNCTION("""COMPUTED_VALUE"""),155.0)</f>
        <v>155</v>
      </c>
      <c r="AB51" s="131">
        <f>IFERROR(__xludf.DUMMYFUNCTION("""COMPUTED_VALUE"""),307.0)</f>
        <v>307</v>
      </c>
      <c r="AC51" s="131">
        <f>IFERROR(__xludf.DUMMYFUNCTION("""COMPUTED_VALUE"""),77.0)</f>
        <v>77</v>
      </c>
      <c r="AD51" s="131">
        <f>IFERROR(__xludf.DUMMYFUNCTION("""COMPUTED_VALUE"""),77.0)</f>
        <v>77</v>
      </c>
      <c r="AE51" s="131">
        <f>IFERROR(__xludf.DUMMYFUNCTION("""COMPUTED_VALUE"""),6.0)</f>
        <v>6</v>
      </c>
      <c r="AF51" s="131">
        <f>IFERROR(__xludf.DUMMYFUNCTION("""COMPUTED_VALUE"""),76.0)</f>
        <v>76</v>
      </c>
      <c r="AG51" s="131">
        <f>IFERROR(__xludf.DUMMYFUNCTION("""COMPUTED_VALUE"""),36.0)</f>
        <v>36</v>
      </c>
      <c r="AH51" s="131">
        <f>IFERROR(__xludf.DUMMYFUNCTION("""COMPUTED_VALUE"""),36.0)</f>
        <v>36</v>
      </c>
      <c r="AI51" s="131"/>
      <c r="AJ51" s="131"/>
      <c r="AK51" s="131"/>
    </row>
    <row r="52">
      <c r="A52" s="145" t="str">
        <f>IFERROR(__xludf.DUMMYFUNCTION("""COMPUTED_VALUE"""),"Y")</f>
        <v>Y</v>
      </c>
      <c r="B52" s="146" t="str">
        <f>IFERROR(__xludf.DUMMYFUNCTION("""COMPUTED_VALUE"""),"2")</f>
        <v>2</v>
      </c>
      <c r="C52" s="146" t="str">
        <f>IFERROR(__xludf.DUMMYFUNCTION("""COMPUTED_VALUE"""),"361 to 366")</f>
        <v>361 to 366</v>
      </c>
      <c r="D52" s="147">
        <f>IFERROR(__xludf.DUMMYFUNCTION("""COMPUTED_VALUE"""),45602.0)</f>
        <v>45602</v>
      </c>
      <c r="E52" s="147">
        <f>IFERROR(__xludf.DUMMYFUNCTION("""COMPUTED_VALUE"""),45609.0)</f>
        <v>45609</v>
      </c>
      <c r="F52" s="147">
        <f>IFERROR(__xludf.DUMMYFUNCTION("""COMPUTED_VALUE"""),45630.0)</f>
        <v>45630</v>
      </c>
      <c r="G52" s="146" t="str">
        <f>IFERROR(__xludf.DUMMYFUNCTION("""COMPUTED_VALUE"""),"D34-4R")</f>
        <v>D34-4R</v>
      </c>
      <c r="H52" s="148">
        <f>IFERROR(__xludf.DUMMYFUNCTION("""COMPUTED_VALUE"""),155.0)</f>
        <v>155</v>
      </c>
      <c r="I52" s="148">
        <f>IFERROR(__xludf.DUMMYFUNCTION("""COMPUTED_VALUE"""),307.0)</f>
        <v>307</v>
      </c>
      <c r="J52" s="146">
        <f>IFERROR(__xludf.DUMMYFUNCTION("""COMPUTED_VALUE"""),77.0)</f>
        <v>77</v>
      </c>
      <c r="K52" s="146">
        <f>IFERROR(__xludf.DUMMYFUNCTION("""COMPUTED_VALUE"""),77.0)</f>
        <v>77</v>
      </c>
      <c r="L52" s="146">
        <f>IFERROR(__xludf.DUMMYFUNCTION("""COMPUTED_VALUE"""),6.0)</f>
        <v>6</v>
      </c>
      <c r="M52" s="146">
        <f>IFERROR(__xludf.DUMMYFUNCTION("""COMPUTED_VALUE"""),76.0)</f>
        <v>76</v>
      </c>
      <c r="N52" s="146">
        <f>IFERROR(__xludf.DUMMYFUNCTION("""COMPUTED_VALUE"""),36.0)</f>
        <v>36</v>
      </c>
      <c r="O52" s="146">
        <f>IFERROR(__xludf.DUMMYFUNCTION("""COMPUTED_VALUE"""),36.0)</f>
        <v>36</v>
      </c>
      <c r="P52" s="146"/>
      <c r="Q52" s="146"/>
      <c r="R52" s="146"/>
      <c r="T52" s="131" t="str">
        <f>IFERROR(__xludf.DUMMYFUNCTION("""COMPUTED_VALUE"""),"Y")</f>
        <v>Y</v>
      </c>
      <c r="U52" s="131" t="str">
        <f>IFERROR(__xludf.DUMMYFUNCTION("""COMPUTED_VALUE"""),"3")</f>
        <v>3</v>
      </c>
      <c r="V52" s="131"/>
      <c r="W52" s="144">
        <f>IFERROR(__xludf.DUMMYFUNCTION("""COMPUTED_VALUE"""),45602.0)</f>
        <v>45602</v>
      </c>
      <c r="X52" s="144">
        <f>IFERROR(__xludf.DUMMYFUNCTION("""COMPUTED_VALUE"""),45609.0)</f>
        <v>45609</v>
      </c>
      <c r="Y52" s="144">
        <f>IFERROR(__xludf.DUMMYFUNCTION("""COMPUTED_VALUE"""),45630.0)</f>
        <v>45630</v>
      </c>
      <c r="Z52" s="131" t="str">
        <f>IFERROR(__xludf.DUMMYFUNCTION("""COMPUTED_VALUE"""),"D37-2R")</f>
        <v>D37-2R</v>
      </c>
      <c r="AA52" s="131">
        <f>IFERROR(__xludf.DUMMYFUNCTION("""COMPUTED_VALUE"""),3.0)</f>
        <v>3</v>
      </c>
      <c r="AB52" s="131">
        <f>IFERROR(__xludf.DUMMYFUNCTION("""COMPUTED_VALUE"""),45.0)</f>
        <v>45</v>
      </c>
      <c r="AC52" s="131">
        <f>IFERROR(__xludf.DUMMYFUNCTION("""COMPUTED_VALUE"""),22.0)</f>
        <v>22</v>
      </c>
      <c r="AD52" s="131">
        <f>IFERROR(__xludf.DUMMYFUNCTION("""COMPUTED_VALUE"""),22.0)</f>
        <v>22</v>
      </c>
      <c r="AE52" s="131">
        <f>IFERROR(__xludf.DUMMYFUNCTION("""COMPUTED_VALUE"""),48.0)</f>
        <v>48</v>
      </c>
      <c r="AF52" s="131">
        <f>IFERROR(__xludf.DUMMYFUNCTION("""COMPUTED_VALUE"""),242.0)</f>
        <v>242</v>
      </c>
      <c r="AG52" s="131">
        <f>IFERROR(__xludf.DUMMYFUNCTION("""COMPUTED_VALUE"""),98.0)</f>
        <v>98</v>
      </c>
      <c r="AH52" s="131">
        <f>IFERROR(__xludf.DUMMYFUNCTION("""COMPUTED_VALUE"""),98.0)</f>
        <v>98</v>
      </c>
      <c r="AI52" s="131"/>
      <c r="AJ52" s="131"/>
      <c r="AK52" s="131"/>
    </row>
    <row r="53">
      <c r="A53" s="145" t="str">
        <f>IFERROR(__xludf.DUMMYFUNCTION("""COMPUTED_VALUE"""),"Y")</f>
        <v>Y</v>
      </c>
      <c r="B53" s="146" t="str">
        <f>IFERROR(__xludf.DUMMYFUNCTION("""COMPUTED_VALUE"""),"3")</f>
        <v>3</v>
      </c>
      <c r="C53" s="146"/>
      <c r="D53" s="147">
        <f>IFERROR(__xludf.DUMMYFUNCTION("""COMPUTED_VALUE"""),45602.0)</f>
        <v>45602</v>
      </c>
      <c r="E53" s="147">
        <f>IFERROR(__xludf.DUMMYFUNCTION("""COMPUTED_VALUE"""),45609.0)</f>
        <v>45609</v>
      </c>
      <c r="F53" s="147">
        <f>IFERROR(__xludf.DUMMYFUNCTION("""COMPUTED_VALUE"""),45630.0)</f>
        <v>45630</v>
      </c>
      <c r="G53" s="146" t="str">
        <f>IFERROR(__xludf.DUMMYFUNCTION("""COMPUTED_VALUE"""),"D37-2R")</f>
        <v>D37-2R</v>
      </c>
      <c r="H53" s="148">
        <f>IFERROR(__xludf.DUMMYFUNCTION("""COMPUTED_VALUE"""),3.0)</f>
        <v>3</v>
      </c>
      <c r="I53" s="148">
        <f>IFERROR(__xludf.DUMMYFUNCTION("""COMPUTED_VALUE"""),45.0)</f>
        <v>45</v>
      </c>
      <c r="J53" s="146">
        <f>IFERROR(__xludf.DUMMYFUNCTION("""COMPUTED_VALUE"""),22.0)</f>
        <v>22</v>
      </c>
      <c r="K53" s="146">
        <f>IFERROR(__xludf.DUMMYFUNCTION("""COMPUTED_VALUE"""),22.0)</f>
        <v>22</v>
      </c>
      <c r="L53" s="146">
        <f>IFERROR(__xludf.DUMMYFUNCTION("""COMPUTED_VALUE"""),48.0)</f>
        <v>48</v>
      </c>
      <c r="M53" s="146">
        <f>IFERROR(__xludf.DUMMYFUNCTION("""COMPUTED_VALUE"""),242.0)</f>
        <v>242</v>
      </c>
      <c r="N53" s="146">
        <f>IFERROR(__xludf.DUMMYFUNCTION("""COMPUTED_VALUE"""),98.0)</f>
        <v>98</v>
      </c>
      <c r="O53" s="146">
        <f>IFERROR(__xludf.DUMMYFUNCTION("""COMPUTED_VALUE"""),98.0)</f>
        <v>98</v>
      </c>
      <c r="P53" s="146"/>
      <c r="Q53" s="146"/>
      <c r="R53" s="146"/>
      <c r="T53" s="131" t="str">
        <f>IFERROR(__xludf.DUMMYFUNCTION("""COMPUTED_VALUE"""),"Y")</f>
        <v>Y</v>
      </c>
      <c r="U53" s="131" t="str">
        <f>IFERROR(__xludf.DUMMYFUNCTION("""COMPUTED_VALUE"""),"3")</f>
        <v>3</v>
      </c>
      <c r="V53" s="131"/>
      <c r="W53" s="144">
        <f>IFERROR(__xludf.DUMMYFUNCTION("""COMPUTED_VALUE"""),45602.0)</f>
        <v>45602</v>
      </c>
      <c r="X53" s="144">
        <f>IFERROR(__xludf.DUMMYFUNCTION("""COMPUTED_VALUE"""),45609.0)</f>
        <v>45609</v>
      </c>
      <c r="Y53" s="144">
        <f>IFERROR(__xludf.DUMMYFUNCTION("""COMPUTED_VALUE"""),45630.0)</f>
        <v>45630</v>
      </c>
      <c r="Z53" s="131" t="str">
        <f>IFERROR(__xludf.DUMMYFUNCTION("""COMPUTED_VALUE"""),"D37-2R")</f>
        <v>D37-2R</v>
      </c>
      <c r="AA53" s="131">
        <f>IFERROR(__xludf.DUMMYFUNCTION("""COMPUTED_VALUE"""),291.0)</f>
        <v>291</v>
      </c>
      <c r="AB53" s="131">
        <f>IFERROR(__xludf.DUMMYFUNCTION("""COMPUTED_VALUE"""),309.0)</f>
        <v>309</v>
      </c>
      <c r="AC53" s="131">
        <f>IFERROR(__xludf.DUMMYFUNCTION("""COMPUTED_VALUE"""),10.0)</f>
        <v>10</v>
      </c>
      <c r="AD53" s="131">
        <f>IFERROR(__xludf.DUMMYFUNCTION("""COMPUTED_VALUE"""),10.0)</f>
        <v>10</v>
      </c>
      <c r="AE53" s="131">
        <f>IFERROR(__xludf.DUMMYFUNCTION("""COMPUTED_VALUE"""),280.0)</f>
        <v>280</v>
      </c>
      <c r="AF53" s="131">
        <f>IFERROR(__xludf.DUMMYFUNCTION("""COMPUTED_VALUE"""),288.0)</f>
        <v>288</v>
      </c>
      <c r="AG53" s="131">
        <f>IFERROR(__xludf.DUMMYFUNCTION("""COMPUTED_VALUE"""),5.0)</f>
        <v>5</v>
      </c>
      <c r="AH53" s="131">
        <f>IFERROR(__xludf.DUMMYFUNCTION("""COMPUTED_VALUE"""),5.0)</f>
        <v>5</v>
      </c>
      <c r="AI53" s="131"/>
      <c r="AJ53" s="131"/>
      <c r="AK53" s="131"/>
    </row>
    <row r="54">
      <c r="A54" s="145" t="str">
        <f>IFERROR(__xludf.DUMMYFUNCTION("""COMPUTED_VALUE"""),"Y")</f>
        <v>Y</v>
      </c>
      <c r="B54" s="146" t="str">
        <f>IFERROR(__xludf.DUMMYFUNCTION("""COMPUTED_VALUE"""),"3")</f>
        <v>3</v>
      </c>
      <c r="C54" s="146"/>
      <c r="D54" s="147">
        <f>IFERROR(__xludf.DUMMYFUNCTION("""COMPUTED_VALUE"""),45602.0)</f>
        <v>45602</v>
      </c>
      <c r="E54" s="147">
        <f>IFERROR(__xludf.DUMMYFUNCTION("""COMPUTED_VALUE"""),45609.0)</f>
        <v>45609</v>
      </c>
      <c r="F54" s="147">
        <f>IFERROR(__xludf.DUMMYFUNCTION("""COMPUTED_VALUE"""),45630.0)</f>
        <v>45630</v>
      </c>
      <c r="G54" s="146" t="str">
        <f>IFERROR(__xludf.DUMMYFUNCTION("""COMPUTED_VALUE"""),"D37-2R")</f>
        <v>D37-2R</v>
      </c>
      <c r="H54" s="148">
        <f>IFERROR(__xludf.DUMMYFUNCTION("""COMPUTED_VALUE"""),291.0)</f>
        <v>291</v>
      </c>
      <c r="I54" s="148">
        <f>IFERROR(__xludf.DUMMYFUNCTION("""COMPUTED_VALUE"""),309.0)</f>
        <v>309</v>
      </c>
      <c r="J54" s="146">
        <f>IFERROR(__xludf.DUMMYFUNCTION("""COMPUTED_VALUE"""),10.0)</f>
        <v>10</v>
      </c>
      <c r="K54" s="146">
        <f>IFERROR(__xludf.DUMMYFUNCTION("""COMPUTED_VALUE"""),10.0)</f>
        <v>10</v>
      </c>
      <c r="L54" s="146">
        <f>IFERROR(__xludf.DUMMYFUNCTION("""COMPUTED_VALUE"""),280.0)</f>
        <v>280</v>
      </c>
      <c r="M54" s="146">
        <f>IFERROR(__xludf.DUMMYFUNCTION("""COMPUTED_VALUE"""),288.0)</f>
        <v>288</v>
      </c>
      <c r="N54" s="146">
        <f>IFERROR(__xludf.DUMMYFUNCTION("""COMPUTED_VALUE"""),5.0)</f>
        <v>5</v>
      </c>
      <c r="O54" s="146">
        <f>IFERROR(__xludf.DUMMYFUNCTION("""COMPUTED_VALUE"""),5.0)</f>
        <v>5</v>
      </c>
      <c r="P54" s="146"/>
      <c r="Q54" s="146"/>
      <c r="R54" s="146"/>
      <c r="T54" s="131" t="str">
        <f>IFERROR(__xludf.DUMMYFUNCTION("""COMPUTED_VALUE"""),"Y")</f>
        <v>Y</v>
      </c>
      <c r="U54" s="131" t="str">
        <f>IFERROR(__xludf.DUMMYFUNCTION("""COMPUTED_VALUE"""),"3")</f>
        <v>3</v>
      </c>
      <c r="V54" s="131"/>
      <c r="W54" s="144">
        <f>IFERROR(__xludf.DUMMYFUNCTION("""COMPUTED_VALUE"""),45603.0)</f>
        <v>45603</v>
      </c>
      <c r="X54" s="144">
        <f>IFERROR(__xludf.DUMMYFUNCTION("""COMPUTED_VALUE"""),45610.0)</f>
        <v>45610</v>
      </c>
      <c r="Y54" s="144">
        <f>IFERROR(__xludf.DUMMYFUNCTION("""COMPUTED_VALUE"""),45631.0)</f>
        <v>45631</v>
      </c>
      <c r="Z54" s="131" t="str">
        <f>IFERROR(__xludf.DUMMYFUNCTION("""COMPUTED_VALUE"""),"D37-2L")</f>
        <v>D37-2L</v>
      </c>
      <c r="AA54" s="131">
        <f>IFERROR(__xludf.DUMMYFUNCTION("""COMPUTED_VALUE"""),3.0)</f>
        <v>3</v>
      </c>
      <c r="AB54" s="131">
        <f>IFERROR(__xludf.DUMMYFUNCTION("""COMPUTED_VALUE"""),43.0)</f>
        <v>43</v>
      </c>
      <c r="AC54" s="131">
        <f>IFERROR(__xludf.DUMMYFUNCTION("""COMPUTED_VALUE"""),21.0)</f>
        <v>21</v>
      </c>
      <c r="AD54" s="131">
        <f>IFERROR(__xludf.DUMMYFUNCTION("""COMPUTED_VALUE"""),21.0)</f>
        <v>21</v>
      </c>
      <c r="AE54" s="131"/>
      <c r="AF54" s="131"/>
      <c r="AG54" s="131"/>
      <c r="AH54" s="131"/>
      <c r="AI54" s="131"/>
      <c r="AJ54" s="131"/>
      <c r="AK54" s="131"/>
    </row>
    <row r="55">
      <c r="A55" s="145" t="str">
        <f>IFERROR(__xludf.DUMMYFUNCTION("""COMPUTED_VALUE"""),"Y")</f>
        <v>Y</v>
      </c>
      <c r="B55" s="146" t="str">
        <f>IFERROR(__xludf.DUMMYFUNCTION("""COMPUTED_VALUE"""),"3")</f>
        <v>3</v>
      </c>
      <c r="C55" s="146"/>
      <c r="D55" s="147">
        <f>IFERROR(__xludf.DUMMYFUNCTION("""COMPUTED_VALUE"""),45603.0)</f>
        <v>45603</v>
      </c>
      <c r="E55" s="147">
        <f>IFERROR(__xludf.DUMMYFUNCTION("""COMPUTED_VALUE"""),45610.0)</f>
        <v>45610</v>
      </c>
      <c r="F55" s="147">
        <f>IFERROR(__xludf.DUMMYFUNCTION("""COMPUTED_VALUE"""),45631.0)</f>
        <v>45631</v>
      </c>
      <c r="G55" s="146" t="str">
        <f>IFERROR(__xludf.DUMMYFUNCTION("""COMPUTED_VALUE"""),"D37-2L")</f>
        <v>D37-2L</v>
      </c>
      <c r="H55" s="148">
        <f>IFERROR(__xludf.DUMMYFUNCTION("""COMPUTED_VALUE"""),3.0)</f>
        <v>3</v>
      </c>
      <c r="I55" s="148">
        <f>IFERROR(__xludf.DUMMYFUNCTION("""COMPUTED_VALUE"""),43.0)</f>
        <v>43</v>
      </c>
      <c r="J55" s="146">
        <f>IFERROR(__xludf.DUMMYFUNCTION("""COMPUTED_VALUE"""),21.0)</f>
        <v>21</v>
      </c>
      <c r="K55" s="146">
        <f>IFERROR(__xludf.DUMMYFUNCTION("""COMPUTED_VALUE"""),21.0)</f>
        <v>21</v>
      </c>
      <c r="L55" s="146"/>
      <c r="M55" s="146"/>
      <c r="N55" s="146"/>
      <c r="O55" s="146"/>
      <c r="P55" s="146"/>
      <c r="Q55" s="146"/>
      <c r="R55" s="146"/>
      <c r="T55" s="131" t="str">
        <f>IFERROR(__xludf.DUMMYFUNCTION("""COMPUTED_VALUE"""),"Y")</f>
        <v>Y</v>
      </c>
      <c r="U55" s="131" t="str">
        <f>IFERROR(__xludf.DUMMYFUNCTION("""COMPUTED_VALUE"""),"3")</f>
        <v>3</v>
      </c>
      <c r="V55" s="131"/>
      <c r="W55" s="144">
        <f>IFERROR(__xludf.DUMMYFUNCTION("""COMPUTED_VALUE"""),45603.0)</f>
        <v>45603</v>
      </c>
      <c r="X55" s="144">
        <f>IFERROR(__xludf.DUMMYFUNCTION("""COMPUTED_VALUE"""),45610.0)</f>
        <v>45610</v>
      </c>
      <c r="Y55" s="144">
        <f>IFERROR(__xludf.DUMMYFUNCTION("""COMPUTED_VALUE"""),45631.0)</f>
        <v>45631</v>
      </c>
      <c r="Z55" s="131" t="str">
        <f>IFERROR(__xludf.DUMMYFUNCTION("""COMPUTED_VALUE"""),"D34-4L")</f>
        <v>D34-4L</v>
      </c>
      <c r="AA55" s="131">
        <f>IFERROR(__xludf.DUMMYFUNCTION("""COMPUTED_VALUE"""),3.0)</f>
        <v>3</v>
      </c>
      <c r="AB55" s="131">
        <f>IFERROR(__xludf.DUMMYFUNCTION("""COMPUTED_VALUE"""),125.0)</f>
        <v>125</v>
      </c>
      <c r="AC55" s="131">
        <f>IFERROR(__xludf.DUMMYFUNCTION("""COMPUTED_VALUE"""),62.0)</f>
        <v>62</v>
      </c>
      <c r="AD55" s="131">
        <f>IFERROR(__xludf.DUMMYFUNCTION("""COMPUTED_VALUE"""),62.0)</f>
        <v>62</v>
      </c>
      <c r="AE55" s="131"/>
      <c r="AF55" s="131"/>
      <c r="AG55" s="131"/>
      <c r="AH55" s="131"/>
      <c r="AI55" s="131"/>
      <c r="AJ55" s="131"/>
      <c r="AK55" s="131"/>
    </row>
    <row r="56">
      <c r="A56" s="145" t="str">
        <f>IFERROR(__xludf.DUMMYFUNCTION("""COMPUTED_VALUE"""),"Y")</f>
        <v>Y</v>
      </c>
      <c r="B56" s="146" t="str">
        <f>IFERROR(__xludf.DUMMYFUNCTION("""COMPUTED_VALUE"""),"3")</f>
        <v>3</v>
      </c>
      <c r="C56" s="146"/>
      <c r="D56" s="147">
        <f>IFERROR(__xludf.DUMMYFUNCTION("""COMPUTED_VALUE"""),45603.0)</f>
        <v>45603</v>
      </c>
      <c r="E56" s="147">
        <f>IFERROR(__xludf.DUMMYFUNCTION("""COMPUTED_VALUE"""),45610.0)</f>
        <v>45610</v>
      </c>
      <c r="F56" s="147">
        <f>IFERROR(__xludf.DUMMYFUNCTION("""COMPUTED_VALUE"""),45631.0)</f>
        <v>45631</v>
      </c>
      <c r="G56" s="146" t="str">
        <f>IFERROR(__xludf.DUMMYFUNCTION("""COMPUTED_VALUE"""),"D34-4L")</f>
        <v>D34-4L</v>
      </c>
      <c r="H56" s="148">
        <f>IFERROR(__xludf.DUMMYFUNCTION("""COMPUTED_VALUE"""),3.0)</f>
        <v>3</v>
      </c>
      <c r="I56" s="148">
        <f>IFERROR(__xludf.DUMMYFUNCTION("""COMPUTED_VALUE"""),125.0)</f>
        <v>125</v>
      </c>
      <c r="J56" s="146">
        <f>IFERROR(__xludf.DUMMYFUNCTION("""COMPUTED_VALUE"""),62.0)</f>
        <v>62</v>
      </c>
      <c r="K56" s="146">
        <f>IFERROR(__xludf.DUMMYFUNCTION("""COMPUTED_VALUE"""),62.0)</f>
        <v>62</v>
      </c>
      <c r="L56" s="146"/>
      <c r="M56" s="146"/>
      <c r="N56" s="146"/>
      <c r="O56" s="146"/>
      <c r="P56" s="146"/>
      <c r="Q56" s="146"/>
      <c r="R56" s="146"/>
      <c r="T56" s="131" t="str">
        <f>IFERROR(__xludf.DUMMYFUNCTION("""COMPUTED_VALUE"""),"Y")</f>
        <v>Y</v>
      </c>
      <c r="U56" s="131" t="str">
        <f>IFERROR(__xludf.DUMMYFUNCTION("""COMPUTED_VALUE"""),"3")</f>
        <v>3</v>
      </c>
      <c r="V56" s="131"/>
      <c r="W56" s="144">
        <f>IFERROR(__xludf.DUMMYFUNCTION("""COMPUTED_VALUE"""),45603.0)</f>
        <v>45603</v>
      </c>
      <c r="X56" s="144">
        <f>IFERROR(__xludf.DUMMYFUNCTION("""COMPUTED_VALUE"""),45610.0)</f>
        <v>45610</v>
      </c>
      <c r="Y56" s="144">
        <f>IFERROR(__xludf.DUMMYFUNCTION("""COMPUTED_VALUE"""),45631.0)</f>
        <v>45631</v>
      </c>
      <c r="Z56" s="131" t="str">
        <f>IFERROR(__xludf.DUMMYFUNCTION("""COMPUTED_VALUE"""),"D37-2R")</f>
        <v>D37-2R</v>
      </c>
      <c r="AA56" s="131"/>
      <c r="AB56" s="131"/>
      <c r="AC56" s="131"/>
      <c r="AD56" s="131"/>
      <c r="AE56" s="131">
        <f>IFERROR(__xludf.DUMMYFUNCTION("""COMPUTED_VALUE"""),4.0)</f>
        <v>4</v>
      </c>
      <c r="AF56" s="131">
        <f>IFERROR(__xludf.DUMMYFUNCTION("""COMPUTED_VALUE"""),46.0)</f>
        <v>46</v>
      </c>
      <c r="AG56" s="131">
        <f>IFERROR(__xludf.DUMMYFUNCTION("""COMPUTED_VALUE"""),22.0)</f>
        <v>22</v>
      </c>
      <c r="AH56" s="131">
        <f>IFERROR(__xludf.DUMMYFUNCTION("""COMPUTED_VALUE"""),22.0)</f>
        <v>22</v>
      </c>
      <c r="AI56" s="131"/>
      <c r="AJ56" s="131"/>
      <c r="AK56" s="131"/>
    </row>
    <row r="57">
      <c r="A57" s="145" t="str">
        <f>IFERROR(__xludf.DUMMYFUNCTION("""COMPUTED_VALUE"""),"Y")</f>
        <v>Y</v>
      </c>
      <c r="B57" s="146" t="str">
        <f>IFERROR(__xludf.DUMMYFUNCTION("""COMPUTED_VALUE"""),"3")</f>
        <v>3</v>
      </c>
      <c r="C57" s="146"/>
      <c r="D57" s="147">
        <f>IFERROR(__xludf.DUMMYFUNCTION("""COMPUTED_VALUE"""),45603.0)</f>
        <v>45603</v>
      </c>
      <c r="E57" s="147">
        <f>IFERROR(__xludf.DUMMYFUNCTION("""COMPUTED_VALUE"""),45610.0)</f>
        <v>45610</v>
      </c>
      <c r="F57" s="147">
        <f>IFERROR(__xludf.DUMMYFUNCTION("""COMPUTED_VALUE"""),45631.0)</f>
        <v>45631</v>
      </c>
      <c r="G57" s="146" t="str">
        <f>IFERROR(__xludf.DUMMYFUNCTION("""COMPUTED_VALUE"""),"D37-2R")</f>
        <v>D37-2R</v>
      </c>
      <c r="H57" s="148"/>
      <c r="I57" s="148"/>
      <c r="J57" s="146"/>
      <c r="K57" s="146"/>
      <c r="L57" s="146">
        <f>IFERROR(__xludf.DUMMYFUNCTION("""COMPUTED_VALUE"""),4.0)</f>
        <v>4</v>
      </c>
      <c r="M57" s="146">
        <f>IFERROR(__xludf.DUMMYFUNCTION("""COMPUTED_VALUE"""),46.0)</f>
        <v>46</v>
      </c>
      <c r="N57" s="146">
        <f>IFERROR(__xludf.DUMMYFUNCTION("""COMPUTED_VALUE"""),22.0)</f>
        <v>22</v>
      </c>
      <c r="O57" s="146">
        <f>IFERROR(__xludf.DUMMYFUNCTION("""COMPUTED_VALUE"""),22.0)</f>
        <v>22</v>
      </c>
      <c r="P57" s="146"/>
      <c r="Q57" s="146"/>
      <c r="R57" s="146"/>
      <c r="T57" s="131" t="str">
        <f>IFERROR(__xludf.DUMMYFUNCTION("""COMPUTED_VALUE"""),"Y")</f>
        <v>Y</v>
      </c>
      <c r="U57" s="131" t="str">
        <f>IFERROR(__xludf.DUMMYFUNCTION("""COMPUTED_VALUE"""),"3")</f>
        <v>3</v>
      </c>
      <c r="V57" s="131"/>
      <c r="W57" s="144">
        <f>IFERROR(__xludf.DUMMYFUNCTION("""COMPUTED_VALUE"""),45603.0)</f>
        <v>45603</v>
      </c>
      <c r="X57" s="144">
        <f>IFERROR(__xludf.DUMMYFUNCTION("""COMPUTED_VALUE"""),45610.0)</f>
        <v>45610</v>
      </c>
      <c r="Y57" s="144">
        <f>IFERROR(__xludf.DUMMYFUNCTION("""COMPUTED_VALUE"""),45631.0)</f>
        <v>45631</v>
      </c>
      <c r="Z57" s="131" t="str">
        <f>IFERROR(__xludf.DUMMYFUNCTION("""COMPUTED_VALUE"""),"D37-2R")</f>
        <v>D37-2R</v>
      </c>
      <c r="AA57" s="131"/>
      <c r="AB57" s="131"/>
      <c r="AC57" s="131"/>
      <c r="AD57" s="131"/>
      <c r="AE57" s="131">
        <f>IFERROR(__xludf.DUMMYFUNCTION("""COMPUTED_VALUE"""),244.0)</f>
        <v>244</v>
      </c>
      <c r="AF57" s="131">
        <f>IFERROR(__xludf.DUMMYFUNCTION("""COMPUTED_VALUE"""),278.0)</f>
        <v>278</v>
      </c>
      <c r="AG57" s="131">
        <f>IFERROR(__xludf.DUMMYFUNCTION("""COMPUTED_VALUE"""),18.0)</f>
        <v>18</v>
      </c>
      <c r="AH57" s="131">
        <f>IFERROR(__xludf.DUMMYFUNCTION("""COMPUTED_VALUE"""),18.0)</f>
        <v>18</v>
      </c>
      <c r="AI57" s="131"/>
      <c r="AJ57" s="131"/>
      <c r="AK57" s="131"/>
    </row>
    <row r="58">
      <c r="A58" s="145" t="str">
        <f>IFERROR(__xludf.DUMMYFUNCTION("""COMPUTED_VALUE"""),"Y")</f>
        <v>Y</v>
      </c>
      <c r="B58" s="146" t="str">
        <f>IFERROR(__xludf.DUMMYFUNCTION("""COMPUTED_VALUE"""),"3")</f>
        <v>3</v>
      </c>
      <c r="C58" s="146"/>
      <c r="D58" s="147">
        <f>IFERROR(__xludf.DUMMYFUNCTION("""COMPUTED_VALUE"""),45603.0)</f>
        <v>45603</v>
      </c>
      <c r="E58" s="147">
        <f>IFERROR(__xludf.DUMMYFUNCTION("""COMPUTED_VALUE"""),45610.0)</f>
        <v>45610</v>
      </c>
      <c r="F58" s="147">
        <f>IFERROR(__xludf.DUMMYFUNCTION("""COMPUTED_VALUE"""),45631.0)</f>
        <v>45631</v>
      </c>
      <c r="G58" s="146" t="str">
        <f>IFERROR(__xludf.DUMMYFUNCTION("""COMPUTED_VALUE"""),"D37-2R")</f>
        <v>D37-2R</v>
      </c>
      <c r="H58" s="148"/>
      <c r="I58" s="148"/>
      <c r="J58" s="146"/>
      <c r="K58" s="146"/>
      <c r="L58" s="146">
        <f>IFERROR(__xludf.DUMMYFUNCTION("""COMPUTED_VALUE"""),244.0)</f>
        <v>244</v>
      </c>
      <c r="M58" s="146">
        <f>IFERROR(__xludf.DUMMYFUNCTION("""COMPUTED_VALUE"""),278.0)</f>
        <v>278</v>
      </c>
      <c r="N58" s="146">
        <f>IFERROR(__xludf.DUMMYFUNCTION("""COMPUTED_VALUE"""),18.0)</f>
        <v>18</v>
      </c>
      <c r="O58" s="146">
        <f>IFERROR(__xludf.DUMMYFUNCTION("""COMPUTED_VALUE"""),18.0)</f>
        <v>18</v>
      </c>
      <c r="P58" s="146"/>
      <c r="Q58" s="146"/>
      <c r="R58" s="146"/>
      <c r="T58" s="131" t="str">
        <f>IFERROR(__xludf.DUMMYFUNCTION("""COMPUTED_VALUE"""),"Y")</f>
        <v>Y</v>
      </c>
      <c r="U58" s="131" t="str">
        <f>IFERROR(__xludf.DUMMYFUNCTION("""COMPUTED_VALUE"""),"3")</f>
        <v>3</v>
      </c>
      <c r="V58" s="131"/>
      <c r="W58" s="144">
        <f>IFERROR(__xludf.DUMMYFUNCTION("""COMPUTED_VALUE"""),45603.0)</f>
        <v>45603</v>
      </c>
      <c r="X58" s="144">
        <f>IFERROR(__xludf.DUMMYFUNCTION("""COMPUTED_VALUE"""),45610.0)</f>
        <v>45610</v>
      </c>
      <c r="Y58" s="144">
        <f>IFERROR(__xludf.DUMMYFUNCTION("""COMPUTED_VALUE"""),45631.0)</f>
        <v>45631</v>
      </c>
      <c r="Z58" s="131" t="str">
        <f>IFERROR(__xludf.DUMMYFUNCTION("""COMPUTED_VALUE"""),"D37-2R")</f>
        <v>D37-2R</v>
      </c>
      <c r="AA58" s="131"/>
      <c r="AB58" s="131"/>
      <c r="AC58" s="131"/>
      <c r="AD58" s="131"/>
      <c r="AE58" s="131">
        <f>IFERROR(__xludf.DUMMYFUNCTION("""COMPUTED_VALUE"""),290.0)</f>
        <v>290</v>
      </c>
      <c r="AF58" s="131">
        <f>IFERROR(__xludf.DUMMYFUNCTION("""COMPUTED_VALUE"""),310.0)</f>
        <v>310</v>
      </c>
      <c r="AG58" s="131">
        <f>IFERROR(__xludf.DUMMYFUNCTION("""COMPUTED_VALUE"""),11.0)</f>
        <v>11</v>
      </c>
      <c r="AH58" s="131">
        <f>IFERROR(__xludf.DUMMYFUNCTION("""COMPUTED_VALUE"""),11.0)</f>
        <v>11</v>
      </c>
      <c r="AI58" s="131"/>
      <c r="AJ58" s="131"/>
      <c r="AK58" s="131"/>
    </row>
    <row r="59">
      <c r="A59" s="145" t="str">
        <f>IFERROR(__xludf.DUMMYFUNCTION("""COMPUTED_VALUE"""),"Y")</f>
        <v>Y</v>
      </c>
      <c r="B59" s="146" t="str">
        <f>IFERROR(__xludf.DUMMYFUNCTION("""COMPUTED_VALUE"""),"3")</f>
        <v>3</v>
      </c>
      <c r="C59" s="146"/>
      <c r="D59" s="147">
        <f>IFERROR(__xludf.DUMMYFUNCTION("""COMPUTED_VALUE"""),45603.0)</f>
        <v>45603</v>
      </c>
      <c r="E59" s="147">
        <f>IFERROR(__xludf.DUMMYFUNCTION("""COMPUTED_VALUE"""),45610.0)</f>
        <v>45610</v>
      </c>
      <c r="F59" s="147">
        <f>IFERROR(__xludf.DUMMYFUNCTION("""COMPUTED_VALUE"""),45631.0)</f>
        <v>45631</v>
      </c>
      <c r="G59" s="146" t="str">
        <f>IFERROR(__xludf.DUMMYFUNCTION("""COMPUTED_VALUE"""),"D37-2R")</f>
        <v>D37-2R</v>
      </c>
      <c r="H59" s="148"/>
      <c r="I59" s="148"/>
      <c r="J59" s="146"/>
      <c r="K59" s="146"/>
      <c r="L59" s="146">
        <f>IFERROR(__xludf.DUMMYFUNCTION("""COMPUTED_VALUE"""),290.0)</f>
        <v>290</v>
      </c>
      <c r="M59" s="146">
        <f>IFERROR(__xludf.DUMMYFUNCTION("""COMPUTED_VALUE"""),310.0)</f>
        <v>310</v>
      </c>
      <c r="N59" s="146">
        <f>IFERROR(__xludf.DUMMYFUNCTION("""COMPUTED_VALUE"""),11.0)</f>
        <v>11</v>
      </c>
      <c r="O59" s="146">
        <f>IFERROR(__xludf.DUMMYFUNCTION("""COMPUTED_VALUE"""),11.0)</f>
        <v>11</v>
      </c>
      <c r="P59" s="146"/>
      <c r="Q59" s="146"/>
      <c r="R59" s="146"/>
      <c r="T59" s="131" t="str">
        <f>IFERROR(__xludf.DUMMYFUNCTION("""COMPUTED_VALUE"""),"Y")</f>
        <v>Y</v>
      </c>
      <c r="U59" s="131" t="str">
        <f>IFERROR(__xludf.DUMMYFUNCTION("""COMPUTED_VALUE"""),"3")</f>
        <v>3</v>
      </c>
      <c r="V59" s="131"/>
      <c r="W59" s="144">
        <f>IFERROR(__xludf.DUMMYFUNCTION("""COMPUTED_VALUE"""),45605.0)</f>
        <v>45605</v>
      </c>
      <c r="X59" s="144">
        <f>IFERROR(__xludf.DUMMYFUNCTION("""COMPUTED_VALUE"""),45612.0)</f>
        <v>45612</v>
      </c>
      <c r="Y59" s="144">
        <f>IFERROR(__xludf.DUMMYFUNCTION("""COMPUTED_VALUE"""),45633.0)</f>
        <v>45633</v>
      </c>
      <c r="Z59" s="131" t="str">
        <f>IFERROR(__xludf.DUMMYFUNCTION("""COMPUTED_VALUE"""),"D37-2L")</f>
        <v>D37-2L</v>
      </c>
      <c r="AA59" s="131">
        <f>IFERROR(__xludf.DUMMYFUNCTION("""COMPUTED_VALUE"""),45.0)</f>
        <v>45</v>
      </c>
      <c r="AB59" s="131">
        <f>IFERROR(__xludf.DUMMYFUNCTION("""COMPUTED_VALUE"""),311.0)</f>
        <v>311</v>
      </c>
      <c r="AC59" s="131">
        <f>IFERROR(__xludf.DUMMYFUNCTION("""COMPUTED_VALUE"""),134.0)</f>
        <v>134</v>
      </c>
      <c r="AD59" s="131">
        <f>IFERROR(__xludf.DUMMYFUNCTION("""COMPUTED_VALUE"""),134.0)</f>
        <v>134</v>
      </c>
      <c r="AE59" s="131">
        <f>IFERROR(__xludf.DUMMYFUNCTION("""COMPUTED_VALUE"""),4.0)</f>
        <v>4</v>
      </c>
      <c r="AF59" s="131">
        <f>IFERROR(__xludf.DUMMYFUNCTION("""COMPUTED_VALUE"""),16.0)</f>
        <v>16</v>
      </c>
      <c r="AG59" s="131">
        <f>IFERROR(__xludf.DUMMYFUNCTION("""COMPUTED_VALUE"""),7.0)</f>
        <v>7</v>
      </c>
      <c r="AH59" s="131">
        <f>IFERROR(__xludf.DUMMYFUNCTION("""COMPUTED_VALUE"""),7.0)</f>
        <v>7</v>
      </c>
      <c r="AI59" s="131"/>
      <c r="AJ59" s="131"/>
      <c r="AK59" s="131"/>
    </row>
    <row r="60">
      <c r="A60" s="145" t="str">
        <f>IFERROR(__xludf.DUMMYFUNCTION("""COMPUTED_VALUE"""),"Y")</f>
        <v>Y</v>
      </c>
      <c r="B60" s="146" t="str">
        <f>IFERROR(__xludf.DUMMYFUNCTION("""COMPUTED_VALUE"""),"3")</f>
        <v>3</v>
      </c>
      <c r="C60" s="146"/>
      <c r="D60" s="147">
        <f>IFERROR(__xludf.DUMMYFUNCTION("""COMPUTED_VALUE"""),45605.0)</f>
        <v>45605</v>
      </c>
      <c r="E60" s="147">
        <f>IFERROR(__xludf.DUMMYFUNCTION("""COMPUTED_VALUE"""),45612.0)</f>
        <v>45612</v>
      </c>
      <c r="F60" s="147">
        <f>IFERROR(__xludf.DUMMYFUNCTION("""COMPUTED_VALUE"""),45633.0)</f>
        <v>45633</v>
      </c>
      <c r="G60" s="146" t="str">
        <f>IFERROR(__xludf.DUMMYFUNCTION("""COMPUTED_VALUE"""),"D37-2L")</f>
        <v>D37-2L</v>
      </c>
      <c r="H60" s="148">
        <f>IFERROR(__xludf.DUMMYFUNCTION("""COMPUTED_VALUE"""),45.0)</f>
        <v>45</v>
      </c>
      <c r="I60" s="148">
        <f>IFERROR(__xludf.DUMMYFUNCTION("""COMPUTED_VALUE"""),311.0)</f>
        <v>311</v>
      </c>
      <c r="J60" s="146">
        <f>IFERROR(__xludf.DUMMYFUNCTION("""COMPUTED_VALUE"""),134.0)</f>
        <v>134</v>
      </c>
      <c r="K60" s="146">
        <f>IFERROR(__xludf.DUMMYFUNCTION("""COMPUTED_VALUE"""),134.0)</f>
        <v>134</v>
      </c>
      <c r="L60" s="146">
        <f>IFERROR(__xludf.DUMMYFUNCTION("""COMPUTED_VALUE"""),4.0)</f>
        <v>4</v>
      </c>
      <c r="M60" s="146">
        <f>IFERROR(__xludf.DUMMYFUNCTION("""COMPUTED_VALUE"""),16.0)</f>
        <v>16</v>
      </c>
      <c r="N60" s="146">
        <f>IFERROR(__xludf.DUMMYFUNCTION("""COMPUTED_VALUE"""),7.0)</f>
        <v>7</v>
      </c>
      <c r="O60" s="146">
        <f>IFERROR(__xludf.DUMMYFUNCTION("""COMPUTED_VALUE"""),7.0)</f>
        <v>7</v>
      </c>
      <c r="P60" s="146"/>
      <c r="Q60" s="146"/>
      <c r="R60" s="146"/>
      <c r="T60" s="131" t="str">
        <f>IFERROR(__xludf.DUMMYFUNCTION("""COMPUTED_VALUE"""),"Y")</f>
        <v>Y</v>
      </c>
      <c r="U60" s="131" t="str">
        <f>IFERROR(__xludf.DUMMYFUNCTION("""COMPUTED_VALUE"""),"3")</f>
        <v>3</v>
      </c>
      <c r="V60" s="131"/>
      <c r="W60" s="144">
        <f>IFERROR(__xludf.DUMMYFUNCTION("""COMPUTED_VALUE"""),45606.0)</f>
        <v>45606</v>
      </c>
      <c r="X60" s="144">
        <f>IFERROR(__xludf.DUMMYFUNCTION("""COMPUTED_VALUE"""),45613.0)</f>
        <v>45613</v>
      </c>
      <c r="Y60" s="144">
        <f>IFERROR(__xludf.DUMMYFUNCTION("""COMPUTED_VALUE"""),45634.0)</f>
        <v>45634</v>
      </c>
      <c r="Z60" s="131" t="str">
        <f>IFERROR(__xludf.DUMMYFUNCTION("""COMPUTED_VALUE"""),"D37-2L")</f>
        <v>D37-2L</v>
      </c>
      <c r="AA60" s="131"/>
      <c r="AB60" s="131"/>
      <c r="AC60" s="131"/>
      <c r="AD60" s="131"/>
      <c r="AE60" s="131">
        <f>IFERROR(__xludf.DUMMYFUNCTION("""COMPUTED_VALUE"""),18.0)</f>
        <v>18</v>
      </c>
      <c r="AF60" s="131">
        <f>IFERROR(__xludf.DUMMYFUNCTION("""COMPUTED_VALUE"""),254.0)</f>
        <v>254</v>
      </c>
      <c r="AG60" s="131">
        <f>IFERROR(__xludf.DUMMYFUNCTION("""COMPUTED_VALUE"""),119.0)</f>
        <v>119</v>
      </c>
      <c r="AH60" s="131">
        <f>IFERROR(__xludf.DUMMYFUNCTION("""COMPUTED_VALUE"""),119.0)</f>
        <v>119</v>
      </c>
      <c r="AI60" s="131"/>
      <c r="AJ60" s="131"/>
      <c r="AK60" s="131"/>
    </row>
    <row r="61">
      <c r="A61" s="145" t="str">
        <f>IFERROR(__xludf.DUMMYFUNCTION("""COMPUTED_VALUE"""),"Y")</f>
        <v>Y</v>
      </c>
      <c r="B61" s="146" t="str">
        <f>IFERROR(__xludf.DUMMYFUNCTION("""COMPUTED_VALUE"""),"3")</f>
        <v>3</v>
      </c>
      <c r="C61" s="146"/>
      <c r="D61" s="147">
        <f>IFERROR(__xludf.DUMMYFUNCTION("""COMPUTED_VALUE"""),45606.0)</f>
        <v>45606</v>
      </c>
      <c r="E61" s="147">
        <f>IFERROR(__xludf.DUMMYFUNCTION("""COMPUTED_VALUE"""),45613.0)</f>
        <v>45613</v>
      </c>
      <c r="F61" s="147">
        <f>IFERROR(__xludf.DUMMYFUNCTION("""COMPUTED_VALUE"""),45634.0)</f>
        <v>45634</v>
      </c>
      <c r="G61" s="146" t="str">
        <f>IFERROR(__xludf.DUMMYFUNCTION("""COMPUTED_VALUE"""),"D37-2L")</f>
        <v>D37-2L</v>
      </c>
      <c r="H61" s="148"/>
      <c r="I61" s="148"/>
      <c r="J61" s="146"/>
      <c r="K61" s="146"/>
      <c r="L61" s="146">
        <f>IFERROR(__xludf.DUMMYFUNCTION("""COMPUTED_VALUE"""),18.0)</f>
        <v>18</v>
      </c>
      <c r="M61" s="146">
        <f>IFERROR(__xludf.DUMMYFUNCTION("""COMPUTED_VALUE"""),254.0)</f>
        <v>254</v>
      </c>
      <c r="N61" s="146">
        <f>IFERROR(__xludf.DUMMYFUNCTION("""COMPUTED_VALUE"""),119.0)</f>
        <v>119</v>
      </c>
      <c r="O61" s="146">
        <f>IFERROR(__xludf.DUMMYFUNCTION("""COMPUTED_VALUE"""),119.0)</f>
        <v>119</v>
      </c>
      <c r="P61" s="146"/>
      <c r="Q61" s="146"/>
      <c r="R61" s="146"/>
      <c r="T61" s="131" t="str">
        <f>IFERROR(__xludf.DUMMYFUNCTION("""COMPUTED_VALUE"""),"Y")</f>
        <v>Y</v>
      </c>
      <c r="U61" s="131" t="str">
        <f>IFERROR(__xludf.DUMMYFUNCTION("""COMPUTED_VALUE"""),"3")</f>
        <v>3</v>
      </c>
      <c r="V61" s="131" t="str">
        <f>IFERROR(__xludf.DUMMYFUNCTION("""COMPUTED_VALUE"""),"397-402")</f>
        <v>397-402</v>
      </c>
      <c r="W61" s="144">
        <f>IFERROR(__xludf.DUMMYFUNCTION("""COMPUTED_VALUE"""),45608.0)</f>
        <v>45608</v>
      </c>
      <c r="X61" s="144">
        <f>IFERROR(__xludf.DUMMYFUNCTION("""COMPUTED_VALUE"""),45615.0)</f>
        <v>45615</v>
      </c>
      <c r="Y61" s="144">
        <f>IFERROR(__xludf.DUMMYFUNCTION("""COMPUTED_VALUE"""),45636.0)</f>
        <v>45636</v>
      </c>
      <c r="Z61" s="131" t="str">
        <f>IFERROR(__xludf.DUMMYFUNCTION("""COMPUTED_VALUE"""),"D34-4L")</f>
        <v>D34-4L</v>
      </c>
      <c r="AA61" s="131">
        <f>IFERROR(__xludf.DUMMYFUNCTION("""COMPUTED_VALUE"""),129.0)</f>
        <v>129</v>
      </c>
      <c r="AB61" s="131">
        <f>IFERROR(__xludf.DUMMYFUNCTION("""COMPUTED_VALUE"""),187.0)</f>
        <v>187</v>
      </c>
      <c r="AC61" s="131">
        <f>IFERROR(__xludf.DUMMYFUNCTION("""COMPUTED_VALUE"""),30.0)</f>
        <v>30</v>
      </c>
      <c r="AD61" s="131">
        <f>IFERROR(__xludf.DUMMYFUNCTION("""COMPUTED_VALUE"""),30.0)</f>
        <v>30</v>
      </c>
      <c r="AE61" s="131">
        <f>IFERROR(__xludf.DUMMYFUNCTION("""COMPUTED_VALUE"""),4.0)</f>
        <v>4</v>
      </c>
      <c r="AF61" s="131">
        <f>IFERROR(__xludf.DUMMYFUNCTION("""COMPUTED_VALUE"""),130.0)</f>
        <v>130</v>
      </c>
      <c r="AG61" s="131">
        <f>IFERROR(__xludf.DUMMYFUNCTION("""COMPUTED_VALUE"""),64.0)</f>
        <v>64</v>
      </c>
      <c r="AH61" s="131">
        <f>IFERROR(__xludf.DUMMYFUNCTION("""COMPUTED_VALUE"""),64.0)</f>
        <v>64</v>
      </c>
      <c r="AI61" s="131"/>
      <c r="AJ61" s="131"/>
      <c r="AK61" s="131"/>
    </row>
    <row r="62">
      <c r="A62" s="145" t="str">
        <f>IFERROR(__xludf.DUMMYFUNCTION("""COMPUTED_VALUE"""),"Y")</f>
        <v>Y</v>
      </c>
      <c r="B62" s="146" t="str">
        <f>IFERROR(__xludf.DUMMYFUNCTION("""COMPUTED_VALUE"""),"3")</f>
        <v>3</v>
      </c>
      <c r="C62" s="146" t="str">
        <f>IFERROR(__xludf.DUMMYFUNCTION("""COMPUTED_VALUE"""),"397-402")</f>
        <v>397-402</v>
      </c>
      <c r="D62" s="147">
        <f>IFERROR(__xludf.DUMMYFUNCTION("""COMPUTED_VALUE"""),45608.0)</f>
        <v>45608</v>
      </c>
      <c r="E62" s="147">
        <f>IFERROR(__xludf.DUMMYFUNCTION("""COMPUTED_VALUE"""),45615.0)</f>
        <v>45615</v>
      </c>
      <c r="F62" s="147">
        <f>IFERROR(__xludf.DUMMYFUNCTION("""COMPUTED_VALUE"""),45636.0)</f>
        <v>45636</v>
      </c>
      <c r="G62" s="146" t="str">
        <f>IFERROR(__xludf.DUMMYFUNCTION("""COMPUTED_VALUE"""),"D34-4L")</f>
        <v>D34-4L</v>
      </c>
      <c r="H62" s="148">
        <f>IFERROR(__xludf.DUMMYFUNCTION("""COMPUTED_VALUE"""),129.0)</f>
        <v>129</v>
      </c>
      <c r="I62" s="148">
        <f>IFERROR(__xludf.DUMMYFUNCTION("""COMPUTED_VALUE"""),187.0)</f>
        <v>187</v>
      </c>
      <c r="J62" s="146">
        <f>IFERROR(__xludf.DUMMYFUNCTION("""COMPUTED_VALUE"""),30.0)</f>
        <v>30</v>
      </c>
      <c r="K62" s="146">
        <f>IFERROR(__xludf.DUMMYFUNCTION("""COMPUTED_VALUE"""),30.0)</f>
        <v>30</v>
      </c>
      <c r="L62" s="146">
        <f>IFERROR(__xludf.DUMMYFUNCTION("""COMPUTED_VALUE"""),4.0)</f>
        <v>4</v>
      </c>
      <c r="M62" s="146">
        <f>IFERROR(__xludf.DUMMYFUNCTION("""COMPUTED_VALUE"""),130.0)</f>
        <v>130</v>
      </c>
      <c r="N62" s="146">
        <f>IFERROR(__xludf.DUMMYFUNCTION("""COMPUTED_VALUE"""),64.0)</f>
        <v>64</v>
      </c>
      <c r="O62" s="146">
        <f>IFERROR(__xludf.DUMMYFUNCTION("""COMPUTED_VALUE"""),64.0)</f>
        <v>64</v>
      </c>
      <c r="P62" s="146"/>
      <c r="Q62" s="146"/>
      <c r="R62" s="146"/>
      <c r="T62" s="131" t="str">
        <f>IFERROR(__xludf.DUMMYFUNCTION("""COMPUTED_VALUE"""),"Y")</f>
        <v>Y</v>
      </c>
      <c r="U62" s="131" t="str">
        <f>IFERROR(__xludf.DUMMYFUNCTION("""COMPUTED_VALUE"""),"3")</f>
        <v>3</v>
      </c>
      <c r="V62" s="131" t="str">
        <f>IFERROR(__xludf.DUMMYFUNCTION("""COMPUTED_VALUE"""),"397-402")</f>
        <v>397-402</v>
      </c>
      <c r="W62" s="144">
        <f>IFERROR(__xludf.DUMMYFUNCTION("""COMPUTED_VALUE"""),45608.0)</f>
        <v>45608</v>
      </c>
      <c r="X62" s="144">
        <f>IFERROR(__xludf.DUMMYFUNCTION("""COMPUTED_VALUE"""),45615.0)</f>
        <v>45615</v>
      </c>
      <c r="Y62" s="144">
        <f>IFERROR(__xludf.DUMMYFUNCTION("""COMPUTED_VALUE"""),45636.0)</f>
        <v>45636</v>
      </c>
      <c r="Z62" s="131" t="str">
        <f>IFERROR(__xludf.DUMMYFUNCTION("""COMPUTED_VALUE"""),"D34-4R")</f>
        <v>D34-4R</v>
      </c>
      <c r="AA62" s="131"/>
      <c r="AB62" s="131"/>
      <c r="AC62" s="131"/>
      <c r="AD62" s="131"/>
      <c r="AE62" s="131">
        <f>IFERROR(__xludf.DUMMYFUNCTION("""COMPUTED_VALUE"""),78.0)</f>
        <v>78</v>
      </c>
      <c r="AF62" s="131">
        <f>IFERROR(__xludf.DUMMYFUNCTION("""COMPUTED_VALUE"""),94.0)</f>
        <v>94</v>
      </c>
      <c r="AG62" s="131">
        <f>IFERROR(__xludf.DUMMYFUNCTION("""COMPUTED_VALUE"""),9.0)</f>
        <v>9</v>
      </c>
      <c r="AH62" s="131">
        <f>IFERROR(__xludf.DUMMYFUNCTION("""COMPUTED_VALUE"""),9.0)</f>
        <v>9</v>
      </c>
      <c r="AI62" s="131"/>
      <c r="AJ62" s="131"/>
      <c r="AK62" s="131"/>
    </row>
    <row r="63">
      <c r="A63" s="145" t="str">
        <f>IFERROR(__xludf.DUMMYFUNCTION("""COMPUTED_VALUE"""),"Y")</f>
        <v>Y</v>
      </c>
      <c r="B63" s="146" t="str">
        <f>IFERROR(__xludf.DUMMYFUNCTION("""COMPUTED_VALUE"""),"3")</f>
        <v>3</v>
      </c>
      <c r="C63" s="146" t="str">
        <f>IFERROR(__xludf.DUMMYFUNCTION("""COMPUTED_VALUE"""),"397-402")</f>
        <v>397-402</v>
      </c>
      <c r="D63" s="147">
        <f>IFERROR(__xludf.DUMMYFUNCTION("""COMPUTED_VALUE"""),45608.0)</f>
        <v>45608</v>
      </c>
      <c r="E63" s="147">
        <f>IFERROR(__xludf.DUMMYFUNCTION("""COMPUTED_VALUE"""),45615.0)</f>
        <v>45615</v>
      </c>
      <c r="F63" s="147">
        <f>IFERROR(__xludf.DUMMYFUNCTION("""COMPUTED_VALUE"""),45636.0)</f>
        <v>45636</v>
      </c>
      <c r="G63" s="146" t="str">
        <f>IFERROR(__xludf.DUMMYFUNCTION("""COMPUTED_VALUE"""),"D34-4R")</f>
        <v>D34-4R</v>
      </c>
      <c r="H63" s="148"/>
      <c r="I63" s="148"/>
      <c r="J63" s="146"/>
      <c r="K63" s="146"/>
      <c r="L63" s="146">
        <f>IFERROR(__xludf.DUMMYFUNCTION("""COMPUTED_VALUE"""),78.0)</f>
        <v>78</v>
      </c>
      <c r="M63" s="146">
        <f>IFERROR(__xludf.DUMMYFUNCTION("""COMPUTED_VALUE"""),94.0)</f>
        <v>94</v>
      </c>
      <c r="N63" s="146">
        <f>IFERROR(__xludf.DUMMYFUNCTION("""COMPUTED_VALUE"""),9.0)</f>
        <v>9</v>
      </c>
      <c r="O63" s="146">
        <f>IFERROR(__xludf.DUMMYFUNCTION("""COMPUTED_VALUE"""),9.0)</f>
        <v>9</v>
      </c>
      <c r="P63" s="146"/>
      <c r="Q63" s="146"/>
      <c r="R63" s="146"/>
      <c r="T63" s="131" t="str">
        <f>IFERROR(__xludf.DUMMYFUNCTION("""COMPUTED_VALUE"""),"Y")</f>
        <v>Y</v>
      </c>
      <c r="U63" s="131" t="str">
        <f>IFERROR(__xludf.DUMMYFUNCTION("""COMPUTED_VALUE"""),"3")</f>
        <v>3</v>
      </c>
      <c r="V63" s="131" t="str">
        <f>IFERROR(__xludf.DUMMYFUNCTION("""COMPUTED_VALUE"""),"397-402")</f>
        <v>397-402</v>
      </c>
      <c r="W63" s="144">
        <f>IFERROR(__xludf.DUMMYFUNCTION("""COMPUTED_VALUE"""),45608.0)</f>
        <v>45608</v>
      </c>
      <c r="X63" s="144">
        <f>IFERROR(__xludf.DUMMYFUNCTION("""COMPUTED_VALUE"""),45615.0)</f>
        <v>45615</v>
      </c>
      <c r="Y63" s="144">
        <f>IFERROR(__xludf.DUMMYFUNCTION("""COMPUTED_VALUE"""),45636.0)</f>
        <v>45636</v>
      </c>
      <c r="Z63" s="131" t="str">
        <f>IFERROR(__xludf.DUMMYFUNCTION("""COMPUTED_VALUE"""),"D34-1L")</f>
        <v>D34-1L</v>
      </c>
      <c r="AA63" s="131"/>
      <c r="AB63" s="131"/>
      <c r="AC63" s="131"/>
      <c r="AD63" s="131"/>
      <c r="AE63" s="131">
        <f>IFERROR(__xludf.DUMMYFUNCTION("""COMPUTED_VALUE"""),268.0)</f>
        <v>268</v>
      </c>
      <c r="AF63" s="131">
        <f>IFERROR(__xludf.DUMMYFUNCTION("""COMPUTED_VALUE"""),286.0)</f>
        <v>286</v>
      </c>
      <c r="AG63" s="131">
        <f>IFERROR(__xludf.DUMMYFUNCTION("""COMPUTED_VALUE"""),10.0)</f>
        <v>10</v>
      </c>
      <c r="AH63" s="131">
        <f>IFERROR(__xludf.DUMMYFUNCTION("""COMPUTED_VALUE"""),10.0)</f>
        <v>10</v>
      </c>
      <c r="AI63" s="131"/>
      <c r="AJ63" s="131"/>
      <c r="AK63" s="131"/>
    </row>
    <row r="64">
      <c r="A64" s="145" t="str">
        <f>IFERROR(__xludf.DUMMYFUNCTION("""COMPUTED_VALUE"""),"Y")</f>
        <v>Y</v>
      </c>
      <c r="B64" s="146" t="str">
        <f>IFERROR(__xludf.DUMMYFUNCTION("""COMPUTED_VALUE"""),"3")</f>
        <v>3</v>
      </c>
      <c r="C64" s="146" t="str">
        <f>IFERROR(__xludf.DUMMYFUNCTION("""COMPUTED_VALUE"""),"397-402")</f>
        <v>397-402</v>
      </c>
      <c r="D64" s="147">
        <f>IFERROR(__xludf.DUMMYFUNCTION("""COMPUTED_VALUE"""),45608.0)</f>
        <v>45608</v>
      </c>
      <c r="E64" s="147">
        <f>IFERROR(__xludf.DUMMYFUNCTION("""COMPUTED_VALUE"""),45615.0)</f>
        <v>45615</v>
      </c>
      <c r="F64" s="147">
        <f>IFERROR(__xludf.DUMMYFUNCTION("""COMPUTED_VALUE"""),45636.0)</f>
        <v>45636</v>
      </c>
      <c r="G64" s="146" t="str">
        <f>IFERROR(__xludf.DUMMYFUNCTION("""COMPUTED_VALUE"""),"D34-1L")</f>
        <v>D34-1L</v>
      </c>
      <c r="H64" s="148"/>
      <c r="I64" s="148"/>
      <c r="J64" s="146"/>
      <c r="K64" s="146"/>
      <c r="L64" s="146">
        <f>IFERROR(__xludf.DUMMYFUNCTION("""COMPUTED_VALUE"""),268.0)</f>
        <v>268</v>
      </c>
      <c r="M64" s="146">
        <f>IFERROR(__xludf.DUMMYFUNCTION("""COMPUTED_VALUE"""),286.0)</f>
        <v>286</v>
      </c>
      <c r="N64" s="146">
        <f>IFERROR(__xludf.DUMMYFUNCTION("""COMPUTED_VALUE"""),10.0)</f>
        <v>10</v>
      </c>
      <c r="O64" s="146">
        <f>IFERROR(__xludf.DUMMYFUNCTION("""COMPUTED_VALUE"""),10.0)</f>
        <v>10</v>
      </c>
      <c r="P64" s="146"/>
      <c r="Q64" s="146"/>
      <c r="R64" s="146"/>
      <c r="T64" s="131" t="str">
        <f>IFERROR(__xludf.DUMMYFUNCTION("""COMPUTED_VALUE"""),"Y")</f>
        <v>Y</v>
      </c>
      <c r="U64" s="131" t="str">
        <f>IFERROR(__xludf.DUMMYFUNCTION("""COMPUTED_VALUE"""),"3")</f>
        <v>3</v>
      </c>
      <c r="V64" s="131"/>
      <c r="W64" s="144">
        <f>IFERROR(__xludf.DUMMYFUNCTION("""COMPUTED_VALUE"""),45608.0)</f>
        <v>45608</v>
      </c>
      <c r="X64" s="144">
        <f>IFERROR(__xludf.DUMMYFUNCTION("""COMPUTED_VALUE"""),45615.0)</f>
        <v>45615</v>
      </c>
      <c r="Y64" s="144">
        <f>IFERROR(__xludf.DUMMYFUNCTION("""COMPUTED_VALUE"""),45636.0)</f>
        <v>45636</v>
      </c>
      <c r="Z64" s="131" t="str">
        <f>IFERROR(__xludf.DUMMYFUNCTION("""COMPUTED_VALUE"""),"D37-2L")</f>
        <v>D37-2L</v>
      </c>
      <c r="AA64" s="131"/>
      <c r="AB64" s="131"/>
      <c r="AC64" s="131"/>
      <c r="AD64" s="131"/>
      <c r="AE64" s="131">
        <f>IFERROR(__xludf.DUMMYFUNCTION("""COMPUTED_VALUE"""),256.0)</f>
        <v>256</v>
      </c>
      <c r="AF64" s="131">
        <f>IFERROR(__xludf.DUMMYFUNCTION("""COMPUTED_VALUE"""),312.0)</f>
        <v>312</v>
      </c>
      <c r="AG64" s="131">
        <f>IFERROR(__xludf.DUMMYFUNCTION("""COMPUTED_VALUE"""),29.0)</f>
        <v>29</v>
      </c>
      <c r="AH64" s="131">
        <f>IFERROR(__xludf.DUMMYFUNCTION("""COMPUTED_VALUE"""),29.0)</f>
        <v>29</v>
      </c>
      <c r="AI64" s="131"/>
      <c r="AJ64" s="131"/>
      <c r="AK64" s="131"/>
    </row>
    <row r="65">
      <c r="A65" s="145" t="str">
        <f>IFERROR(__xludf.DUMMYFUNCTION("""COMPUTED_VALUE"""),"Y")</f>
        <v>Y</v>
      </c>
      <c r="B65" s="146" t="str">
        <f>IFERROR(__xludf.DUMMYFUNCTION("""COMPUTED_VALUE"""),"3")</f>
        <v>3</v>
      </c>
      <c r="C65" s="146"/>
      <c r="D65" s="147">
        <f>IFERROR(__xludf.DUMMYFUNCTION("""COMPUTED_VALUE"""),45608.0)</f>
        <v>45608</v>
      </c>
      <c r="E65" s="147">
        <f>IFERROR(__xludf.DUMMYFUNCTION("""COMPUTED_VALUE"""),45615.0)</f>
        <v>45615</v>
      </c>
      <c r="F65" s="147">
        <f>IFERROR(__xludf.DUMMYFUNCTION("""COMPUTED_VALUE"""),45636.0)</f>
        <v>45636</v>
      </c>
      <c r="G65" s="146" t="str">
        <f>IFERROR(__xludf.DUMMYFUNCTION("""COMPUTED_VALUE"""),"D37-2L")</f>
        <v>D37-2L</v>
      </c>
      <c r="H65" s="148"/>
      <c r="I65" s="148"/>
      <c r="J65" s="146"/>
      <c r="K65" s="146"/>
      <c r="L65" s="146">
        <f>IFERROR(__xludf.DUMMYFUNCTION("""COMPUTED_VALUE"""),256.0)</f>
        <v>256</v>
      </c>
      <c r="M65" s="146">
        <f>IFERROR(__xludf.DUMMYFUNCTION("""COMPUTED_VALUE"""),312.0)</f>
        <v>312</v>
      </c>
      <c r="N65" s="146">
        <f>IFERROR(__xludf.DUMMYFUNCTION("""COMPUTED_VALUE"""),29.0)</f>
        <v>29</v>
      </c>
      <c r="O65" s="146">
        <f>IFERROR(__xludf.DUMMYFUNCTION("""COMPUTED_VALUE"""),29.0)</f>
        <v>29</v>
      </c>
      <c r="P65" s="146"/>
      <c r="Q65" s="146"/>
      <c r="R65" s="146"/>
      <c r="T65" s="131" t="str">
        <f>IFERROR(__xludf.DUMMYFUNCTION("""COMPUTED_VALUE"""),"Y")</f>
        <v>Y</v>
      </c>
      <c r="U65" s="131" t="str">
        <f>IFERROR(__xludf.DUMMYFUNCTION("""COMPUTED_VALUE"""),"3")</f>
        <v>3</v>
      </c>
      <c r="V65" s="131"/>
      <c r="W65" s="144">
        <f>IFERROR(__xludf.DUMMYFUNCTION("""COMPUTED_VALUE"""),45608.0)</f>
        <v>45608</v>
      </c>
      <c r="X65" s="144">
        <f>IFERROR(__xludf.DUMMYFUNCTION("""COMPUTED_VALUE"""),45615.0)</f>
        <v>45615</v>
      </c>
      <c r="Y65" s="144">
        <f>IFERROR(__xludf.DUMMYFUNCTION("""COMPUTED_VALUE"""),45636.0)</f>
        <v>45636</v>
      </c>
      <c r="Z65" s="131" t="str">
        <f>IFERROR(__xludf.DUMMYFUNCTION("""COMPUTED_VALUE"""),"D37-1L")</f>
        <v>D37-1L</v>
      </c>
      <c r="AA65" s="131">
        <f>IFERROR(__xludf.DUMMYFUNCTION("""COMPUTED_VALUE"""),3.0)</f>
        <v>3</v>
      </c>
      <c r="AB65" s="131">
        <f>IFERROR(__xludf.DUMMYFUNCTION("""COMPUTED_VALUE"""),161.0)</f>
        <v>161</v>
      </c>
      <c r="AC65" s="131">
        <f>IFERROR(__xludf.DUMMYFUNCTION("""COMPUTED_VALUE"""),80.0)</f>
        <v>80</v>
      </c>
      <c r="AD65" s="131">
        <f>IFERROR(__xludf.DUMMYFUNCTION("""COMPUTED_VALUE"""),80.0)</f>
        <v>80</v>
      </c>
      <c r="AE65" s="131"/>
      <c r="AF65" s="131"/>
      <c r="AG65" s="131"/>
      <c r="AH65" s="131"/>
      <c r="AI65" s="131"/>
      <c r="AJ65" s="131"/>
      <c r="AK65" s="131"/>
    </row>
    <row r="66">
      <c r="A66" s="145" t="str">
        <f>IFERROR(__xludf.DUMMYFUNCTION("""COMPUTED_VALUE"""),"Y")</f>
        <v>Y</v>
      </c>
      <c r="B66" s="146" t="str">
        <f>IFERROR(__xludf.DUMMYFUNCTION("""COMPUTED_VALUE"""),"3")</f>
        <v>3</v>
      </c>
      <c r="C66" s="146"/>
      <c r="D66" s="147">
        <f>IFERROR(__xludf.DUMMYFUNCTION("""COMPUTED_VALUE"""),45608.0)</f>
        <v>45608</v>
      </c>
      <c r="E66" s="147">
        <f>IFERROR(__xludf.DUMMYFUNCTION("""COMPUTED_VALUE"""),45615.0)</f>
        <v>45615</v>
      </c>
      <c r="F66" s="147">
        <f>IFERROR(__xludf.DUMMYFUNCTION("""COMPUTED_VALUE"""),45636.0)</f>
        <v>45636</v>
      </c>
      <c r="G66" s="146" t="str">
        <f>IFERROR(__xludf.DUMMYFUNCTION("""COMPUTED_VALUE"""),"D37-1L")</f>
        <v>D37-1L</v>
      </c>
      <c r="H66" s="148">
        <f>IFERROR(__xludf.DUMMYFUNCTION("""COMPUTED_VALUE"""),3.0)</f>
        <v>3</v>
      </c>
      <c r="I66" s="148">
        <f>IFERROR(__xludf.DUMMYFUNCTION("""COMPUTED_VALUE"""),161.0)</f>
        <v>161</v>
      </c>
      <c r="J66" s="146">
        <f>IFERROR(__xludf.DUMMYFUNCTION("""COMPUTED_VALUE"""),80.0)</f>
        <v>80</v>
      </c>
      <c r="K66" s="146">
        <f>IFERROR(__xludf.DUMMYFUNCTION("""COMPUTED_VALUE"""),80.0)</f>
        <v>80</v>
      </c>
      <c r="L66" s="146"/>
      <c r="M66" s="146"/>
      <c r="N66" s="146"/>
      <c r="O66" s="146"/>
      <c r="P66" s="146"/>
      <c r="Q66" s="146"/>
      <c r="R66" s="146"/>
      <c r="T66" s="131" t="str">
        <f>IFERROR(__xludf.DUMMYFUNCTION("""COMPUTED_VALUE"""),"Y")</f>
        <v>Y</v>
      </c>
      <c r="U66" s="131" t="str">
        <f>IFERROR(__xludf.DUMMYFUNCTION("""COMPUTED_VALUE"""),"3")</f>
        <v>3</v>
      </c>
      <c r="V66" s="131" t="str">
        <f>IFERROR(__xludf.DUMMYFUNCTION("""COMPUTED_VALUE"""),"409-414")</f>
        <v>409-414</v>
      </c>
      <c r="W66" s="144">
        <f>IFERROR(__xludf.DUMMYFUNCTION("""COMPUTED_VALUE"""),45609.0)</f>
        <v>45609</v>
      </c>
      <c r="X66" s="144">
        <f>IFERROR(__xludf.DUMMYFUNCTION("""COMPUTED_VALUE"""),45616.0)</f>
        <v>45616</v>
      </c>
      <c r="Y66" s="144">
        <f>IFERROR(__xludf.DUMMYFUNCTION("""COMPUTED_VALUE"""),45637.0)</f>
        <v>45637</v>
      </c>
      <c r="Z66" s="131" t="str">
        <f>IFERROR(__xludf.DUMMYFUNCTION("""COMPUTED_VALUE"""),"D34-4R")</f>
        <v>D34-4R</v>
      </c>
      <c r="AA66" s="131"/>
      <c r="AB66" s="131"/>
      <c r="AC66" s="131"/>
      <c r="AD66" s="131"/>
      <c r="AE66" s="131">
        <f>IFERROR(__xludf.DUMMYFUNCTION("""COMPUTED_VALUE"""),112.0)</f>
        <v>112</v>
      </c>
      <c r="AF66" s="131">
        <f>IFERROR(__xludf.DUMMYFUNCTION("""COMPUTED_VALUE"""),308.0)</f>
        <v>308</v>
      </c>
      <c r="AG66" s="131">
        <f>IFERROR(__xludf.DUMMYFUNCTION("""COMPUTED_VALUE"""),99.0)</f>
        <v>99</v>
      </c>
      <c r="AH66" s="131">
        <f>IFERROR(__xludf.DUMMYFUNCTION("""COMPUTED_VALUE"""),99.0)</f>
        <v>99</v>
      </c>
      <c r="AI66" s="131"/>
      <c r="AJ66" s="131"/>
      <c r="AK66" s="131"/>
    </row>
    <row r="67">
      <c r="A67" s="145" t="str">
        <f>IFERROR(__xludf.DUMMYFUNCTION("""COMPUTED_VALUE"""),"Y")</f>
        <v>Y</v>
      </c>
      <c r="B67" s="146" t="str">
        <f>IFERROR(__xludf.DUMMYFUNCTION("""COMPUTED_VALUE"""),"3")</f>
        <v>3</v>
      </c>
      <c r="C67" s="146" t="str">
        <f>IFERROR(__xludf.DUMMYFUNCTION("""COMPUTED_VALUE"""),"409-414")</f>
        <v>409-414</v>
      </c>
      <c r="D67" s="147">
        <f>IFERROR(__xludf.DUMMYFUNCTION("""COMPUTED_VALUE"""),45609.0)</f>
        <v>45609</v>
      </c>
      <c r="E67" s="147">
        <f>IFERROR(__xludf.DUMMYFUNCTION("""COMPUTED_VALUE"""),45616.0)</f>
        <v>45616</v>
      </c>
      <c r="F67" s="147">
        <f>IFERROR(__xludf.DUMMYFUNCTION("""COMPUTED_VALUE"""),45637.0)</f>
        <v>45637</v>
      </c>
      <c r="G67" s="146" t="str">
        <f>IFERROR(__xludf.DUMMYFUNCTION("""COMPUTED_VALUE"""),"D34-4R")</f>
        <v>D34-4R</v>
      </c>
      <c r="H67" s="148"/>
      <c r="I67" s="148"/>
      <c r="J67" s="146"/>
      <c r="K67" s="146"/>
      <c r="L67" s="146">
        <f>IFERROR(__xludf.DUMMYFUNCTION("""COMPUTED_VALUE"""),112.0)</f>
        <v>112</v>
      </c>
      <c r="M67" s="146">
        <f>IFERROR(__xludf.DUMMYFUNCTION("""COMPUTED_VALUE"""),308.0)</f>
        <v>308</v>
      </c>
      <c r="N67" s="146">
        <f>IFERROR(__xludf.DUMMYFUNCTION("""COMPUTED_VALUE"""),99.0)</f>
        <v>99</v>
      </c>
      <c r="O67" s="146">
        <f>IFERROR(__xludf.DUMMYFUNCTION("""COMPUTED_VALUE"""),99.0)</f>
        <v>99</v>
      </c>
      <c r="P67" s="146"/>
      <c r="Q67" s="146"/>
      <c r="R67" s="146"/>
      <c r="T67" s="131" t="str">
        <f>IFERROR(__xludf.DUMMYFUNCTION("""COMPUTED_VALUE"""),"Y")</f>
        <v>Y</v>
      </c>
      <c r="U67" s="131" t="str">
        <f>IFERROR(__xludf.DUMMYFUNCTION("""COMPUTED_VALUE"""),"3")</f>
        <v>3</v>
      </c>
      <c r="V67" s="131" t="str">
        <f>IFERROR(__xludf.DUMMYFUNCTION("""COMPUTED_VALUE"""),"409-414")</f>
        <v>409-414</v>
      </c>
      <c r="W67" s="144">
        <f>IFERROR(__xludf.DUMMYFUNCTION("""COMPUTED_VALUE"""),45609.0)</f>
        <v>45609</v>
      </c>
      <c r="X67" s="144">
        <f>IFERROR(__xludf.DUMMYFUNCTION("""COMPUTED_VALUE"""),45616.0)</f>
        <v>45616</v>
      </c>
      <c r="Y67" s="144">
        <f>IFERROR(__xludf.DUMMYFUNCTION("""COMPUTED_VALUE"""),45637.0)</f>
        <v>45637</v>
      </c>
      <c r="Z67" s="131" t="str">
        <f>IFERROR(__xludf.DUMMYFUNCTION("""COMPUTED_VALUE"""),"D34-1L")</f>
        <v>D34-1L</v>
      </c>
      <c r="AA67" s="131"/>
      <c r="AB67" s="131"/>
      <c r="AC67" s="131"/>
      <c r="AD67" s="131"/>
      <c r="AE67" s="131">
        <f>IFERROR(__xludf.DUMMYFUNCTION("""COMPUTED_VALUE"""),2.0)</f>
        <v>2</v>
      </c>
      <c r="AF67" s="131">
        <f>IFERROR(__xludf.DUMMYFUNCTION("""COMPUTED_VALUE"""),2.0)</f>
        <v>2</v>
      </c>
      <c r="AG67" s="131">
        <f>IFERROR(__xludf.DUMMYFUNCTION("""COMPUTED_VALUE"""),1.0)</f>
        <v>1</v>
      </c>
      <c r="AH67" s="131">
        <f>IFERROR(__xludf.DUMMYFUNCTION("""COMPUTED_VALUE"""),1.0)</f>
        <v>1</v>
      </c>
      <c r="AI67" s="131"/>
      <c r="AJ67" s="131"/>
      <c r="AK67" s="131"/>
    </row>
    <row r="68">
      <c r="A68" s="145" t="str">
        <f>IFERROR(__xludf.DUMMYFUNCTION("""COMPUTED_VALUE"""),"Y")</f>
        <v>Y</v>
      </c>
      <c r="B68" s="146" t="str">
        <f>IFERROR(__xludf.DUMMYFUNCTION("""COMPUTED_VALUE"""),"3")</f>
        <v>3</v>
      </c>
      <c r="C68" s="146" t="str">
        <f>IFERROR(__xludf.DUMMYFUNCTION("""COMPUTED_VALUE"""),"409-414")</f>
        <v>409-414</v>
      </c>
      <c r="D68" s="147">
        <f>IFERROR(__xludf.DUMMYFUNCTION("""COMPUTED_VALUE"""),45609.0)</f>
        <v>45609</v>
      </c>
      <c r="E68" s="147">
        <f>IFERROR(__xludf.DUMMYFUNCTION("""COMPUTED_VALUE"""),45616.0)</f>
        <v>45616</v>
      </c>
      <c r="F68" s="147">
        <f>IFERROR(__xludf.DUMMYFUNCTION("""COMPUTED_VALUE"""),45637.0)</f>
        <v>45637</v>
      </c>
      <c r="G68" s="146" t="str">
        <f>IFERROR(__xludf.DUMMYFUNCTION("""COMPUTED_VALUE"""),"D34-1L")</f>
        <v>D34-1L</v>
      </c>
      <c r="H68" s="148"/>
      <c r="I68" s="148"/>
      <c r="J68" s="146"/>
      <c r="K68" s="146"/>
      <c r="L68" s="146">
        <f>IFERROR(__xludf.DUMMYFUNCTION("""COMPUTED_VALUE"""),2.0)</f>
        <v>2</v>
      </c>
      <c r="M68" s="146">
        <f>IFERROR(__xludf.DUMMYFUNCTION("""COMPUTED_VALUE"""),2.0)</f>
        <v>2</v>
      </c>
      <c r="N68" s="146">
        <f>IFERROR(__xludf.DUMMYFUNCTION("""COMPUTED_VALUE"""),1.0)</f>
        <v>1</v>
      </c>
      <c r="O68" s="146">
        <f>IFERROR(__xludf.DUMMYFUNCTION("""COMPUTED_VALUE"""),1.0)</f>
        <v>1</v>
      </c>
      <c r="P68" s="146"/>
      <c r="Q68" s="146"/>
      <c r="R68" s="146"/>
      <c r="T68" s="131" t="str">
        <f>IFERROR(__xludf.DUMMYFUNCTION("""COMPUTED_VALUE"""),"Y")</f>
        <v>Y</v>
      </c>
      <c r="U68" s="131" t="str">
        <f>IFERROR(__xludf.DUMMYFUNCTION("""COMPUTED_VALUE"""),"3")</f>
        <v>3</v>
      </c>
      <c r="V68" s="131" t="str">
        <f>IFERROR(__xludf.DUMMYFUNCTION("""COMPUTED_VALUE"""),"409-414")</f>
        <v>409-414</v>
      </c>
      <c r="W68" s="144">
        <f>IFERROR(__xludf.DUMMYFUNCTION("""COMPUTED_VALUE"""),45609.0)</f>
        <v>45609</v>
      </c>
      <c r="X68" s="144">
        <f>IFERROR(__xludf.DUMMYFUNCTION("""COMPUTED_VALUE"""),45616.0)</f>
        <v>45616</v>
      </c>
      <c r="Y68" s="144">
        <f>IFERROR(__xludf.DUMMYFUNCTION("""COMPUTED_VALUE"""),45637.0)</f>
        <v>45637</v>
      </c>
      <c r="Z68" s="131" t="str">
        <f>IFERROR(__xludf.DUMMYFUNCTION("""COMPUTED_VALUE"""),"D34-1L")</f>
        <v>D34-1L</v>
      </c>
      <c r="AA68" s="131"/>
      <c r="AB68" s="131"/>
      <c r="AC68" s="131"/>
      <c r="AD68" s="131"/>
      <c r="AE68" s="131">
        <f>IFERROR(__xludf.DUMMYFUNCTION("""COMPUTED_VALUE"""),288.0)</f>
        <v>288</v>
      </c>
      <c r="AF68" s="131">
        <f>IFERROR(__xludf.DUMMYFUNCTION("""COMPUTED_VALUE"""),298.0)</f>
        <v>298</v>
      </c>
      <c r="AG68" s="131">
        <f>IFERROR(__xludf.DUMMYFUNCTION("""COMPUTED_VALUE"""),6.0)</f>
        <v>6</v>
      </c>
      <c r="AH68" s="131">
        <f>IFERROR(__xludf.DUMMYFUNCTION("""COMPUTED_VALUE"""),6.0)</f>
        <v>6</v>
      </c>
      <c r="AI68" s="131"/>
      <c r="AJ68" s="131"/>
      <c r="AK68" s="131"/>
    </row>
    <row r="69">
      <c r="A69" s="145" t="str">
        <f>IFERROR(__xludf.DUMMYFUNCTION("""COMPUTED_VALUE"""),"Y")</f>
        <v>Y</v>
      </c>
      <c r="B69" s="146" t="str">
        <f>IFERROR(__xludf.DUMMYFUNCTION("""COMPUTED_VALUE"""),"3")</f>
        <v>3</v>
      </c>
      <c r="C69" s="146" t="str">
        <f>IFERROR(__xludf.DUMMYFUNCTION("""COMPUTED_VALUE"""),"409-414")</f>
        <v>409-414</v>
      </c>
      <c r="D69" s="147">
        <f>IFERROR(__xludf.DUMMYFUNCTION("""COMPUTED_VALUE"""),45609.0)</f>
        <v>45609</v>
      </c>
      <c r="E69" s="147">
        <f>IFERROR(__xludf.DUMMYFUNCTION("""COMPUTED_VALUE"""),45616.0)</f>
        <v>45616</v>
      </c>
      <c r="F69" s="147">
        <f>IFERROR(__xludf.DUMMYFUNCTION("""COMPUTED_VALUE"""),45637.0)</f>
        <v>45637</v>
      </c>
      <c r="G69" s="146" t="str">
        <f>IFERROR(__xludf.DUMMYFUNCTION("""COMPUTED_VALUE"""),"D34-1L")</f>
        <v>D34-1L</v>
      </c>
      <c r="H69" s="148"/>
      <c r="I69" s="148"/>
      <c r="J69" s="146"/>
      <c r="K69" s="146"/>
      <c r="L69" s="146">
        <f>IFERROR(__xludf.DUMMYFUNCTION("""COMPUTED_VALUE"""),288.0)</f>
        <v>288</v>
      </c>
      <c r="M69" s="146">
        <f>IFERROR(__xludf.DUMMYFUNCTION("""COMPUTED_VALUE"""),298.0)</f>
        <v>298</v>
      </c>
      <c r="N69" s="146">
        <f>IFERROR(__xludf.DUMMYFUNCTION("""COMPUTED_VALUE"""),6.0)</f>
        <v>6</v>
      </c>
      <c r="O69" s="146">
        <f>IFERROR(__xludf.DUMMYFUNCTION("""COMPUTED_VALUE"""),6.0)</f>
        <v>6</v>
      </c>
      <c r="P69" s="146"/>
      <c r="Q69" s="146"/>
      <c r="R69" s="146"/>
      <c r="T69" s="131" t="str">
        <f>IFERROR(__xludf.DUMMYFUNCTION("""COMPUTED_VALUE"""),"Y")</f>
        <v>Y</v>
      </c>
      <c r="U69" s="131" t="str">
        <f>IFERROR(__xludf.DUMMYFUNCTION("""COMPUTED_VALUE"""),"3")</f>
        <v>3</v>
      </c>
      <c r="V69" s="131"/>
      <c r="W69" s="144">
        <f>IFERROR(__xludf.DUMMYFUNCTION("""COMPUTED_VALUE"""),45609.0)</f>
        <v>45609</v>
      </c>
      <c r="X69" s="144">
        <f>IFERROR(__xludf.DUMMYFUNCTION("""COMPUTED_VALUE"""),45616.0)</f>
        <v>45616</v>
      </c>
      <c r="Y69" s="144">
        <f>IFERROR(__xludf.DUMMYFUNCTION("""COMPUTED_VALUE"""),45637.0)</f>
        <v>45637</v>
      </c>
      <c r="Z69" s="131" t="str">
        <f>IFERROR(__xludf.DUMMYFUNCTION("""COMPUTED_VALUE"""),"D37-1L")</f>
        <v>D37-1L</v>
      </c>
      <c r="AA69" s="131">
        <f>IFERROR(__xludf.DUMMYFUNCTION("""COMPUTED_VALUE"""),163.0)</f>
        <v>163</v>
      </c>
      <c r="AB69" s="131">
        <f>IFERROR(__xludf.DUMMYFUNCTION("""COMPUTED_VALUE"""),189.0)</f>
        <v>189</v>
      </c>
      <c r="AC69" s="131">
        <f>IFERROR(__xludf.DUMMYFUNCTION("""COMPUTED_VALUE"""),14.0)</f>
        <v>14</v>
      </c>
      <c r="AD69" s="131">
        <f>IFERROR(__xludf.DUMMYFUNCTION("""COMPUTED_VALUE"""),14.0)</f>
        <v>14</v>
      </c>
      <c r="AE69" s="131">
        <f>IFERROR(__xludf.DUMMYFUNCTION("""COMPUTED_VALUE"""),4.0)</f>
        <v>4</v>
      </c>
      <c r="AF69" s="131">
        <f>IFERROR(__xludf.DUMMYFUNCTION("""COMPUTED_VALUE"""),162.0)</f>
        <v>162</v>
      </c>
      <c r="AG69" s="131">
        <f>IFERROR(__xludf.DUMMYFUNCTION("""COMPUTED_VALUE"""),80.0)</f>
        <v>80</v>
      </c>
      <c r="AH69" s="131">
        <f>IFERROR(__xludf.DUMMYFUNCTION("""COMPUTED_VALUE"""),80.0)</f>
        <v>80</v>
      </c>
      <c r="AI69" s="131"/>
      <c r="AJ69" s="131"/>
      <c r="AK69" s="131"/>
    </row>
    <row r="70">
      <c r="A70" s="145" t="str">
        <f>IFERROR(__xludf.DUMMYFUNCTION("""COMPUTED_VALUE"""),"Y")</f>
        <v>Y</v>
      </c>
      <c r="B70" s="146" t="str">
        <f>IFERROR(__xludf.DUMMYFUNCTION("""COMPUTED_VALUE"""),"3")</f>
        <v>3</v>
      </c>
      <c r="C70" s="146"/>
      <c r="D70" s="147">
        <f>IFERROR(__xludf.DUMMYFUNCTION("""COMPUTED_VALUE"""),45609.0)</f>
        <v>45609</v>
      </c>
      <c r="E70" s="147">
        <f>IFERROR(__xludf.DUMMYFUNCTION("""COMPUTED_VALUE"""),45616.0)</f>
        <v>45616</v>
      </c>
      <c r="F70" s="147">
        <f>IFERROR(__xludf.DUMMYFUNCTION("""COMPUTED_VALUE"""),45637.0)</f>
        <v>45637</v>
      </c>
      <c r="G70" s="146" t="str">
        <f>IFERROR(__xludf.DUMMYFUNCTION("""COMPUTED_VALUE"""),"D37-1L")</f>
        <v>D37-1L</v>
      </c>
      <c r="H70" s="148">
        <f>IFERROR(__xludf.DUMMYFUNCTION("""COMPUTED_VALUE"""),163.0)</f>
        <v>163</v>
      </c>
      <c r="I70" s="148">
        <f>IFERROR(__xludf.DUMMYFUNCTION("""COMPUTED_VALUE"""),189.0)</f>
        <v>189</v>
      </c>
      <c r="J70" s="146">
        <f>IFERROR(__xludf.DUMMYFUNCTION("""COMPUTED_VALUE"""),14.0)</f>
        <v>14</v>
      </c>
      <c r="K70" s="146">
        <f>IFERROR(__xludf.DUMMYFUNCTION("""COMPUTED_VALUE"""),14.0)</f>
        <v>14</v>
      </c>
      <c r="L70" s="146">
        <f>IFERROR(__xludf.DUMMYFUNCTION("""COMPUTED_VALUE"""),4.0)</f>
        <v>4</v>
      </c>
      <c r="M70" s="146">
        <f>IFERROR(__xludf.DUMMYFUNCTION("""COMPUTED_VALUE"""),162.0)</f>
        <v>162</v>
      </c>
      <c r="N70" s="146">
        <f>IFERROR(__xludf.DUMMYFUNCTION("""COMPUTED_VALUE"""),80.0)</f>
        <v>80</v>
      </c>
      <c r="O70" s="146">
        <f>IFERROR(__xludf.DUMMYFUNCTION("""COMPUTED_VALUE"""),80.0)</f>
        <v>80</v>
      </c>
      <c r="P70" s="146"/>
      <c r="Q70" s="146"/>
      <c r="R70" s="146"/>
      <c r="T70" s="131" t="str">
        <f>IFERROR(__xludf.DUMMYFUNCTION("""COMPUTED_VALUE"""),"Y")</f>
        <v>Y</v>
      </c>
      <c r="U70" s="131" t="str">
        <f>IFERROR(__xludf.DUMMYFUNCTION("""COMPUTED_VALUE"""),"3")</f>
        <v>3</v>
      </c>
      <c r="V70" s="131"/>
      <c r="W70" s="144">
        <f>IFERROR(__xludf.DUMMYFUNCTION("""COMPUTED_VALUE"""),45609.0)</f>
        <v>45609</v>
      </c>
      <c r="X70" s="144">
        <f>IFERROR(__xludf.DUMMYFUNCTION("""COMPUTED_VALUE"""),45616.0)</f>
        <v>45616</v>
      </c>
      <c r="Y70" s="144">
        <f>IFERROR(__xludf.DUMMYFUNCTION("""COMPUTED_VALUE"""),45637.0)</f>
        <v>45637</v>
      </c>
      <c r="Z70" s="131" t="str">
        <f>IFERROR(__xludf.DUMMYFUNCTION("""COMPUTED_VALUE"""),"D34-2R")</f>
        <v>D34-2R</v>
      </c>
      <c r="AA70" s="131">
        <f>IFERROR(__xludf.DUMMYFUNCTION("""COMPUTED_VALUE"""),263.0)</f>
        <v>263</v>
      </c>
      <c r="AB70" s="131">
        <f>IFERROR(__xludf.DUMMYFUNCTION("""COMPUTED_VALUE"""),263.0)</f>
        <v>263</v>
      </c>
      <c r="AC70" s="131">
        <f>IFERROR(__xludf.DUMMYFUNCTION("""COMPUTED_VALUE"""),1.0)</f>
        <v>1</v>
      </c>
      <c r="AD70" s="131">
        <f>IFERROR(__xludf.DUMMYFUNCTION("""COMPUTED_VALUE"""),1.0)</f>
        <v>1</v>
      </c>
      <c r="AE70" s="131"/>
      <c r="AF70" s="131"/>
      <c r="AG70" s="131"/>
      <c r="AH70" s="131"/>
      <c r="AI70" s="131"/>
      <c r="AJ70" s="131"/>
      <c r="AK70" s="131"/>
    </row>
    <row r="71">
      <c r="A71" s="145" t="str">
        <f>IFERROR(__xludf.DUMMYFUNCTION("""COMPUTED_VALUE"""),"Y")</f>
        <v>Y</v>
      </c>
      <c r="B71" s="146" t="str">
        <f>IFERROR(__xludf.DUMMYFUNCTION("""COMPUTED_VALUE"""),"3")</f>
        <v>3</v>
      </c>
      <c r="C71" s="146"/>
      <c r="D71" s="147">
        <f>IFERROR(__xludf.DUMMYFUNCTION("""COMPUTED_VALUE"""),45609.0)</f>
        <v>45609</v>
      </c>
      <c r="E71" s="147">
        <f>IFERROR(__xludf.DUMMYFUNCTION("""COMPUTED_VALUE"""),45616.0)</f>
        <v>45616</v>
      </c>
      <c r="F71" s="147">
        <f>IFERROR(__xludf.DUMMYFUNCTION("""COMPUTED_VALUE"""),45637.0)</f>
        <v>45637</v>
      </c>
      <c r="G71" s="146" t="str">
        <f>IFERROR(__xludf.DUMMYFUNCTION("""COMPUTED_VALUE"""),"D34-2R")</f>
        <v>D34-2R</v>
      </c>
      <c r="H71" s="148">
        <f>IFERROR(__xludf.DUMMYFUNCTION("""COMPUTED_VALUE"""),263.0)</f>
        <v>263</v>
      </c>
      <c r="I71" s="148">
        <f>IFERROR(__xludf.DUMMYFUNCTION("""COMPUTED_VALUE"""),263.0)</f>
        <v>263</v>
      </c>
      <c r="J71" s="146">
        <f>IFERROR(__xludf.DUMMYFUNCTION("""COMPUTED_VALUE"""),1.0)</f>
        <v>1</v>
      </c>
      <c r="K71" s="146">
        <f>IFERROR(__xludf.DUMMYFUNCTION("""COMPUTED_VALUE"""),1.0)</f>
        <v>1</v>
      </c>
      <c r="L71" s="146"/>
      <c r="M71" s="146"/>
      <c r="N71" s="146"/>
      <c r="O71" s="146"/>
      <c r="P71" s="146"/>
      <c r="Q71" s="146"/>
      <c r="R71" s="146"/>
      <c r="T71" s="131" t="str">
        <f>IFERROR(__xludf.DUMMYFUNCTION("""COMPUTED_VALUE"""),"Y")</f>
        <v>Y</v>
      </c>
      <c r="U71" s="131" t="str">
        <f>IFERROR(__xludf.DUMMYFUNCTION("""COMPUTED_VALUE"""),"3")</f>
        <v>3</v>
      </c>
      <c r="V71" s="131"/>
      <c r="W71" s="144">
        <f>IFERROR(__xludf.DUMMYFUNCTION("""COMPUTED_VALUE"""),45609.0)</f>
        <v>45609</v>
      </c>
      <c r="X71" s="144">
        <f>IFERROR(__xludf.DUMMYFUNCTION("""COMPUTED_VALUE"""),45616.0)</f>
        <v>45616</v>
      </c>
      <c r="Y71" s="144">
        <f>IFERROR(__xludf.DUMMYFUNCTION("""COMPUTED_VALUE"""),45637.0)</f>
        <v>45637</v>
      </c>
      <c r="Z71" s="131" t="str">
        <f>IFERROR(__xludf.DUMMYFUNCTION("""COMPUTED_VALUE"""),"D34-2R")</f>
        <v>D34-2R</v>
      </c>
      <c r="AA71" s="131">
        <f>IFERROR(__xludf.DUMMYFUNCTION("""COMPUTED_VALUE"""),271.0)</f>
        <v>271</v>
      </c>
      <c r="AB71" s="131">
        <f>IFERROR(__xludf.DUMMYFUNCTION("""COMPUTED_VALUE"""),277.0)</f>
        <v>277</v>
      </c>
      <c r="AC71" s="131">
        <f>IFERROR(__xludf.DUMMYFUNCTION("""COMPUTED_VALUE"""),4.0)</f>
        <v>4</v>
      </c>
      <c r="AD71" s="131">
        <f>IFERROR(__xludf.DUMMYFUNCTION("""COMPUTED_VALUE"""),4.0)</f>
        <v>4</v>
      </c>
      <c r="AE71" s="131">
        <f>IFERROR(__xludf.DUMMYFUNCTION("""COMPUTED_VALUE"""),278.0)</f>
        <v>278</v>
      </c>
      <c r="AF71" s="131">
        <f>IFERROR(__xludf.DUMMYFUNCTION("""COMPUTED_VALUE"""),284.0)</f>
        <v>284</v>
      </c>
      <c r="AG71" s="131">
        <f>IFERROR(__xludf.DUMMYFUNCTION("""COMPUTED_VALUE"""),4.0)</f>
        <v>4</v>
      </c>
      <c r="AH71" s="131">
        <f>IFERROR(__xludf.DUMMYFUNCTION("""COMPUTED_VALUE"""),4.0)</f>
        <v>4</v>
      </c>
      <c r="AI71" s="131"/>
      <c r="AJ71" s="131"/>
      <c r="AK71" s="131"/>
    </row>
    <row r="72">
      <c r="A72" s="145" t="str">
        <f>IFERROR(__xludf.DUMMYFUNCTION("""COMPUTED_VALUE"""),"Y")</f>
        <v>Y</v>
      </c>
      <c r="B72" s="146" t="str">
        <f>IFERROR(__xludf.DUMMYFUNCTION("""COMPUTED_VALUE"""),"3")</f>
        <v>3</v>
      </c>
      <c r="C72" s="146"/>
      <c r="D72" s="147">
        <f>IFERROR(__xludf.DUMMYFUNCTION("""COMPUTED_VALUE"""),45609.0)</f>
        <v>45609</v>
      </c>
      <c r="E72" s="147">
        <f>IFERROR(__xludf.DUMMYFUNCTION("""COMPUTED_VALUE"""),45616.0)</f>
        <v>45616</v>
      </c>
      <c r="F72" s="147">
        <f>IFERROR(__xludf.DUMMYFUNCTION("""COMPUTED_VALUE"""),45637.0)</f>
        <v>45637</v>
      </c>
      <c r="G72" s="146" t="str">
        <f>IFERROR(__xludf.DUMMYFUNCTION("""COMPUTED_VALUE"""),"D34-2R")</f>
        <v>D34-2R</v>
      </c>
      <c r="H72" s="148">
        <f>IFERROR(__xludf.DUMMYFUNCTION("""COMPUTED_VALUE"""),271.0)</f>
        <v>271</v>
      </c>
      <c r="I72" s="148">
        <f>IFERROR(__xludf.DUMMYFUNCTION("""COMPUTED_VALUE"""),277.0)</f>
        <v>277</v>
      </c>
      <c r="J72" s="146">
        <f>IFERROR(__xludf.DUMMYFUNCTION("""COMPUTED_VALUE"""),4.0)</f>
        <v>4</v>
      </c>
      <c r="K72" s="146">
        <f>IFERROR(__xludf.DUMMYFUNCTION("""COMPUTED_VALUE"""),4.0)</f>
        <v>4</v>
      </c>
      <c r="L72" s="146">
        <f>IFERROR(__xludf.DUMMYFUNCTION("""COMPUTED_VALUE"""),278.0)</f>
        <v>278</v>
      </c>
      <c r="M72" s="146">
        <f>IFERROR(__xludf.DUMMYFUNCTION("""COMPUTED_VALUE"""),284.0)</f>
        <v>284</v>
      </c>
      <c r="N72" s="146">
        <f>IFERROR(__xludf.DUMMYFUNCTION("""COMPUTED_VALUE"""),4.0)</f>
        <v>4</v>
      </c>
      <c r="O72" s="146">
        <f>IFERROR(__xludf.DUMMYFUNCTION("""COMPUTED_VALUE"""),4.0)</f>
        <v>4</v>
      </c>
      <c r="P72" s="146"/>
      <c r="Q72" s="146"/>
      <c r="R72" s="146"/>
      <c r="T72" s="131" t="str">
        <f>IFERROR(__xludf.DUMMYFUNCTION("""COMPUTED_VALUE"""),"Y")</f>
        <v>Y</v>
      </c>
      <c r="U72" s="131" t="str">
        <f>IFERROR(__xludf.DUMMYFUNCTION("""COMPUTED_VALUE"""),"3")</f>
        <v>3</v>
      </c>
      <c r="V72" s="131"/>
      <c r="W72" s="144">
        <f>IFERROR(__xludf.DUMMYFUNCTION("""COMPUTED_VALUE"""),45610.0)</f>
        <v>45610</v>
      </c>
      <c r="X72" s="144">
        <f>IFERROR(__xludf.DUMMYFUNCTION("""COMPUTED_VALUE"""),45617.0)</f>
        <v>45617</v>
      </c>
      <c r="Y72" s="144">
        <f>IFERROR(__xludf.DUMMYFUNCTION("""COMPUTED_VALUE"""),45638.0)</f>
        <v>45638</v>
      </c>
      <c r="Z72" s="131" t="str">
        <f>IFERROR(__xludf.DUMMYFUNCTION("""COMPUTED_VALUE"""),"D38-1L")</f>
        <v>D38-1L</v>
      </c>
      <c r="AA72" s="131"/>
      <c r="AB72" s="131"/>
      <c r="AC72" s="131"/>
      <c r="AD72" s="131"/>
      <c r="AE72" s="131">
        <f>IFERROR(__xludf.DUMMYFUNCTION("""COMPUTED_VALUE"""),4.0)</f>
        <v>4</v>
      </c>
      <c r="AF72" s="131">
        <f>IFERROR(__xludf.DUMMYFUNCTION("""COMPUTED_VALUE"""),156.0)</f>
        <v>156</v>
      </c>
      <c r="AG72" s="131">
        <f>IFERROR(__xludf.DUMMYFUNCTION("""COMPUTED_VALUE"""),77.0)</f>
        <v>77</v>
      </c>
      <c r="AH72" s="131">
        <f>IFERROR(__xludf.DUMMYFUNCTION("""COMPUTED_VALUE"""),77.0)</f>
        <v>77</v>
      </c>
      <c r="AI72" s="131"/>
      <c r="AJ72" s="131"/>
      <c r="AK72" s="131"/>
    </row>
    <row r="73">
      <c r="A73" s="145" t="str">
        <f>IFERROR(__xludf.DUMMYFUNCTION("""COMPUTED_VALUE"""),"Y")</f>
        <v>Y</v>
      </c>
      <c r="B73" s="146" t="str">
        <f>IFERROR(__xludf.DUMMYFUNCTION("""COMPUTED_VALUE"""),"3")</f>
        <v>3</v>
      </c>
      <c r="C73" s="146"/>
      <c r="D73" s="147">
        <f>IFERROR(__xludf.DUMMYFUNCTION("""COMPUTED_VALUE"""),45610.0)</f>
        <v>45610</v>
      </c>
      <c r="E73" s="147">
        <f>IFERROR(__xludf.DUMMYFUNCTION("""COMPUTED_VALUE"""),45617.0)</f>
        <v>45617</v>
      </c>
      <c r="F73" s="147">
        <f>IFERROR(__xludf.DUMMYFUNCTION("""COMPUTED_VALUE"""),45638.0)</f>
        <v>45638</v>
      </c>
      <c r="G73" s="146" t="str">
        <f>IFERROR(__xludf.DUMMYFUNCTION("""COMPUTED_VALUE"""),"D38-1L")</f>
        <v>D38-1L</v>
      </c>
      <c r="H73" s="148"/>
      <c r="I73" s="148"/>
      <c r="J73" s="146"/>
      <c r="K73" s="146"/>
      <c r="L73" s="146">
        <f>IFERROR(__xludf.DUMMYFUNCTION("""COMPUTED_VALUE"""),4.0)</f>
        <v>4</v>
      </c>
      <c r="M73" s="146">
        <f>IFERROR(__xludf.DUMMYFUNCTION("""COMPUTED_VALUE"""),156.0)</f>
        <v>156</v>
      </c>
      <c r="N73" s="146">
        <f>IFERROR(__xludf.DUMMYFUNCTION("""COMPUTED_VALUE"""),77.0)</f>
        <v>77</v>
      </c>
      <c r="O73" s="146">
        <f>IFERROR(__xludf.DUMMYFUNCTION("""COMPUTED_VALUE"""),77.0)</f>
        <v>77</v>
      </c>
      <c r="P73" s="146"/>
      <c r="Q73" s="146"/>
      <c r="R73" s="146"/>
      <c r="T73" s="131" t="str">
        <f>IFERROR(__xludf.DUMMYFUNCTION("""COMPUTED_VALUE"""),"Y")</f>
        <v>Y</v>
      </c>
      <c r="U73" s="131" t="str">
        <f>IFERROR(__xludf.DUMMYFUNCTION("""COMPUTED_VALUE"""),"3")</f>
        <v>3</v>
      </c>
      <c r="V73" s="131" t="str">
        <f>IFERROR(__xludf.DUMMYFUNCTION("""COMPUTED_VALUE"""),"427-432")</f>
        <v>427-432</v>
      </c>
      <c r="W73" s="144">
        <f>IFERROR(__xludf.DUMMYFUNCTION("""COMPUTED_VALUE"""),45610.0)</f>
        <v>45610</v>
      </c>
      <c r="X73" s="144">
        <f>IFERROR(__xludf.DUMMYFUNCTION("""COMPUTED_VALUE"""),45617.0)</f>
        <v>45617</v>
      </c>
      <c r="Y73" s="144">
        <f>IFERROR(__xludf.DUMMYFUNCTION("""COMPUTED_VALUE"""),45638.0)</f>
        <v>45638</v>
      </c>
      <c r="Z73" s="131" t="str">
        <f>IFERROR(__xludf.DUMMYFUNCTION("""COMPUTED_VALUE"""),"D34-4L")</f>
        <v>D34-4L</v>
      </c>
      <c r="AA73" s="131"/>
      <c r="AB73" s="131"/>
      <c r="AC73" s="131"/>
      <c r="AD73" s="131"/>
      <c r="AE73" s="131">
        <f>IFERROR(__xludf.DUMMYFUNCTION("""COMPUTED_VALUE"""),132.0)</f>
        <v>132</v>
      </c>
      <c r="AF73" s="131">
        <f>IFERROR(__xludf.DUMMYFUNCTION("""COMPUTED_VALUE"""),188.0)</f>
        <v>188</v>
      </c>
      <c r="AG73" s="131">
        <f>IFERROR(__xludf.DUMMYFUNCTION("""COMPUTED_VALUE"""),29.0)</f>
        <v>29</v>
      </c>
      <c r="AH73" s="131">
        <f>IFERROR(__xludf.DUMMYFUNCTION("""COMPUTED_VALUE"""),29.0)</f>
        <v>29</v>
      </c>
      <c r="AI73" s="131"/>
      <c r="AJ73" s="131"/>
      <c r="AK73" s="131"/>
    </row>
    <row r="74">
      <c r="A74" s="145" t="str">
        <f>IFERROR(__xludf.DUMMYFUNCTION("""COMPUTED_VALUE"""),"Y")</f>
        <v>Y</v>
      </c>
      <c r="B74" s="146" t="str">
        <f>IFERROR(__xludf.DUMMYFUNCTION("""COMPUTED_VALUE"""),"3")</f>
        <v>3</v>
      </c>
      <c r="C74" s="146" t="str">
        <f>IFERROR(__xludf.DUMMYFUNCTION("""COMPUTED_VALUE"""),"427-432")</f>
        <v>427-432</v>
      </c>
      <c r="D74" s="147">
        <f>IFERROR(__xludf.DUMMYFUNCTION("""COMPUTED_VALUE"""),45610.0)</f>
        <v>45610</v>
      </c>
      <c r="E74" s="147">
        <f>IFERROR(__xludf.DUMMYFUNCTION("""COMPUTED_VALUE"""),45617.0)</f>
        <v>45617</v>
      </c>
      <c r="F74" s="147">
        <f>IFERROR(__xludf.DUMMYFUNCTION("""COMPUTED_VALUE"""),45638.0)</f>
        <v>45638</v>
      </c>
      <c r="G74" s="146" t="str">
        <f>IFERROR(__xludf.DUMMYFUNCTION("""COMPUTED_VALUE"""),"D34-4L")</f>
        <v>D34-4L</v>
      </c>
      <c r="H74" s="148"/>
      <c r="I74" s="148"/>
      <c r="J74" s="146"/>
      <c r="K74" s="146"/>
      <c r="L74" s="146">
        <f>IFERROR(__xludf.DUMMYFUNCTION("""COMPUTED_VALUE"""),132.0)</f>
        <v>132</v>
      </c>
      <c r="M74" s="146">
        <f>IFERROR(__xludf.DUMMYFUNCTION("""COMPUTED_VALUE"""),188.0)</f>
        <v>188</v>
      </c>
      <c r="N74" s="146">
        <f>IFERROR(__xludf.DUMMYFUNCTION("""COMPUTED_VALUE"""),29.0)</f>
        <v>29</v>
      </c>
      <c r="O74" s="146">
        <f>IFERROR(__xludf.DUMMYFUNCTION("""COMPUTED_VALUE"""),29.0)</f>
        <v>29</v>
      </c>
      <c r="P74" s="146"/>
      <c r="Q74" s="146"/>
      <c r="R74" s="146"/>
      <c r="T74" s="131" t="str">
        <f>IFERROR(__xludf.DUMMYFUNCTION("""COMPUTED_VALUE"""),"Y")</f>
        <v>Y</v>
      </c>
      <c r="U74" s="131" t="str">
        <f>IFERROR(__xludf.DUMMYFUNCTION("""COMPUTED_VALUE"""),"3")</f>
        <v>3</v>
      </c>
      <c r="V74" s="131"/>
      <c r="W74" s="144">
        <f>IFERROR(__xludf.DUMMYFUNCTION("""COMPUTED_VALUE"""),45610.0)</f>
        <v>45610</v>
      </c>
      <c r="X74" s="144">
        <f>IFERROR(__xludf.DUMMYFUNCTION("""COMPUTED_VALUE"""),45617.0)</f>
        <v>45617</v>
      </c>
      <c r="Y74" s="144">
        <f>IFERROR(__xludf.DUMMYFUNCTION("""COMPUTED_VALUE"""),45638.0)</f>
        <v>45638</v>
      </c>
      <c r="Z74" s="131" t="str">
        <f>IFERROR(__xludf.DUMMYFUNCTION("""COMPUTED_VALUE"""),"D37-1L")</f>
        <v>D37-1L</v>
      </c>
      <c r="AA74" s="131">
        <f>IFERROR(__xludf.DUMMYFUNCTION("""COMPUTED_VALUE"""),191.0)</f>
        <v>191</v>
      </c>
      <c r="AB74" s="131">
        <f>IFERROR(__xludf.DUMMYFUNCTION("""COMPUTED_VALUE"""),311.0)</f>
        <v>311</v>
      </c>
      <c r="AC74" s="131">
        <f>IFERROR(__xludf.DUMMYFUNCTION("""COMPUTED_VALUE"""),61.0)</f>
        <v>61</v>
      </c>
      <c r="AD74" s="131">
        <f>IFERROR(__xludf.DUMMYFUNCTION("""COMPUTED_VALUE"""),61.0)</f>
        <v>61</v>
      </c>
      <c r="AE74" s="131"/>
      <c r="AF74" s="131"/>
      <c r="AG74" s="131"/>
      <c r="AH74" s="131"/>
      <c r="AI74" s="131"/>
      <c r="AJ74" s="131"/>
      <c r="AK74" s="131"/>
    </row>
    <row r="75">
      <c r="A75" s="145" t="str">
        <f>IFERROR(__xludf.DUMMYFUNCTION("""COMPUTED_VALUE"""),"Y")</f>
        <v>Y</v>
      </c>
      <c r="B75" s="146" t="str">
        <f>IFERROR(__xludf.DUMMYFUNCTION("""COMPUTED_VALUE"""),"3")</f>
        <v>3</v>
      </c>
      <c r="C75" s="146"/>
      <c r="D75" s="147">
        <f>IFERROR(__xludf.DUMMYFUNCTION("""COMPUTED_VALUE"""),45610.0)</f>
        <v>45610</v>
      </c>
      <c r="E75" s="147">
        <f>IFERROR(__xludf.DUMMYFUNCTION("""COMPUTED_VALUE"""),45617.0)</f>
        <v>45617</v>
      </c>
      <c r="F75" s="147">
        <f>IFERROR(__xludf.DUMMYFUNCTION("""COMPUTED_VALUE"""),45638.0)</f>
        <v>45638</v>
      </c>
      <c r="G75" s="146" t="str">
        <f>IFERROR(__xludf.DUMMYFUNCTION("""COMPUTED_VALUE"""),"D37-1L")</f>
        <v>D37-1L</v>
      </c>
      <c r="H75" s="148">
        <f>IFERROR(__xludf.DUMMYFUNCTION("""COMPUTED_VALUE"""),191.0)</f>
        <v>191</v>
      </c>
      <c r="I75" s="148">
        <f>IFERROR(__xludf.DUMMYFUNCTION("""COMPUTED_VALUE"""),311.0)</f>
        <v>311</v>
      </c>
      <c r="J75" s="146">
        <f>IFERROR(__xludf.DUMMYFUNCTION("""COMPUTED_VALUE"""),61.0)</f>
        <v>61</v>
      </c>
      <c r="K75" s="146">
        <f>IFERROR(__xludf.DUMMYFUNCTION("""COMPUTED_VALUE"""),61.0)</f>
        <v>61</v>
      </c>
      <c r="L75" s="146"/>
      <c r="M75" s="146"/>
      <c r="N75" s="146"/>
      <c r="O75" s="146"/>
      <c r="P75" s="146"/>
      <c r="Q75" s="146"/>
      <c r="R75" s="146"/>
      <c r="T75" s="131" t="str">
        <f>IFERROR(__xludf.DUMMYFUNCTION("""COMPUTED_VALUE"""),"Y")</f>
        <v>Y</v>
      </c>
      <c r="U75" s="131" t="str">
        <f>IFERROR(__xludf.DUMMYFUNCTION("""COMPUTED_VALUE"""),"3")</f>
        <v>3</v>
      </c>
      <c r="V75" s="131"/>
      <c r="W75" s="144">
        <f>IFERROR(__xludf.DUMMYFUNCTION("""COMPUTED_VALUE"""),45610.0)</f>
        <v>45610</v>
      </c>
      <c r="X75" s="144">
        <f>IFERROR(__xludf.DUMMYFUNCTION("""COMPUTED_VALUE"""),45617.0)</f>
        <v>45617</v>
      </c>
      <c r="Y75" s="144">
        <f>IFERROR(__xludf.DUMMYFUNCTION("""COMPUTED_VALUE"""),45638.0)</f>
        <v>45638</v>
      </c>
      <c r="Z75" s="131" t="str">
        <f>IFERROR(__xludf.DUMMYFUNCTION("""COMPUTED_VALUE"""),"D37-1R")</f>
        <v>D37-1R</v>
      </c>
      <c r="AA75" s="131">
        <f>IFERROR(__xludf.DUMMYFUNCTION("""COMPUTED_VALUE"""),3.0)</f>
        <v>3</v>
      </c>
      <c r="AB75" s="131">
        <f>IFERROR(__xludf.DUMMYFUNCTION("""COMPUTED_VALUE"""),91.0)</f>
        <v>91</v>
      </c>
      <c r="AC75" s="131">
        <f>IFERROR(__xludf.DUMMYFUNCTION("""COMPUTED_VALUE"""),45.0)</f>
        <v>45</v>
      </c>
      <c r="AD75" s="131">
        <f>IFERROR(__xludf.DUMMYFUNCTION("""COMPUTED_VALUE"""),45.0)</f>
        <v>45</v>
      </c>
      <c r="AE75" s="131"/>
      <c r="AF75" s="131"/>
      <c r="AG75" s="131"/>
      <c r="AH75" s="131"/>
      <c r="AI75" s="131"/>
      <c r="AJ75" s="131"/>
      <c r="AK75" s="131"/>
    </row>
    <row r="76">
      <c r="A76" s="145" t="str">
        <f>IFERROR(__xludf.DUMMYFUNCTION("""COMPUTED_VALUE"""),"Y")</f>
        <v>Y</v>
      </c>
      <c r="B76" s="146" t="str">
        <f>IFERROR(__xludf.DUMMYFUNCTION("""COMPUTED_VALUE"""),"3")</f>
        <v>3</v>
      </c>
      <c r="C76" s="146"/>
      <c r="D76" s="147">
        <f>IFERROR(__xludf.DUMMYFUNCTION("""COMPUTED_VALUE"""),45610.0)</f>
        <v>45610</v>
      </c>
      <c r="E76" s="147">
        <f>IFERROR(__xludf.DUMMYFUNCTION("""COMPUTED_VALUE"""),45617.0)</f>
        <v>45617</v>
      </c>
      <c r="F76" s="147">
        <f>IFERROR(__xludf.DUMMYFUNCTION("""COMPUTED_VALUE"""),45638.0)</f>
        <v>45638</v>
      </c>
      <c r="G76" s="146" t="str">
        <f>IFERROR(__xludf.DUMMYFUNCTION("""COMPUTED_VALUE"""),"D37-1R")</f>
        <v>D37-1R</v>
      </c>
      <c r="H76" s="148">
        <f>IFERROR(__xludf.DUMMYFUNCTION("""COMPUTED_VALUE"""),3.0)</f>
        <v>3</v>
      </c>
      <c r="I76" s="148">
        <f>IFERROR(__xludf.DUMMYFUNCTION("""COMPUTED_VALUE"""),91.0)</f>
        <v>91</v>
      </c>
      <c r="J76" s="146">
        <f>IFERROR(__xludf.DUMMYFUNCTION("""COMPUTED_VALUE"""),45.0)</f>
        <v>45</v>
      </c>
      <c r="K76" s="146">
        <f>IFERROR(__xludf.DUMMYFUNCTION("""COMPUTED_VALUE"""),45.0)</f>
        <v>45</v>
      </c>
      <c r="L76" s="146"/>
      <c r="M76" s="146"/>
      <c r="N76" s="146"/>
      <c r="O76" s="146"/>
      <c r="P76" s="146"/>
      <c r="Q76" s="146"/>
      <c r="R76" s="146"/>
      <c r="T76" s="131" t="str">
        <f>IFERROR(__xludf.DUMMYFUNCTION("""COMPUTED_VALUE"""),"Y")</f>
        <v>Y</v>
      </c>
      <c r="U76" s="131" t="str">
        <f>IFERROR(__xludf.DUMMYFUNCTION("""COMPUTED_VALUE"""),"3")</f>
        <v>3</v>
      </c>
      <c r="V76" s="131"/>
      <c r="W76" s="144">
        <f>IFERROR(__xludf.DUMMYFUNCTION("""COMPUTED_VALUE"""),45612.0)</f>
        <v>45612</v>
      </c>
      <c r="X76" s="144">
        <f>IFERROR(__xludf.DUMMYFUNCTION("""COMPUTED_VALUE"""),45619.0)</f>
        <v>45619</v>
      </c>
      <c r="Y76" s="144">
        <f>IFERROR(__xludf.DUMMYFUNCTION("""COMPUTED_VALUE"""),45640.0)</f>
        <v>45640</v>
      </c>
      <c r="Z76" s="131" t="str">
        <f>IFERROR(__xludf.DUMMYFUNCTION("""COMPUTED_VALUE"""),"D38-1L")</f>
        <v>D38-1L</v>
      </c>
      <c r="AA76" s="131">
        <f>IFERROR(__xludf.DUMMYFUNCTION("""COMPUTED_VALUE"""),5.0)</f>
        <v>5</v>
      </c>
      <c r="AB76" s="131">
        <f>IFERROR(__xludf.DUMMYFUNCTION("""COMPUTED_VALUE"""),153.0)</f>
        <v>153</v>
      </c>
      <c r="AC76" s="131">
        <f>IFERROR(__xludf.DUMMYFUNCTION("""COMPUTED_VALUE"""),75.0)</f>
        <v>75</v>
      </c>
      <c r="AD76" s="131">
        <f>IFERROR(__xludf.DUMMYFUNCTION("""COMPUTED_VALUE"""),75.0)</f>
        <v>75</v>
      </c>
      <c r="AE76" s="131"/>
      <c r="AF76" s="131"/>
      <c r="AG76" s="131"/>
      <c r="AH76" s="131"/>
      <c r="AI76" s="131"/>
      <c r="AJ76" s="131"/>
      <c r="AK76" s="131"/>
    </row>
    <row r="77">
      <c r="A77" s="145" t="str">
        <f>IFERROR(__xludf.DUMMYFUNCTION("""COMPUTED_VALUE"""),"Y")</f>
        <v>Y</v>
      </c>
      <c r="B77" s="146" t="str">
        <f>IFERROR(__xludf.DUMMYFUNCTION("""COMPUTED_VALUE"""),"3")</f>
        <v>3</v>
      </c>
      <c r="C77" s="146"/>
      <c r="D77" s="147">
        <f>IFERROR(__xludf.DUMMYFUNCTION("""COMPUTED_VALUE"""),45612.0)</f>
        <v>45612</v>
      </c>
      <c r="E77" s="147">
        <f>IFERROR(__xludf.DUMMYFUNCTION("""COMPUTED_VALUE"""),45619.0)</f>
        <v>45619</v>
      </c>
      <c r="F77" s="147">
        <f>IFERROR(__xludf.DUMMYFUNCTION("""COMPUTED_VALUE"""),45640.0)</f>
        <v>45640</v>
      </c>
      <c r="G77" s="146" t="str">
        <f>IFERROR(__xludf.DUMMYFUNCTION("""COMPUTED_VALUE"""),"D38-1L")</f>
        <v>D38-1L</v>
      </c>
      <c r="H77" s="148">
        <f>IFERROR(__xludf.DUMMYFUNCTION("""COMPUTED_VALUE"""),5.0)</f>
        <v>5</v>
      </c>
      <c r="I77" s="148">
        <f>IFERROR(__xludf.DUMMYFUNCTION("""COMPUTED_VALUE"""),153.0)</f>
        <v>153</v>
      </c>
      <c r="J77" s="146">
        <f>IFERROR(__xludf.DUMMYFUNCTION("""COMPUTED_VALUE"""),75.0)</f>
        <v>75</v>
      </c>
      <c r="K77" s="146">
        <f>IFERROR(__xludf.DUMMYFUNCTION("""COMPUTED_VALUE"""),75.0)</f>
        <v>75</v>
      </c>
      <c r="L77" s="146"/>
      <c r="M77" s="146"/>
      <c r="N77" s="146"/>
      <c r="O77" s="146"/>
      <c r="P77" s="146"/>
      <c r="Q77" s="146"/>
      <c r="R77" s="146"/>
      <c r="T77" s="131" t="str">
        <f>IFERROR(__xludf.DUMMYFUNCTION("""COMPUTED_VALUE"""),"Y")</f>
        <v>Y</v>
      </c>
      <c r="U77" s="131" t="str">
        <f>IFERROR(__xludf.DUMMYFUNCTION("""COMPUTED_VALUE"""),"3")</f>
        <v>3</v>
      </c>
      <c r="V77" s="131"/>
      <c r="W77" s="144">
        <f>IFERROR(__xludf.DUMMYFUNCTION("""COMPUTED_VALUE"""),45612.0)</f>
        <v>45612</v>
      </c>
      <c r="X77" s="144">
        <f>IFERROR(__xludf.DUMMYFUNCTION("""COMPUTED_VALUE"""),45619.0)</f>
        <v>45619</v>
      </c>
      <c r="Y77" s="144">
        <f>IFERROR(__xludf.DUMMYFUNCTION("""COMPUTED_VALUE"""),45640.0)</f>
        <v>45640</v>
      </c>
      <c r="Z77" s="131" t="str">
        <f>IFERROR(__xludf.DUMMYFUNCTION("""COMPUTED_VALUE"""),"D38-1L")</f>
        <v>D38-1L</v>
      </c>
      <c r="AA77" s="131">
        <f>IFERROR(__xludf.DUMMYFUNCTION("""COMPUTED_VALUE"""),158.0)</f>
        <v>158</v>
      </c>
      <c r="AB77" s="131">
        <f>IFERROR(__xludf.DUMMYFUNCTION("""COMPUTED_VALUE"""),258.0)</f>
        <v>258</v>
      </c>
      <c r="AC77" s="131">
        <f>IFERROR(__xludf.DUMMYFUNCTION("""COMPUTED_VALUE"""),51.0)</f>
        <v>51</v>
      </c>
      <c r="AD77" s="131">
        <f>IFERROR(__xludf.DUMMYFUNCTION("""COMPUTED_VALUE"""),51.0)</f>
        <v>51</v>
      </c>
      <c r="AE77" s="131"/>
      <c r="AF77" s="131"/>
      <c r="AG77" s="131"/>
      <c r="AH77" s="131"/>
      <c r="AI77" s="131"/>
      <c r="AJ77" s="131"/>
      <c r="AK77" s="131"/>
    </row>
    <row r="78">
      <c r="A78" s="145" t="str">
        <f>IFERROR(__xludf.DUMMYFUNCTION("""COMPUTED_VALUE"""),"Y")</f>
        <v>Y</v>
      </c>
      <c r="B78" s="146" t="str">
        <f>IFERROR(__xludf.DUMMYFUNCTION("""COMPUTED_VALUE"""),"3")</f>
        <v>3</v>
      </c>
      <c r="C78" s="146"/>
      <c r="D78" s="147">
        <f>IFERROR(__xludf.DUMMYFUNCTION("""COMPUTED_VALUE"""),45612.0)</f>
        <v>45612</v>
      </c>
      <c r="E78" s="147">
        <f>IFERROR(__xludf.DUMMYFUNCTION("""COMPUTED_VALUE"""),45619.0)</f>
        <v>45619</v>
      </c>
      <c r="F78" s="147">
        <f>IFERROR(__xludf.DUMMYFUNCTION("""COMPUTED_VALUE"""),45640.0)</f>
        <v>45640</v>
      </c>
      <c r="G78" s="146" t="str">
        <f>IFERROR(__xludf.DUMMYFUNCTION("""COMPUTED_VALUE"""),"D38-1L")</f>
        <v>D38-1L</v>
      </c>
      <c r="H78" s="148">
        <f>IFERROR(__xludf.DUMMYFUNCTION("""COMPUTED_VALUE"""),158.0)</f>
        <v>158</v>
      </c>
      <c r="I78" s="148">
        <f>IFERROR(__xludf.DUMMYFUNCTION("""COMPUTED_VALUE"""),258.0)</f>
        <v>258</v>
      </c>
      <c r="J78" s="146">
        <f>IFERROR(__xludf.DUMMYFUNCTION("""COMPUTED_VALUE"""),51.0)</f>
        <v>51</v>
      </c>
      <c r="K78" s="146">
        <f>IFERROR(__xludf.DUMMYFUNCTION("""COMPUTED_VALUE"""),51.0)</f>
        <v>51</v>
      </c>
      <c r="L78" s="146"/>
      <c r="M78" s="146"/>
      <c r="N78" s="146"/>
      <c r="O78" s="146"/>
      <c r="P78" s="146"/>
      <c r="Q78" s="146"/>
      <c r="R78" s="146"/>
      <c r="T78" s="131" t="str">
        <f>IFERROR(__xludf.DUMMYFUNCTION("""COMPUTED_VALUE"""),"Y")</f>
        <v>Y</v>
      </c>
      <c r="U78" s="131" t="str">
        <f>IFERROR(__xludf.DUMMYFUNCTION("""COMPUTED_VALUE"""),"3")</f>
        <v>3</v>
      </c>
      <c r="V78" s="131"/>
      <c r="W78" s="144">
        <f>IFERROR(__xludf.DUMMYFUNCTION("""COMPUTED_VALUE"""),45612.0)</f>
        <v>45612</v>
      </c>
      <c r="X78" s="144">
        <f>IFERROR(__xludf.DUMMYFUNCTION("""COMPUTED_VALUE"""),45619.0)</f>
        <v>45619</v>
      </c>
      <c r="Y78" s="144">
        <f>IFERROR(__xludf.DUMMYFUNCTION("""COMPUTED_VALUE"""),45640.0)</f>
        <v>45640</v>
      </c>
      <c r="Z78" s="131" t="str">
        <f>IFERROR(__xludf.DUMMYFUNCTION("""COMPUTED_VALUE"""),"D37-1R")</f>
        <v>D37-1R</v>
      </c>
      <c r="AA78" s="131">
        <f>IFERROR(__xludf.DUMMYFUNCTION("""COMPUTED_VALUE"""),95.0)</f>
        <v>95</v>
      </c>
      <c r="AB78" s="131">
        <f>IFERROR(__xludf.DUMMYFUNCTION("""COMPUTED_VALUE"""),305.0)</f>
        <v>305</v>
      </c>
      <c r="AC78" s="131">
        <f>IFERROR(__xludf.DUMMYFUNCTION("""COMPUTED_VALUE"""),106.0)</f>
        <v>106</v>
      </c>
      <c r="AD78" s="131">
        <f>IFERROR(__xludf.DUMMYFUNCTION("""COMPUTED_VALUE"""),106.0)</f>
        <v>106</v>
      </c>
      <c r="AE78" s="131"/>
      <c r="AF78" s="131"/>
      <c r="AG78" s="131"/>
      <c r="AH78" s="131"/>
      <c r="AI78" s="131"/>
      <c r="AJ78" s="131"/>
      <c r="AK78" s="131"/>
    </row>
    <row r="79">
      <c r="A79" s="145" t="str">
        <f>IFERROR(__xludf.DUMMYFUNCTION("""COMPUTED_VALUE"""),"Y")</f>
        <v>Y</v>
      </c>
      <c r="B79" s="146" t="str">
        <f>IFERROR(__xludf.DUMMYFUNCTION("""COMPUTED_VALUE"""),"3")</f>
        <v>3</v>
      </c>
      <c r="C79" s="146"/>
      <c r="D79" s="147">
        <f>IFERROR(__xludf.DUMMYFUNCTION("""COMPUTED_VALUE"""),45612.0)</f>
        <v>45612</v>
      </c>
      <c r="E79" s="147">
        <f>IFERROR(__xludf.DUMMYFUNCTION("""COMPUTED_VALUE"""),45619.0)</f>
        <v>45619</v>
      </c>
      <c r="F79" s="147">
        <f>IFERROR(__xludf.DUMMYFUNCTION("""COMPUTED_VALUE"""),45640.0)</f>
        <v>45640</v>
      </c>
      <c r="G79" s="146" t="str">
        <f>IFERROR(__xludf.DUMMYFUNCTION("""COMPUTED_VALUE"""),"D37-1R")</f>
        <v>D37-1R</v>
      </c>
      <c r="H79" s="148">
        <f>IFERROR(__xludf.DUMMYFUNCTION("""COMPUTED_VALUE"""),95.0)</f>
        <v>95</v>
      </c>
      <c r="I79" s="148">
        <f>IFERROR(__xludf.DUMMYFUNCTION("""COMPUTED_VALUE"""),305.0)</f>
        <v>305</v>
      </c>
      <c r="J79" s="146">
        <f>IFERROR(__xludf.DUMMYFUNCTION("""COMPUTED_VALUE"""),106.0)</f>
        <v>106</v>
      </c>
      <c r="K79" s="146">
        <f>IFERROR(__xludf.DUMMYFUNCTION("""COMPUTED_VALUE"""),106.0)</f>
        <v>106</v>
      </c>
      <c r="L79" s="146"/>
      <c r="M79" s="146"/>
      <c r="N79" s="146"/>
      <c r="O79" s="146"/>
      <c r="P79" s="146"/>
      <c r="Q79" s="146"/>
      <c r="R79" s="146"/>
      <c r="T79" s="131" t="str">
        <f>IFERROR(__xludf.DUMMYFUNCTION("""COMPUTED_VALUE"""),"Y")</f>
        <v>Y</v>
      </c>
      <c r="U79" s="131" t="str">
        <f>IFERROR(__xludf.DUMMYFUNCTION("""COMPUTED_VALUE"""),"3")</f>
        <v>3</v>
      </c>
      <c r="V79" s="131"/>
      <c r="W79" s="144">
        <f>IFERROR(__xludf.DUMMYFUNCTION("""COMPUTED_VALUE"""),45613.0)</f>
        <v>45613</v>
      </c>
      <c r="X79" s="144">
        <f>IFERROR(__xludf.DUMMYFUNCTION("""COMPUTED_VALUE"""),45620.0)</f>
        <v>45620</v>
      </c>
      <c r="Y79" s="144">
        <f>IFERROR(__xludf.DUMMYFUNCTION("""COMPUTED_VALUE"""),45641.0)</f>
        <v>45641</v>
      </c>
      <c r="Z79" s="131" t="str">
        <f>IFERROR(__xludf.DUMMYFUNCTION("""COMPUTED_VALUE"""),"D38-1L")</f>
        <v>D38-1L</v>
      </c>
      <c r="AA79" s="131">
        <f>IFERROR(__xludf.DUMMYFUNCTION("""COMPUTED_VALUE"""),155.0)</f>
        <v>155</v>
      </c>
      <c r="AB79" s="131">
        <f>IFERROR(__xludf.DUMMYFUNCTION("""COMPUTED_VALUE"""),235.0)</f>
        <v>235</v>
      </c>
      <c r="AC79" s="131">
        <f>IFERROR(__xludf.DUMMYFUNCTION("""COMPUTED_VALUE"""),41.0)</f>
        <v>41</v>
      </c>
      <c r="AD79" s="131">
        <f>IFERROR(__xludf.DUMMYFUNCTION("""COMPUTED_VALUE"""),41.0)</f>
        <v>41</v>
      </c>
      <c r="AE79" s="131">
        <f>IFERROR(__xludf.DUMMYFUNCTION("""COMPUTED_VALUE"""),258.0)</f>
        <v>258</v>
      </c>
      <c r="AF79" s="131">
        <f>IFERROR(__xludf.DUMMYFUNCTION("""COMPUTED_VALUE"""),306.0)</f>
        <v>306</v>
      </c>
      <c r="AG79" s="131">
        <f>IFERROR(__xludf.DUMMYFUNCTION("""COMPUTED_VALUE"""),25.0)</f>
        <v>25</v>
      </c>
      <c r="AH79" s="131">
        <f>IFERROR(__xludf.DUMMYFUNCTION("""COMPUTED_VALUE"""),25.0)</f>
        <v>25</v>
      </c>
      <c r="AI79" s="131"/>
      <c r="AJ79" s="131"/>
      <c r="AK79" s="131"/>
    </row>
    <row r="80">
      <c r="A80" s="145" t="str">
        <f>IFERROR(__xludf.DUMMYFUNCTION("""COMPUTED_VALUE"""),"Y")</f>
        <v>Y</v>
      </c>
      <c r="B80" s="146" t="str">
        <f>IFERROR(__xludf.DUMMYFUNCTION("""COMPUTED_VALUE"""),"3")</f>
        <v>3</v>
      </c>
      <c r="C80" s="146"/>
      <c r="D80" s="147">
        <f>IFERROR(__xludf.DUMMYFUNCTION("""COMPUTED_VALUE"""),45613.0)</f>
        <v>45613</v>
      </c>
      <c r="E80" s="147">
        <f>IFERROR(__xludf.DUMMYFUNCTION("""COMPUTED_VALUE"""),45620.0)</f>
        <v>45620</v>
      </c>
      <c r="F80" s="147">
        <f>IFERROR(__xludf.DUMMYFUNCTION("""COMPUTED_VALUE"""),45641.0)</f>
        <v>45641</v>
      </c>
      <c r="G80" s="146" t="str">
        <f>IFERROR(__xludf.DUMMYFUNCTION("""COMPUTED_VALUE"""),"D38-1L")</f>
        <v>D38-1L</v>
      </c>
      <c r="H80" s="148">
        <f>IFERROR(__xludf.DUMMYFUNCTION("""COMPUTED_VALUE"""),155.0)</f>
        <v>155</v>
      </c>
      <c r="I80" s="148">
        <f>IFERROR(__xludf.DUMMYFUNCTION("""COMPUTED_VALUE"""),235.0)</f>
        <v>235</v>
      </c>
      <c r="J80" s="146">
        <f>IFERROR(__xludf.DUMMYFUNCTION("""COMPUTED_VALUE"""),41.0)</f>
        <v>41</v>
      </c>
      <c r="K80" s="146">
        <f>IFERROR(__xludf.DUMMYFUNCTION("""COMPUTED_VALUE"""),41.0)</f>
        <v>41</v>
      </c>
      <c r="L80" s="146">
        <f>IFERROR(__xludf.DUMMYFUNCTION("""COMPUTED_VALUE"""),258.0)</f>
        <v>258</v>
      </c>
      <c r="M80" s="146">
        <f>IFERROR(__xludf.DUMMYFUNCTION("""COMPUTED_VALUE"""),306.0)</f>
        <v>306</v>
      </c>
      <c r="N80" s="146">
        <f>IFERROR(__xludf.DUMMYFUNCTION("""COMPUTED_VALUE"""),25.0)</f>
        <v>25</v>
      </c>
      <c r="O80" s="146">
        <f>IFERROR(__xludf.DUMMYFUNCTION("""COMPUTED_VALUE"""),25.0)</f>
        <v>25</v>
      </c>
      <c r="P80" s="146"/>
      <c r="Q80" s="146"/>
      <c r="R80" s="146"/>
      <c r="T80" s="131" t="str">
        <f>IFERROR(__xludf.DUMMYFUNCTION("""COMPUTED_VALUE"""),"Y")</f>
        <v>Y</v>
      </c>
      <c r="U80" s="131" t="str">
        <f>IFERROR(__xludf.DUMMYFUNCTION("""COMPUTED_VALUE"""),"3")</f>
        <v>3</v>
      </c>
      <c r="V80" s="131"/>
      <c r="W80" s="144">
        <f>IFERROR(__xludf.DUMMYFUNCTION("""COMPUTED_VALUE"""),45613.0)</f>
        <v>45613</v>
      </c>
      <c r="X80" s="144">
        <f>IFERROR(__xludf.DUMMYFUNCTION("""COMPUTED_VALUE"""),45620.0)</f>
        <v>45620</v>
      </c>
      <c r="Y80" s="144">
        <f>IFERROR(__xludf.DUMMYFUNCTION("""COMPUTED_VALUE"""),45641.0)</f>
        <v>45641</v>
      </c>
      <c r="Z80" s="131" t="str">
        <f>IFERROR(__xludf.DUMMYFUNCTION("""COMPUTED_VALUE"""),"D37-1L")</f>
        <v>D37-1L</v>
      </c>
      <c r="AA80" s="131"/>
      <c r="AB80" s="131"/>
      <c r="AC80" s="131"/>
      <c r="AD80" s="131"/>
      <c r="AE80" s="131">
        <f>IFERROR(__xludf.DUMMYFUNCTION("""COMPUTED_VALUE"""),164.0)</f>
        <v>164</v>
      </c>
      <c r="AF80" s="131">
        <f>IFERROR(__xludf.DUMMYFUNCTION("""COMPUTED_VALUE"""),268.0)</f>
        <v>268</v>
      </c>
      <c r="AG80" s="131">
        <f>IFERROR(__xludf.DUMMYFUNCTION("""COMPUTED_VALUE"""),53.0)</f>
        <v>53</v>
      </c>
      <c r="AH80" s="131">
        <f>IFERROR(__xludf.DUMMYFUNCTION("""COMPUTED_VALUE"""),53.0)</f>
        <v>53</v>
      </c>
      <c r="AI80" s="131"/>
      <c r="AJ80" s="131"/>
      <c r="AK80" s="131"/>
    </row>
    <row r="81">
      <c r="A81" s="145" t="str">
        <f>IFERROR(__xludf.DUMMYFUNCTION("""COMPUTED_VALUE"""),"Y")</f>
        <v>Y</v>
      </c>
      <c r="B81" s="146" t="str">
        <f>IFERROR(__xludf.DUMMYFUNCTION("""COMPUTED_VALUE"""),"3")</f>
        <v>3</v>
      </c>
      <c r="C81" s="146"/>
      <c r="D81" s="147">
        <f>IFERROR(__xludf.DUMMYFUNCTION("""COMPUTED_VALUE"""),45613.0)</f>
        <v>45613</v>
      </c>
      <c r="E81" s="147">
        <f>IFERROR(__xludf.DUMMYFUNCTION("""COMPUTED_VALUE"""),45620.0)</f>
        <v>45620</v>
      </c>
      <c r="F81" s="147">
        <f>IFERROR(__xludf.DUMMYFUNCTION("""COMPUTED_VALUE"""),45641.0)</f>
        <v>45641</v>
      </c>
      <c r="G81" s="146" t="str">
        <f>IFERROR(__xludf.DUMMYFUNCTION("""COMPUTED_VALUE"""),"D37-1L")</f>
        <v>D37-1L</v>
      </c>
      <c r="H81" s="148"/>
      <c r="I81" s="148"/>
      <c r="J81" s="146"/>
      <c r="K81" s="146"/>
      <c r="L81" s="146">
        <f>IFERROR(__xludf.DUMMYFUNCTION("""COMPUTED_VALUE"""),164.0)</f>
        <v>164</v>
      </c>
      <c r="M81" s="146">
        <f>IFERROR(__xludf.DUMMYFUNCTION("""COMPUTED_VALUE"""),268.0)</f>
        <v>268</v>
      </c>
      <c r="N81" s="146">
        <f>IFERROR(__xludf.DUMMYFUNCTION("""COMPUTED_VALUE"""),53.0)</f>
        <v>53</v>
      </c>
      <c r="O81" s="146">
        <f>IFERROR(__xludf.DUMMYFUNCTION("""COMPUTED_VALUE"""),53.0)</f>
        <v>53</v>
      </c>
      <c r="P81" s="146"/>
      <c r="Q81" s="146"/>
      <c r="R81" s="146"/>
      <c r="T81" s="131" t="str">
        <f>IFERROR(__xludf.DUMMYFUNCTION("""COMPUTED_VALUE"""),"Y")</f>
        <v>Y</v>
      </c>
      <c r="U81" s="131" t="str">
        <f>IFERROR(__xludf.DUMMYFUNCTION("""COMPUTED_VALUE"""),"3")</f>
        <v>3</v>
      </c>
      <c r="V81" s="131"/>
      <c r="W81" s="144">
        <f>IFERROR(__xludf.DUMMYFUNCTION("""COMPUTED_VALUE"""),45614.0)</f>
        <v>45614</v>
      </c>
      <c r="X81" s="144">
        <f>IFERROR(__xludf.DUMMYFUNCTION("""COMPUTED_VALUE"""),45621.0)</f>
        <v>45621</v>
      </c>
      <c r="Y81" s="144">
        <f>IFERROR(__xludf.DUMMYFUNCTION("""COMPUTED_VALUE"""),45642.0)</f>
        <v>45642</v>
      </c>
      <c r="Z81" s="131" t="str">
        <f>IFERROR(__xludf.DUMMYFUNCTION("""COMPUTED_VALUE"""),"D38-1L")</f>
        <v>D38-1L</v>
      </c>
      <c r="AA81" s="131">
        <f>IFERROR(__xludf.DUMMYFUNCTION("""COMPUTED_VALUE"""),237.0)</f>
        <v>237</v>
      </c>
      <c r="AB81" s="131">
        <f>IFERROR(__xludf.DUMMYFUNCTION("""COMPUTED_VALUE"""),305.0)</f>
        <v>305</v>
      </c>
      <c r="AC81" s="131">
        <f>IFERROR(__xludf.DUMMYFUNCTION("""COMPUTED_VALUE"""),35.0)</f>
        <v>35</v>
      </c>
      <c r="AD81" s="131">
        <f>IFERROR(__xludf.DUMMYFUNCTION("""COMPUTED_VALUE"""),35.0)</f>
        <v>35</v>
      </c>
      <c r="AE81" s="131"/>
      <c r="AF81" s="131"/>
      <c r="AG81" s="131"/>
      <c r="AH81" s="131"/>
      <c r="AI81" s="131"/>
      <c r="AJ81" s="131"/>
      <c r="AK81" s="131"/>
    </row>
    <row r="82">
      <c r="A82" s="145" t="str">
        <f>IFERROR(__xludf.DUMMYFUNCTION("""COMPUTED_VALUE"""),"Y")</f>
        <v>Y</v>
      </c>
      <c r="B82" s="146" t="str">
        <f>IFERROR(__xludf.DUMMYFUNCTION("""COMPUTED_VALUE"""),"3")</f>
        <v>3</v>
      </c>
      <c r="C82" s="146"/>
      <c r="D82" s="147">
        <f>IFERROR(__xludf.DUMMYFUNCTION("""COMPUTED_VALUE"""),45614.0)</f>
        <v>45614</v>
      </c>
      <c r="E82" s="147">
        <f>IFERROR(__xludf.DUMMYFUNCTION("""COMPUTED_VALUE"""),45621.0)</f>
        <v>45621</v>
      </c>
      <c r="F82" s="147">
        <f>IFERROR(__xludf.DUMMYFUNCTION("""COMPUTED_VALUE"""),45642.0)</f>
        <v>45642</v>
      </c>
      <c r="G82" s="146" t="str">
        <f>IFERROR(__xludf.DUMMYFUNCTION("""COMPUTED_VALUE"""),"D38-1L")</f>
        <v>D38-1L</v>
      </c>
      <c r="H82" s="148">
        <f>IFERROR(__xludf.DUMMYFUNCTION("""COMPUTED_VALUE"""),237.0)</f>
        <v>237</v>
      </c>
      <c r="I82" s="148">
        <f>IFERROR(__xludf.DUMMYFUNCTION("""COMPUTED_VALUE"""),305.0)</f>
        <v>305</v>
      </c>
      <c r="J82" s="146">
        <f>IFERROR(__xludf.DUMMYFUNCTION("""COMPUTED_VALUE"""),35.0)</f>
        <v>35</v>
      </c>
      <c r="K82" s="146">
        <f>IFERROR(__xludf.DUMMYFUNCTION("""COMPUTED_VALUE"""),35.0)</f>
        <v>35</v>
      </c>
      <c r="L82" s="146"/>
      <c r="M82" s="146"/>
      <c r="N82" s="146"/>
      <c r="O82" s="146"/>
      <c r="P82" s="146"/>
      <c r="Q82" s="146"/>
      <c r="R82" s="146"/>
      <c r="T82" s="131" t="str">
        <f>IFERROR(__xludf.DUMMYFUNCTION("""COMPUTED_VALUE"""),"Y")</f>
        <v>Y</v>
      </c>
      <c r="U82" s="131" t="str">
        <f>IFERROR(__xludf.DUMMYFUNCTION("""COMPUTED_VALUE"""),"3")</f>
        <v>3</v>
      </c>
      <c r="V82" s="131"/>
      <c r="W82" s="144">
        <f>IFERROR(__xludf.DUMMYFUNCTION("""COMPUTED_VALUE"""),45614.0)</f>
        <v>45614</v>
      </c>
      <c r="X82" s="144">
        <f>IFERROR(__xludf.DUMMYFUNCTION("""COMPUTED_VALUE"""),45621.0)</f>
        <v>45621</v>
      </c>
      <c r="Y82" s="144">
        <f>IFERROR(__xludf.DUMMYFUNCTION("""COMPUTED_VALUE"""),45642.0)</f>
        <v>45642</v>
      </c>
      <c r="Z82" s="131" t="str">
        <f>IFERROR(__xludf.DUMMYFUNCTION("""COMPUTED_VALUE"""),"D38-3L")</f>
        <v>D38-3L</v>
      </c>
      <c r="AA82" s="131">
        <f>IFERROR(__xludf.DUMMYFUNCTION("""COMPUTED_VALUE"""),7.0)</f>
        <v>7</v>
      </c>
      <c r="AB82" s="131">
        <f>IFERROR(__xludf.DUMMYFUNCTION("""COMPUTED_VALUE"""),197.0)</f>
        <v>197</v>
      </c>
      <c r="AC82" s="131">
        <f>IFERROR(__xludf.DUMMYFUNCTION("""COMPUTED_VALUE"""),96.0)</f>
        <v>96</v>
      </c>
      <c r="AD82" s="131">
        <f>IFERROR(__xludf.DUMMYFUNCTION("""COMPUTED_VALUE"""),96.0)</f>
        <v>96</v>
      </c>
      <c r="AE82" s="131"/>
      <c r="AF82" s="131"/>
      <c r="AG82" s="131"/>
      <c r="AH82" s="131"/>
      <c r="AI82" s="131"/>
      <c r="AJ82" s="131"/>
      <c r="AK82" s="131"/>
    </row>
    <row r="83">
      <c r="A83" s="145" t="str">
        <f>IFERROR(__xludf.DUMMYFUNCTION("""COMPUTED_VALUE"""),"Y")</f>
        <v>Y</v>
      </c>
      <c r="B83" s="146" t="str">
        <f>IFERROR(__xludf.DUMMYFUNCTION("""COMPUTED_VALUE"""),"3")</f>
        <v>3</v>
      </c>
      <c r="C83" s="146"/>
      <c r="D83" s="147">
        <f>IFERROR(__xludf.DUMMYFUNCTION("""COMPUTED_VALUE"""),45614.0)</f>
        <v>45614</v>
      </c>
      <c r="E83" s="147">
        <f>IFERROR(__xludf.DUMMYFUNCTION("""COMPUTED_VALUE"""),45621.0)</f>
        <v>45621</v>
      </c>
      <c r="F83" s="147">
        <f>IFERROR(__xludf.DUMMYFUNCTION("""COMPUTED_VALUE"""),45642.0)</f>
        <v>45642</v>
      </c>
      <c r="G83" s="146" t="str">
        <f>IFERROR(__xludf.DUMMYFUNCTION("""COMPUTED_VALUE"""),"D38-3L")</f>
        <v>D38-3L</v>
      </c>
      <c r="H83" s="148">
        <f>IFERROR(__xludf.DUMMYFUNCTION("""COMPUTED_VALUE"""),7.0)</f>
        <v>7</v>
      </c>
      <c r="I83" s="148">
        <f>IFERROR(__xludf.DUMMYFUNCTION("""COMPUTED_VALUE"""),197.0)</f>
        <v>197</v>
      </c>
      <c r="J83" s="146">
        <f>IFERROR(__xludf.DUMMYFUNCTION("""COMPUTED_VALUE"""),96.0)</f>
        <v>96</v>
      </c>
      <c r="K83" s="146">
        <f>IFERROR(__xludf.DUMMYFUNCTION("""COMPUTED_VALUE"""),96.0)</f>
        <v>96</v>
      </c>
      <c r="L83" s="146"/>
      <c r="M83" s="146"/>
      <c r="N83" s="146"/>
      <c r="O83" s="146"/>
      <c r="P83" s="146"/>
      <c r="Q83" s="146"/>
      <c r="R83" s="146"/>
      <c r="T83" s="131" t="str">
        <f>IFERROR(__xludf.DUMMYFUNCTION("""COMPUTED_VALUE"""),"Y")</f>
        <v>Y</v>
      </c>
      <c r="U83" s="131" t="str">
        <f>IFERROR(__xludf.DUMMYFUNCTION("""COMPUTED_VALUE"""),"3")</f>
        <v>3</v>
      </c>
      <c r="V83" s="131"/>
      <c r="W83" s="144">
        <f>IFERROR(__xludf.DUMMYFUNCTION("""COMPUTED_VALUE"""),45614.0)</f>
        <v>45614</v>
      </c>
      <c r="X83" s="144">
        <f>IFERROR(__xludf.DUMMYFUNCTION("""COMPUTED_VALUE"""),45621.0)</f>
        <v>45621</v>
      </c>
      <c r="Y83" s="144">
        <f>IFERROR(__xludf.DUMMYFUNCTION("""COMPUTED_VALUE"""),45642.0)</f>
        <v>45642</v>
      </c>
      <c r="Z83" s="131" t="str">
        <f>IFERROR(__xludf.DUMMYFUNCTION("""COMPUTED_VALUE"""),"D37-1L")</f>
        <v>D37-1L</v>
      </c>
      <c r="AA83" s="131"/>
      <c r="AB83" s="131"/>
      <c r="AC83" s="131"/>
      <c r="AD83" s="131"/>
      <c r="AE83" s="131">
        <f>IFERROR(__xludf.DUMMYFUNCTION("""COMPUTED_VALUE"""),270.0)</f>
        <v>270</v>
      </c>
      <c r="AF83" s="131">
        <f>IFERROR(__xludf.DUMMYFUNCTION("""COMPUTED_VALUE"""),284.0)</f>
        <v>284</v>
      </c>
      <c r="AG83" s="131">
        <f>IFERROR(__xludf.DUMMYFUNCTION("""COMPUTED_VALUE"""),8.0)</f>
        <v>8</v>
      </c>
      <c r="AH83" s="131">
        <f>IFERROR(__xludf.DUMMYFUNCTION("""COMPUTED_VALUE"""),8.0)</f>
        <v>8</v>
      </c>
      <c r="AI83" s="131"/>
      <c r="AJ83" s="131"/>
      <c r="AK83" s="131"/>
    </row>
    <row r="84">
      <c r="A84" s="145" t="str">
        <f>IFERROR(__xludf.DUMMYFUNCTION("""COMPUTED_VALUE"""),"Y")</f>
        <v>Y</v>
      </c>
      <c r="B84" s="146" t="str">
        <f>IFERROR(__xludf.DUMMYFUNCTION("""COMPUTED_VALUE"""),"3")</f>
        <v>3</v>
      </c>
      <c r="C84" s="146"/>
      <c r="D84" s="147">
        <f>IFERROR(__xludf.DUMMYFUNCTION("""COMPUTED_VALUE"""),45614.0)</f>
        <v>45614</v>
      </c>
      <c r="E84" s="147">
        <f>IFERROR(__xludf.DUMMYFUNCTION("""COMPUTED_VALUE"""),45621.0)</f>
        <v>45621</v>
      </c>
      <c r="F84" s="147">
        <f>IFERROR(__xludf.DUMMYFUNCTION("""COMPUTED_VALUE"""),45642.0)</f>
        <v>45642</v>
      </c>
      <c r="G84" s="146" t="str">
        <f>IFERROR(__xludf.DUMMYFUNCTION("""COMPUTED_VALUE"""),"D37-1L")</f>
        <v>D37-1L</v>
      </c>
      <c r="H84" s="148"/>
      <c r="I84" s="148"/>
      <c r="J84" s="146"/>
      <c r="K84" s="146"/>
      <c r="L84" s="146">
        <f>IFERROR(__xludf.DUMMYFUNCTION("""COMPUTED_VALUE"""),270.0)</f>
        <v>270</v>
      </c>
      <c r="M84" s="146">
        <f>IFERROR(__xludf.DUMMYFUNCTION("""COMPUTED_VALUE"""),284.0)</f>
        <v>284</v>
      </c>
      <c r="N84" s="146">
        <f>IFERROR(__xludf.DUMMYFUNCTION("""COMPUTED_VALUE"""),8.0)</f>
        <v>8</v>
      </c>
      <c r="O84" s="146">
        <f>IFERROR(__xludf.DUMMYFUNCTION("""COMPUTED_VALUE"""),8.0)</f>
        <v>8</v>
      </c>
      <c r="P84" s="146"/>
      <c r="Q84" s="146"/>
      <c r="R84" s="146"/>
      <c r="T84" s="131" t="str">
        <f>IFERROR(__xludf.DUMMYFUNCTION("""COMPUTED_VALUE"""),"Y")</f>
        <v>Y</v>
      </c>
      <c r="U84" s="131" t="str">
        <f>IFERROR(__xludf.DUMMYFUNCTION("""COMPUTED_VALUE"""),"3")</f>
        <v>3</v>
      </c>
      <c r="V84" s="131"/>
      <c r="W84" s="144">
        <f>IFERROR(__xludf.DUMMYFUNCTION("""COMPUTED_VALUE"""),45615.0)</f>
        <v>45615</v>
      </c>
      <c r="X84" s="144">
        <f>IFERROR(__xludf.DUMMYFUNCTION("""COMPUTED_VALUE"""),45622.0)</f>
        <v>45622</v>
      </c>
      <c r="Y84" s="144">
        <f>IFERROR(__xludf.DUMMYFUNCTION("""COMPUTED_VALUE"""),45643.0)</f>
        <v>45643</v>
      </c>
      <c r="Z84" s="131" t="str">
        <f>IFERROR(__xludf.DUMMYFUNCTION("""COMPUTED_VALUE"""),"D37-1L")</f>
        <v>D37-1L</v>
      </c>
      <c r="AA84" s="131"/>
      <c r="AB84" s="131"/>
      <c r="AC84" s="131"/>
      <c r="AD84" s="131"/>
      <c r="AE84" s="131">
        <f>IFERROR(__xludf.DUMMYFUNCTION("""COMPUTED_VALUE"""),286.0)</f>
        <v>286</v>
      </c>
      <c r="AF84" s="131">
        <f>IFERROR(__xludf.DUMMYFUNCTION("""COMPUTED_VALUE"""),310.0)</f>
        <v>310</v>
      </c>
      <c r="AG84" s="131">
        <f>IFERROR(__xludf.DUMMYFUNCTION("""COMPUTED_VALUE"""),13.0)</f>
        <v>13</v>
      </c>
      <c r="AH84" s="131">
        <f>IFERROR(__xludf.DUMMYFUNCTION("""COMPUTED_VALUE"""),13.0)</f>
        <v>13</v>
      </c>
      <c r="AI84" s="131"/>
      <c r="AJ84" s="131"/>
      <c r="AK84" s="131"/>
    </row>
    <row r="85">
      <c r="A85" s="145" t="str">
        <f>IFERROR(__xludf.DUMMYFUNCTION("""COMPUTED_VALUE"""),"Y")</f>
        <v>Y</v>
      </c>
      <c r="B85" s="146" t="str">
        <f>IFERROR(__xludf.DUMMYFUNCTION("""COMPUTED_VALUE"""),"3")</f>
        <v>3</v>
      </c>
      <c r="C85" s="146"/>
      <c r="D85" s="147">
        <f>IFERROR(__xludf.DUMMYFUNCTION("""COMPUTED_VALUE"""),45615.0)</f>
        <v>45615</v>
      </c>
      <c r="E85" s="147">
        <f>IFERROR(__xludf.DUMMYFUNCTION("""COMPUTED_VALUE"""),45622.0)</f>
        <v>45622</v>
      </c>
      <c r="F85" s="147">
        <f>IFERROR(__xludf.DUMMYFUNCTION("""COMPUTED_VALUE"""),45643.0)</f>
        <v>45643</v>
      </c>
      <c r="G85" s="146" t="str">
        <f>IFERROR(__xludf.DUMMYFUNCTION("""COMPUTED_VALUE"""),"D37-1L")</f>
        <v>D37-1L</v>
      </c>
      <c r="H85" s="148"/>
      <c r="I85" s="148"/>
      <c r="J85" s="146"/>
      <c r="K85" s="146"/>
      <c r="L85" s="146">
        <f>IFERROR(__xludf.DUMMYFUNCTION("""COMPUTED_VALUE"""),286.0)</f>
        <v>286</v>
      </c>
      <c r="M85" s="146">
        <f>IFERROR(__xludf.DUMMYFUNCTION("""COMPUTED_VALUE"""),310.0)</f>
        <v>310</v>
      </c>
      <c r="N85" s="146">
        <f>IFERROR(__xludf.DUMMYFUNCTION("""COMPUTED_VALUE"""),13.0)</f>
        <v>13</v>
      </c>
      <c r="O85" s="146">
        <f>IFERROR(__xludf.DUMMYFUNCTION("""COMPUTED_VALUE"""),13.0)</f>
        <v>13</v>
      </c>
      <c r="P85" s="146"/>
      <c r="Q85" s="146"/>
      <c r="R85" s="146"/>
      <c r="T85" s="131" t="str">
        <f>IFERROR(__xludf.DUMMYFUNCTION("""COMPUTED_VALUE"""),"Y")</f>
        <v>Y</v>
      </c>
      <c r="U85" s="131" t="str">
        <f>IFERROR(__xludf.DUMMYFUNCTION("""COMPUTED_VALUE"""),"3")</f>
        <v>3</v>
      </c>
      <c r="V85" s="131"/>
      <c r="W85" s="144">
        <f>IFERROR(__xludf.DUMMYFUNCTION("""COMPUTED_VALUE"""),45615.0)</f>
        <v>45615</v>
      </c>
      <c r="X85" s="144">
        <f>IFERROR(__xludf.DUMMYFUNCTION("""COMPUTED_VALUE"""),45622.0)</f>
        <v>45622</v>
      </c>
      <c r="Y85" s="144">
        <f>IFERROR(__xludf.DUMMYFUNCTION("""COMPUTED_VALUE"""),45643.0)</f>
        <v>45643</v>
      </c>
      <c r="Z85" s="131" t="str">
        <f>IFERROR(__xludf.DUMMYFUNCTION("""COMPUTED_VALUE"""),"D37-1R")</f>
        <v>D37-1R</v>
      </c>
      <c r="AA85" s="131"/>
      <c r="AB85" s="131"/>
      <c r="AC85" s="131"/>
      <c r="AD85" s="131"/>
      <c r="AE85" s="131">
        <f>IFERROR(__xludf.DUMMYFUNCTION("""COMPUTED_VALUE"""),4.0)</f>
        <v>4</v>
      </c>
      <c r="AF85" s="131">
        <f>IFERROR(__xludf.DUMMYFUNCTION("""COMPUTED_VALUE"""),90.0)</f>
        <v>90</v>
      </c>
      <c r="AG85" s="131">
        <f>IFERROR(__xludf.DUMMYFUNCTION("""COMPUTED_VALUE"""),44.0)</f>
        <v>44</v>
      </c>
      <c r="AH85" s="131">
        <f>IFERROR(__xludf.DUMMYFUNCTION("""COMPUTED_VALUE"""),44.0)</f>
        <v>44</v>
      </c>
      <c r="AI85" s="131"/>
      <c r="AJ85" s="131"/>
      <c r="AK85" s="131"/>
    </row>
    <row r="86">
      <c r="A86" s="145" t="str">
        <f>IFERROR(__xludf.DUMMYFUNCTION("""COMPUTED_VALUE"""),"Y")</f>
        <v>Y</v>
      </c>
      <c r="B86" s="146" t="str">
        <f>IFERROR(__xludf.DUMMYFUNCTION("""COMPUTED_VALUE"""),"3")</f>
        <v>3</v>
      </c>
      <c r="C86" s="146"/>
      <c r="D86" s="147">
        <f>IFERROR(__xludf.DUMMYFUNCTION("""COMPUTED_VALUE"""),45615.0)</f>
        <v>45615</v>
      </c>
      <c r="E86" s="147">
        <f>IFERROR(__xludf.DUMMYFUNCTION("""COMPUTED_VALUE"""),45622.0)</f>
        <v>45622</v>
      </c>
      <c r="F86" s="147">
        <f>IFERROR(__xludf.DUMMYFUNCTION("""COMPUTED_VALUE"""),45643.0)</f>
        <v>45643</v>
      </c>
      <c r="G86" s="146" t="str">
        <f>IFERROR(__xludf.DUMMYFUNCTION("""COMPUTED_VALUE"""),"D37-1R")</f>
        <v>D37-1R</v>
      </c>
      <c r="H86" s="148"/>
      <c r="I86" s="148"/>
      <c r="J86" s="146"/>
      <c r="K86" s="146"/>
      <c r="L86" s="146">
        <f>IFERROR(__xludf.DUMMYFUNCTION("""COMPUTED_VALUE"""),4.0)</f>
        <v>4</v>
      </c>
      <c r="M86" s="146">
        <f>IFERROR(__xludf.DUMMYFUNCTION("""COMPUTED_VALUE"""),90.0)</f>
        <v>90</v>
      </c>
      <c r="N86" s="146">
        <f>IFERROR(__xludf.DUMMYFUNCTION("""COMPUTED_VALUE"""),44.0)</f>
        <v>44</v>
      </c>
      <c r="O86" s="146">
        <f>IFERROR(__xludf.DUMMYFUNCTION("""COMPUTED_VALUE"""),44.0)</f>
        <v>44</v>
      </c>
      <c r="P86" s="146"/>
      <c r="Q86" s="146"/>
      <c r="R86" s="146"/>
      <c r="T86" s="131" t="str">
        <f>IFERROR(__xludf.DUMMYFUNCTION("""COMPUTED_VALUE"""),"Y")</f>
        <v>Y</v>
      </c>
      <c r="U86" s="131" t="str">
        <f>IFERROR(__xludf.DUMMYFUNCTION("""COMPUTED_VALUE"""),"3")</f>
        <v>3</v>
      </c>
      <c r="V86" s="131"/>
      <c r="W86" s="144">
        <f>IFERROR(__xludf.DUMMYFUNCTION("""COMPUTED_VALUE"""),45615.0)</f>
        <v>45615</v>
      </c>
      <c r="X86" s="144">
        <f>IFERROR(__xludf.DUMMYFUNCTION("""COMPUTED_VALUE"""),45622.0)</f>
        <v>45622</v>
      </c>
      <c r="Y86" s="144">
        <f>IFERROR(__xludf.DUMMYFUNCTION("""COMPUTED_VALUE"""),45643.0)</f>
        <v>45643</v>
      </c>
      <c r="Z86" s="131" t="str">
        <f>IFERROR(__xludf.DUMMYFUNCTION("""COMPUTED_VALUE"""),"D37-1R")</f>
        <v>D37-1R</v>
      </c>
      <c r="AA86" s="131"/>
      <c r="AB86" s="131"/>
      <c r="AC86" s="131"/>
      <c r="AD86" s="131"/>
      <c r="AE86" s="131">
        <f>IFERROR(__xludf.DUMMYFUNCTION("""COMPUTED_VALUE"""),96.0)</f>
        <v>96</v>
      </c>
      <c r="AF86" s="131">
        <f>IFERROR(__xludf.DUMMYFUNCTION("""COMPUTED_VALUE"""),212.0)</f>
        <v>212</v>
      </c>
      <c r="AG86" s="131">
        <f>IFERROR(__xludf.DUMMYFUNCTION("""COMPUTED_VALUE"""),59.0)</f>
        <v>59</v>
      </c>
      <c r="AH86" s="131">
        <f>IFERROR(__xludf.DUMMYFUNCTION("""COMPUTED_VALUE"""),59.0)</f>
        <v>59</v>
      </c>
      <c r="AI86" s="131"/>
      <c r="AJ86" s="131"/>
      <c r="AK86" s="131"/>
    </row>
    <row r="87">
      <c r="A87" s="145" t="str">
        <f>IFERROR(__xludf.DUMMYFUNCTION("""COMPUTED_VALUE"""),"Y")</f>
        <v>Y</v>
      </c>
      <c r="B87" s="146" t="str">
        <f>IFERROR(__xludf.DUMMYFUNCTION("""COMPUTED_VALUE"""),"3")</f>
        <v>3</v>
      </c>
      <c r="C87" s="146"/>
      <c r="D87" s="147">
        <f>IFERROR(__xludf.DUMMYFUNCTION("""COMPUTED_VALUE"""),45615.0)</f>
        <v>45615</v>
      </c>
      <c r="E87" s="147">
        <f>IFERROR(__xludf.DUMMYFUNCTION("""COMPUTED_VALUE"""),45622.0)</f>
        <v>45622</v>
      </c>
      <c r="F87" s="147">
        <f>IFERROR(__xludf.DUMMYFUNCTION("""COMPUTED_VALUE"""),45643.0)</f>
        <v>45643</v>
      </c>
      <c r="G87" s="146" t="str">
        <f>IFERROR(__xludf.DUMMYFUNCTION("""COMPUTED_VALUE"""),"D37-1R")</f>
        <v>D37-1R</v>
      </c>
      <c r="H87" s="148"/>
      <c r="I87" s="148"/>
      <c r="J87" s="146"/>
      <c r="K87" s="146"/>
      <c r="L87" s="146">
        <f>IFERROR(__xludf.DUMMYFUNCTION("""COMPUTED_VALUE"""),96.0)</f>
        <v>96</v>
      </c>
      <c r="M87" s="146">
        <f>IFERROR(__xludf.DUMMYFUNCTION("""COMPUTED_VALUE"""),212.0)</f>
        <v>212</v>
      </c>
      <c r="N87" s="146">
        <f>IFERROR(__xludf.DUMMYFUNCTION("""COMPUTED_VALUE"""),59.0)</f>
        <v>59</v>
      </c>
      <c r="O87" s="146">
        <f>IFERROR(__xludf.DUMMYFUNCTION("""COMPUTED_VALUE"""),59.0)</f>
        <v>59</v>
      </c>
      <c r="P87" s="146"/>
      <c r="Q87" s="146"/>
      <c r="R87" s="146"/>
      <c r="T87" s="131" t="str">
        <f>IFERROR(__xludf.DUMMYFUNCTION("""COMPUTED_VALUE"""),"Y")</f>
        <v>Y</v>
      </c>
      <c r="U87" s="131" t="str">
        <f>IFERROR(__xludf.DUMMYFUNCTION("""COMPUTED_VALUE"""),"3")</f>
        <v>3</v>
      </c>
      <c r="V87" s="131"/>
      <c r="W87" s="144">
        <f>IFERROR(__xludf.DUMMYFUNCTION("""COMPUTED_VALUE"""),45620.0)</f>
        <v>45620</v>
      </c>
      <c r="X87" s="144">
        <f>IFERROR(__xludf.DUMMYFUNCTION("""COMPUTED_VALUE"""),45627.0)</f>
        <v>45627</v>
      </c>
      <c r="Y87" s="144">
        <f>IFERROR(__xludf.DUMMYFUNCTION("""COMPUTED_VALUE"""),45648.0)</f>
        <v>45648</v>
      </c>
      <c r="Z87" s="131" t="str">
        <f>IFERROR(__xludf.DUMMYFUNCTION("""COMPUTED_VALUE"""),"D38-3L")</f>
        <v>D38-3L</v>
      </c>
      <c r="AA87" s="131">
        <f>IFERROR(__xludf.DUMMYFUNCTION("""COMPUTED_VALUE"""),199.0)</f>
        <v>199</v>
      </c>
      <c r="AB87" s="131">
        <f>IFERROR(__xludf.DUMMYFUNCTION("""COMPUTED_VALUE"""),273.0)</f>
        <v>273</v>
      </c>
      <c r="AC87" s="131">
        <f>IFERROR(__xludf.DUMMYFUNCTION("""COMPUTED_VALUE"""),38.0)</f>
        <v>38</v>
      </c>
      <c r="AD87" s="131">
        <f>IFERROR(__xludf.DUMMYFUNCTION("""COMPUTED_VALUE"""),38.0)</f>
        <v>38</v>
      </c>
      <c r="AE87" s="131">
        <f>IFERROR(__xludf.DUMMYFUNCTION("""COMPUTED_VALUE"""),8.0)</f>
        <v>8</v>
      </c>
      <c r="AF87" s="131">
        <f>IFERROR(__xludf.DUMMYFUNCTION("""COMPUTED_VALUE"""),196.0)</f>
        <v>196</v>
      </c>
      <c r="AG87" s="131">
        <f>IFERROR(__xludf.DUMMYFUNCTION("""COMPUTED_VALUE"""),95.0)</f>
        <v>95</v>
      </c>
      <c r="AH87" s="131">
        <f>IFERROR(__xludf.DUMMYFUNCTION("""COMPUTED_VALUE"""),95.0)</f>
        <v>95</v>
      </c>
      <c r="AI87" s="131"/>
      <c r="AJ87" s="131"/>
      <c r="AK87" s="131"/>
    </row>
    <row r="88">
      <c r="A88" s="145" t="str">
        <f>IFERROR(__xludf.DUMMYFUNCTION("""COMPUTED_VALUE"""),"Y")</f>
        <v>Y</v>
      </c>
      <c r="B88" s="146" t="str">
        <f>IFERROR(__xludf.DUMMYFUNCTION("""COMPUTED_VALUE"""),"3")</f>
        <v>3</v>
      </c>
      <c r="C88" s="146"/>
      <c r="D88" s="147">
        <f>IFERROR(__xludf.DUMMYFUNCTION("""COMPUTED_VALUE"""),45620.0)</f>
        <v>45620</v>
      </c>
      <c r="E88" s="147">
        <f>IFERROR(__xludf.DUMMYFUNCTION("""COMPUTED_VALUE"""),45627.0)</f>
        <v>45627</v>
      </c>
      <c r="F88" s="147">
        <f>IFERROR(__xludf.DUMMYFUNCTION("""COMPUTED_VALUE"""),45648.0)</f>
        <v>45648</v>
      </c>
      <c r="G88" s="146" t="str">
        <f>IFERROR(__xludf.DUMMYFUNCTION("""COMPUTED_VALUE"""),"D38-3L")</f>
        <v>D38-3L</v>
      </c>
      <c r="H88" s="148">
        <f>IFERROR(__xludf.DUMMYFUNCTION("""COMPUTED_VALUE"""),199.0)</f>
        <v>199</v>
      </c>
      <c r="I88" s="148">
        <f>IFERROR(__xludf.DUMMYFUNCTION("""COMPUTED_VALUE"""),273.0)</f>
        <v>273</v>
      </c>
      <c r="J88" s="146">
        <f>IFERROR(__xludf.DUMMYFUNCTION("""COMPUTED_VALUE"""),38.0)</f>
        <v>38</v>
      </c>
      <c r="K88" s="146">
        <f>IFERROR(__xludf.DUMMYFUNCTION("""COMPUTED_VALUE"""),38.0)</f>
        <v>38</v>
      </c>
      <c r="L88" s="146">
        <f>IFERROR(__xludf.DUMMYFUNCTION("""COMPUTED_VALUE"""),8.0)</f>
        <v>8</v>
      </c>
      <c r="M88" s="146">
        <f>IFERROR(__xludf.DUMMYFUNCTION("""COMPUTED_VALUE"""),196.0)</f>
        <v>196</v>
      </c>
      <c r="N88" s="146">
        <f>IFERROR(__xludf.DUMMYFUNCTION("""COMPUTED_VALUE"""),95.0)</f>
        <v>95</v>
      </c>
      <c r="O88" s="146">
        <f>IFERROR(__xludf.DUMMYFUNCTION("""COMPUTED_VALUE"""),95.0)</f>
        <v>95</v>
      </c>
      <c r="P88" s="146"/>
      <c r="Q88" s="146"/>
      <c r="R88" s="146"/>
      <c r="T88" s="131" t="str">
        <f>IFERROR(__xludf.DUMMYFUNCTION("""COMPUTED_VALUE"""),"Y")</f>
        <v>Y</v>
      </c>
      <c r="U88" s="131" t="str">
        <f>IFERROR(__xludf.DUMMYFUNCTION("""COMPUTED_VALUE"""),"3")</f>
        <v>3</v>
      </c>
      <c r="V88" s="131"/>
      <c r="W88" s="144">
        <f>IFERROR(__xludf.DUMMYFUNCTION("""COMPUTED_VALUE"""),45621.0)</f>
        <v>45621</v>
      </c>
      <c r="X88" s="144">
        <f>IFERROR(__xludf.DUMMYFUNCTION("""COMPUTED_VALUE"""),45628.0)</f>
        <v>45628</v>
      </c>
      <c r="Y88" s="144">
        <f>IFERROR(__xludf.DUMMYFUNCTION("""COMPUTED_VALUE"""),45649.0)</f>
        <v>45649</v>
      </c>
      <c r="Z88" s="131" t="str">
        <f>IFERROR(__xludf.DUMMYFUNCTION("""COMPUTED_VALUE"""),"D38-3L")</f>
        <v>D38-3L</v>
      </c>
      <c r="AA88" s="131">
        <f>IFERROR(__xludf.DUMMYFUNCTION("""COMPUTED_VALUE"""),275.0)</f>
        <v>275</v>
      </c>
      <c r="AB88" s="131">
        <f>IFERROR(__xludf.DUMMYFUNCTION("""COMPUTED_VALUE"""),395.0)</f>
        <v>395</v>
      </c>
      <c r="AC88" s="131">
        <f>IFERROR(__xludf.DUMMYFUNCTION("""COMPUTED_VALUE"""),61.0)</f>
        <v>61</v>
      </c>
      <c r="AD88" s="131">
        <f>IFERROR(__xludf.DUMMYFUNCTION("""COMPUTED_VALUE"""),61.0)</f>
        <v>61</v>
      </c>
      <c r="AE88" s="131"/>
      <c r="AF88" s="131"/>
      <c r="AG88" s="131"/>
      <c r="AH88" s="131"/>
      <c r="AI88" s="131"/>
      <c r="AJ88" s="131"/>
      <c r="AK88" s="131"/>
    </row>
    <row r="89">
      <c r="A89" s="145" t="str">
        <f>IFERROR(__xludf.DUMMYFUNCTION("""COMPUTED_VALUE"""),"Y")</f>
        <v>Y</v>
      </c>
      <c r="B89" s="146" t="str">
        <f>IFERROR(__xludf.DUMMYFUNCTION("""COMPUTED_VALUE"""),"3")</f>
        <v>3</v>
      </c>
      <c r="C89" s="146"/>
      <c r="D89" s="147">
        <f>IFERROR(__xludf.DUMMYFUNCTION("""COMPUTED_VALUE"""),45621.0)</f>
        <v>45621</v>
      </c>
      <c r="E89" s="147">
        <f>IFERROR(__xludf.DUMMYFUNCTION("""COMPUTED_VALUE"""),45628.0)</f>
        <v>45628</v>
      </c>
      <c r="F89" s="147">
        <f>IFERROR(__xludf.DUMMYFUNCTION("""COMPUTED_VALUE"""),45649.0)</f>
        <v>45649</v>
      </c>
      <c r="G89" s="146" t="str">
        <f>IFERROR(__xludf.DUMMYFUNCTION("""COMPUTED_VALUE"""),"D38-3L")</f>
        <v>D38-3L</v>
      </c>
      <c r="H89" s="148">
        <f>IFERROR(__xludf.DUMMYFUNCTION("""COMPUTED_VALUE"""),275.0)</f>
        <v>275</v>
      </c>
      <c r="I89" s="148">
        <f>IFERROR(__xludf.DUMMYFUNCTION("""COMPUTED_VALUE"""),395.0)</f>
        <v>395</v>
      </c>
      <c r="J89" s="146">
        <f>IFERROR(__xludf.DUMMYFUNCTION("""COMPUTED_VALUE"""),61.0)</f>
        <v>61</v>
      </c>
      <c r="K89" s="146">
        <f>IFERROR(__xludf.DUMMYFUNCTION("""COMPUTED_VALUE"""),61.0)</f>
        <v>61</v>
      </c>
      <c r="L89" s="146"/>
      <c r="M89" s="146"/>
      <c r="N89" s="146"/>
      <c r="O89" s="146"/>
      <c r="P89" s="146"/>
      <c r="Q89" s="146"/>
      <c r="R89" s="146"/>
      <c r="T89" s="131" t="str">
        <f>IFERROR(__xludf.DUMMYFUNCTION("""COMPUTED_VALUE"""),"Y")</f>
        <v>Y</v>
      </c>
      <c r="U89" s="131" t="str">
        <f>IFERROR(__xludf.DUMMYFUNCTION("""COMPUTED_VALUE"""),"3")</f>
        <v>3</v>
      </c>
      <c r="V89" s="131"/>
      <c r="W89" s="144">
        <f>IFERROR(__xludf.DUMMYFUNCTION("""COMPUTED_VALUE"""),45622.0)</f>
        <v>45622</v>
      </c>
      <c r="X89" s="144">
        <f>IFERROR(__xludf.DUMMYFUNCTION("""COMPUTED_VALUE"""),45629.0)</f>
        <v>45629</v>
      </c>
      <c r="Y89" s="144">
        <f>IFERROR(__xludf.DUMMYFUNCTION("""COMPUTED_VALUE"""),45650.0)</f>
        <v>45650</v>
      </c>
      <c r="Z89" s="131" t="str">
        <f>IFERROR(__xludf.DUMMYFUNCTION("""COMPUTED_VALUE"""),"D38-3L")</f>
        <v>D38-3L</v>
      </c>
      <c r="AA89" s="131"/>
      <c r="AB89" s="131"/>
      <c r="AC89" s="131"/>
      <c r="AD89" s="131"/>
      <c r="AE89" s="131">
        <f>IFERROR(__xludf.DUMMYFUNCTION("""COMPUTED_VALUE"""),198.0)</f>
        <v>198</v>
      </c>
      <c r="AF89" s="131">
        <f>IFERROR(__xludf.DUMMYFUNCTION("""COMPUTED_VALUE"""),358.0)</f>
        <v>358</v>
      </c>
      <c r="AG89" s="131">
        <f>IFERROR(__xludf.DUMMYFUNCTION("""COMPUTED_VALUE"""),81.0)</f>
        <v>81</v>
      </c>
      <c r="AH89" s="131">
        <f>IFERROR(__xludf.DUMMYFUNCTION("""COMPUTED_VALUE"""),81.0)</f>
        <v>81</v>
      </c>
      <c r="AI89" s="131">
        <f>IFERROR(__xludf.DUMMYFUNCTION("""COMPUTED_VALUE"""),62.0)</f>
        <v>62</v>
      </c>
      <c r="AJ89" s="131"/>
      <c r="AK89" s="131"/>
    </row>
    <row r="90">
      <c r="A90" s="145" t="str">
        <f>IFERROR(__xludf.DUMMYFUNCTION("""COMPUTED_VALUE"""),"Y")</f>
        <v>Y</v>
      </c>
      <c r="B90" s="146" t="str">
        <f>IFERROR(__xludf.DUMMYFUNCTION("""COMPUTED_VALUE"""),"3")</f>
        <v>3</v>
      </c>
      <c r="C90" s="146"/>
      <c r="D90" s="147">
        <f>IFERROR(__xludf.DUMMYFUNCTION("""COMPUTED_VALUE"""),45622.0)</f>
        <v>45622</v>
      </c>
      <c r="E90" s="147">
        <f>IFERROR(__xludf.DUMMYFUNCTION("""COMPUTED_VALUE"""),45629.0)</f>
        <v>45629</v>
      </c>
      <c r="F90" s="147">
        <f>IFERROR(__xludf.DUMMYFUNCTION("""COMPUTED_VALUE"""),45650.0)</f>
        <v>45650</v>
      </c>
      <c r="G90" s="146" t="str">
        <f>IFERROR(__xludf.DUMMYFUNCTION("""COMPUTED_VALUE"""),"D38-3L")</f>
        <v>D38-3L</v>
      </c>
      <c r="H90" s="148"/>
      <c r="I90" s="148"/>
      <c r="J90" s="146"/>
      <c r="K90" s="146"/>
      <c r="L90" s="146">
        <f>IFERROR(__xludf.DUMMYFUNCTION("""COMPUTED_VALUE"""),198.0)</f>
        <v>198</v>
      </c>
      <c r="M90" s="146">
        <f>IFERROR(__xludf.DUMMYFUNCTION("""COMPUTED_VALUE"""),358.0)</f>
        <v>358</v>
      </c>
      <c r="N90" s="146">
        <f>IFERROR(__xludf.DUMMYFUNCTION("""COMPUTED_VALUE"""),81.0)</f>
        <v>81</v>
      </c>
      <c r="O90" s="146">
        <f>IFERROR(__xludf.DUMMYFUNCTION("""COMPUTED_VALUE"""),81.0)</f>
        <v>81</v>
      </c>
      <c r="P90" s="146">
        <f>IFERROR(__xludf.DUMMYFUNCTION("""COMPUTED_VALUE"""),62.0)</f>
        <v>62</v>
      </c>
      <c r="Q90" s="146"/>
      <c r="R90" s="146"/>
      <c r="T90" s="131" t="str">
        <f>IFERROR(__xludf.DUMMYFUNCTION("""COMPUTED_VALUE"""),"Y")</f>
        <v>Y</v>
      </c>
      <c r="U90" s="131" t="str">
        <f>IFERROR(__xludf.DUMMYFUNCTION("""COMPUTED_VALUE"""),"3")</f>
        <v>3</v>
      </c>
      <c r="V90" s="131"/>
      <c r="W90" s="144">
        <f>IFERROR(__xludf.DUMMYFUNCTION("""COMPUTED_VALUE"""),45622.0)</f>
        <v>45622</v>
      </c>
      <c r="X90" s="144">
        <f>IFERROR(__xludf.DUMMYFUNCTION("""COMPUTED_VALUE"""),45629.0)</f>
        <v>45629</v>
      </c>
      <c r="Y90" s="144">
        <f>IFERROR(__xludf.DUMMYFUNCTION("""COMPUTED_VALUE"""),45650.0)</f>
        <v>45650</v>
      </c>
      <c r="Z90" s="131" t="str">
        <f>IFERROR(__xludf.DUMMYFUNCTION("""COMPUTED_VALUE"""),"DC40")</f>
        <v>DC40</v>
      </c>
      <c r="AA90" s="131">
        <f>IFERROR(__xludf.DUMMYFUNCTION("""COMPUTED_VALUE"""),7.0)</f>
        <v>7</v>
      </c>
      <c r="AB90" s="131">
        <f>IFERROR(__xludf.DUMMYFUNCTION("""COMPUTED_VALUE"""),87.0)</f>
        <v>87</v>
      </c>
      <c r="AC90" s="131">
        <f>IFERROR(__xludf.DUMMYFUNCTION("""COMPUTED_VALUE"""),41.0)</f>
        <v>41</v>
      </c>
      <c r="AD90" s="131">
        <f>IFERROR(__xludf.DUMMYFUNCTION("""COMPUTED_VALUE"""),41.0)</f>
        <v>41</v>
      </c>
      <c r="AE90" s="131">
        <f>IFERROR(__xludf.DUMMYFUNCTION("""COMPUTED_VALUE"""),90.0)</f>
        <v>90</v>
      </c>
      <c r="AF90" s="131">
        <f>IFERROR(__xludf.DUMMYFUNCTION("""COMPUTED_VALUE"""),118.0)</f>
        <v>118</v>
      </c>
      <c r="AG90" s="131">
        <f>IFERROR(__xludf.DUMMYFUNCTION("""COMPUTED_VALUE"""),15.0)</f>
        <v>15</v>
      </c>
      <c r="AH90" s="131">
        <f>IFERROR(__xludf.DUMMYFUNCTION("""COMPUTED_VALUE"""),15.0)</f>
        <v>15</v>
      </c>
      <c r="AI90" s="131">
        <f>IFERROR(__xludf.DUMMYFUNCTION("""COMPUTED_VALUE"""),61.0)</f>
        <v>61</v>
      </c>
      <c r="AJ90" s="131"/>
      <c r="AK90" s="131"/>
    </row>
    <row r="91">
      <c r="A91" s="145" t="str">
        <f>IFERROR(__xludf.DUMMYFUNCTION("""COMPUTED_VALUE"""),"Y")</f>
        <v>Y</v>
      </c>
      <c r="B91" s="146" t="str">
        <f>IFERROR(__xludf.DUMMYFUNCTION("""COMPUTED_VALUE"""),"3")</f>
        <v>3</v>
      </c>
      <c r="C91" s="146"/>
      <c r="D91" s="147">
        <f>IFERROR(__xludf.DUMMYFUNCTION("""COMPUTED_VALUE"""),45622.0)</f>
        <v>45622</v>
      </c>
      <c r="E91" s="147">
        <f>IFERROR(__xludf.DUMMYFUNCTION("""COMPUTED_VALUE"""),45629.0)</f>
        <v>45629</v>
      </c>
      <c r="F91" s="147">
        <f>IFERROR(__xludf.DUMMYFUNCTION("""COMPUTED_VALUE"""),45650.0)</f>
        <v>45650</v>
      </c>
      <c r="G91" s="146" t="str">
        <f>IFERROR(__xludf.DUMMYFUNCTION("""COMPUTED_VALUE"""),"DC40")</f>
        <v>DC40</v>
      </c>
      <c r="H91" s="148">
        <f>IFERROR(__xludf.DUMMYFUNCTION("""COMPUTED_VALUE"""),7.0)</f>
        <v>7</v>
      </c>
      <c r="I91" s="148">
        <f>IFERROR(__xludf.DUMMYFUNCTION("""COMPUTED_VALUE"""),87.0)</f>
        <v>87</v>
      </c>
      <c r="J91" s="146">
        <f>IFERROR(__xludf.DUMMYFUNCTION("""COMPUTED_VALUE"""),41.0)</f>
        <v>41</v>
      </c>
      <c r="K91" s="146">
        <f>IFERROR(__xludf.DUMMYFUNCTION("""COMPUTED_VALUE"""),41.0)</f>
        <v>41</v>
      </c>
      <c r="L91" s="146">
        <f>IFERROR(__xludf.DUMMYFUNCTION("""COMPUTED_VALUE"""),90.0)</f>
        <v>90</v>
      </c>
      <c r="M91" s="146">
        <f>IFERROR(__xludf.DUMMYFUNCTION("""COMPUTED_VALUE"""),118.0)</f>
        <v>118</v>
      </c>
      <c r="N91" s="146">
        <f>IFERROR(__xludf.DUMMYFUNCTION("""COMPUTED_VALUE"""),15.0)</f>
        <v>15</v>
      </c>
      <c r="O91" s="146">
        <f>IFERROR(__xludf.DUMMYFUNCTION("""COMPUTED_VALUE"""),15.0)</f>
        <v>15</v>
      </c>
      <c r="P91" s="146">
        <f>IFERROR(__xludf.DUMMYFUNCTION("""COMPUTED_VALUE"""),61.0)</f>
        <v>61</v>
      </c>
      <c r="Q91" s="146"/>
      <c r="R91" s="146"/>
      <c r="T91" s="131" t="str">
        <f>IFERROR(__xludf.DUMMYFUNCTION("""COMPUTED_VALUE"""),"Y")</f>
        <v>Y</v>
      </c>
      <c r="U91" s="131" t="str">
        <f>IFERROR(__xludf.DUMMYFUNCTION("""COMPUTED_VALUE"""),"3")</f>
        <v>3</v>
      </c>
      <c r="V91" s="131"/>
      <c r="W91" s="144">
        <f>IFERROR(__xludf.DUMMYFUNCTION("""COMPUTED_VALUE"""),45623.0)</f>
        <v>45623</v>
      </c>
      <c r="X91" s="144">
        <f>IFERROR(__xludf.DUMMYFUNCTION("""COMPUTED_VALUE"""),45630.0)</f>
        <v>45630</v>
      </c>
      <c r="Y91" s="144">
        <f>IFERROR(__xludf.DUMMYFUNCTION("""COMPUTED_VALUE"""),45651.0)</f>
        <v>45651</v>
      </c>
      <c r="Z91" s="131" t="str">
        <f>IFERROR(__xludf.DUMMYFUNCTION("""COMPUTED_VALUE"""),"D40-2L-1")</f>
        <v>D40-2L-1</v>
      </c>
      <c r="AA91" s="131"/>
      <c r="AB91" s="131"/>
      <c r="AC91" s="131"/>
      <c r="AD91" s="131"/>
      <c r="AE91" s="131"/>
      <c r="AF91" s="131"/>
      <c r="AG91" s="131"/>
      <c r="AH91" s="131"/>
      <c r="AI91" s="131"/>
      <c r="AJ91" s="131"/>
      <c r="AK91" s="131"/>
    </row>
    <row r="92">
      <c r="A92" s="145" t="str">
        <f>IFERROR(__xludf.DUMMYFUNCTION("""COMPUTED_VALUE"""),"Y")</f>
        <v>Y</v>
      </c>
      <c r="B92" s="146" t="str">
        <f>IFERROR(__xludf.DUMMYFUNCTION("""COMPUTED_VALUE"""),"3")</f>
        <v>3</v>
      </c>
      <c r="C92" s="146"/>
      <c r="D92" s="147">
        <f>IFERROR(__xludf.DUMMYFUNCTION("""COMPUTED_VALUE"""),45623.0)</f>
        <v>45623</v>
      </c>
      <c r="E92" s="147">
        <f>IFERROR(__xludf.DUMMYFUNCTION("""COMPUTED_VALUE"""),45630.0)</f>
        <v>45630</v>
      </c>
      <c r="F92" s="147">
        <f>IFERROR(__xludf.DUMMYFUNCTION("""COMPUTED_VALUE"""),45651.0)</f>
        <v>45651</v>
      </c>
      <c r="G92" s="146" t="str">
        <f>IFERROR(__xludf.DUMMYFUNCTION("""COMPUTED_VALUE"""),"D40-2L-1")</f>
        <v>D40-2L-1</v>
      </c>
      <c r="H92" s="148"/>
      <c r="I92" s="148"/>
      <c r="J92" s="146"/>
      <c r="K92" s="146"/>
      <c r="L92" s="146"/>
      <c r="M92" s="146"/>
      <c r="N92" s="146"/>
      <c r="O92" s="146"/>
      <c r="P92" s="146"/>
      <c r="Q92" s="146"/>
      <c r="R92" s="146"/>
      <c r="T92" s="131" t="str">
        <f>IFERROR(__xludf.DUMMYFUNCTION("""COMPUTED_VALUE"""),"Y")</f>
        <v>Y</v>
      </c>
      <c r="U92" s="131" t="str">
        <f>IFERROR(__xludf.DUMMYFUNCTION("""COMPUTED_VALUE"""),"3")</f>
        <v>3</v>
      </c>
      <c r="V92" s="131"/>
      <c r="W92" s="144">
        <f>IFERROR(__xludf.DUMMYFUNCTION("""COMPUTED_VALUE"""),45623.0)</f>
        <v>45623</v>
      </c>
      <c r="X92" s="144">
        <f>IFERROR(__xludf.DUMMYFUNCTION("""COMPUTED_VALUE"""),45630.0)</f>
        <v>45630</v>
      </c>
      <c r="Y92" s="144">
        <f>IFERROR(__xludf.DUMMYFUNCTION("""COMPUTED_VALUE"""),45651.0)</f>
        <v>45651</v>
      </c>
      <c r="Z92" s="131" t="str">
        <f>IFERROR(__xludf.DUMMYFUNCTION("""COMPUTED_VALUE"""),"BRG12")</f>
        <v>BRG12</v>
      </c>
      <c r="AA92" s="131">
        <f>IFERROR(__xludf.DUMMYFUNCTION("""COMPUTED_VALUE"""),1307.0)</f>
        <v>1307</v>
      </c>
      <c r="AB92" s="131">
        <f>IFERROR(__xludf.DUMMYFUNCTION("""COMPUTED_VALUE"""),1375.0)</f>
        <v>1375</v>
      </c>
      <c r="AC92" s="131">
        <f>IFERROR(__xludf.DUMMYFUNCTION("""COMPUTED_VALUE"""),35.0)</f>
        <v>35</v>
      </c>
      <c r="AD92" s="131">
        <f>IFERROR(__xludf.DUMMYFUNCTION("""COMPUTED_VALUE"""),35.0)</f>
        <v>35</v>
      </c>
      <c r="AE92" s="131"/>
      <c r="AF92" s="131"/>
      <c r="AG92" s="131"/>
      <c r="AH92" s="131"/>
      <c r="AI92" s="131">
        <f>IFERROR(__xludf.DUMMYFUNCTION("""COMPUTED_VALUE"""),65.0)</f>
        <v>65</v>
      </c>
      <c r="AJ92" s="131"/>
      <c r="AK92" s="131"/>
    </row>
    <row r="93">
      <c r="A93" s="145" t="str">
        <f>IFERROR(__xludf.DUMMYFUNCTION("""COMPUTED_VALUE"""),"Y")</f>
        <v>Y</v>
      </c>
      <c r="B93" s="146" t="str">
        <f>IFERROR(__xludf.DUMMYFUNCTION("""COMPUTED_VALUE"""),"3")</f>
        <v>3</v>
      </c>
      <c r="C93" s="146"/>
      <c r="D93" s="147">
        <f>IFERROR(__xludf.DUMMYFUNCTION("""COMPUTED_VALUE"""),45623.0)</f>
        <v>45623</v>
      </c>
      <c r="E93" s="147">
        <f>IFERROR(__xludf.DUMMYFUNCTION("""COMPUTED_VALUE"""),45630.0)</f>
        <v>45630</v>
      </c>
      <c r="F93" s="147">
        <f>IFERROR(__xludf.DUMMYFUNCTION("""COMPUTED_VALUE"""),45651.0)</f>
        <v>45651</v>
      </c>
      <c r="G93" s="146" t="str">
        <f>IFERROR(__xludf.DUMMYFUNCTION("""COMPUTED_VALUE"""),"BRG12")</f>
        <v>BRG12</v>
      </c>
      <c r="H93" s="148">
        <f>IFERROR(__xludf.DUMMYFUNCTION("""COMPUTED_VALUE"""),1307.0)</f>
        <v>1307</v>
      </c>
      <c r="I93" s="148">
        <f>IFERROR(__xludf.DUMMYFUNCTION("""COMPUTED_VALUE"""),1375.0)</f>
        <v>1375</v>
      </c>
      <c r="J93" s="146">
        <f>IFERROR(__xludf.DUMMYFUNCTION("""COMPUTED_VALUE"""),35.0)</f>
        <v>35</v>
      </c>
      <c r="K93" s="146">
        <f>IFERROR(__xludf.DUMMYFUNCTION("""COMPUTED_VALUE"""),35.0)</f>
        <v>35</v>
      </c>
      <c r="L93" s="146"/>
      <c r="M93" s="146"/>
      <c r="N93" s="146"/>
      <c r="O93" s="146"/>
      <c r="P93" s="146">
        <f>IFERROR(__xludf.DUMMYFUNCTION("""COMPUTED_VALUE"""),65.0)</f>
        <v>65</v>
      </c>
      <c r="Q93" s="146"/>
      <c r="R93" s="146"/>
      <c r="T93" s="131" t="str">
        <f>IFERROR(__xludf.DUMMYFUNCTION("""COMPUTED_VALUE"""),"Y")</f>
        <v>Y</v>
      </c>
      <c r="U93" s="131" t="str">
        <f>IFERROR(__xludf.DUMMYFUNCTION("""COMPUTED_VALUE"""),"3")</f>
        <v>3</v>
      </c>
      <c r="V93" s="131"/>
      <c r="W93" s="144">
        <f>IFERROR(__xludf.DUMMYFUNCTION("""COMPUTED_VALUE"""),45623.0)</f>
        <v>45623</v>
      </c>
      <c r="X93" s="144">
        <f>IFERROR(__xludf.DUMMYFUNCTION("""COMPUTED_VALUE"""),45630.0)</f>
        <v>45630</v>
      </c>
      <c r="Y93" s="144">
        <f>IFERROR(__xludf.DUMMYFUNCTION("""COMPUTED_VALUE"""),45651.0)</f>
        <v>45651</v>
      </c>
      <c r="Z93" s="131" t="str">
        <f>IFERROR(__xludf.DUMMYFUNCTION("""COMPUTED_VALUE"""),"DC40")</f>
        <v>DC40</v>
      </c>
      <c r="AA93" s="131">
        <f>IFERROR(__xludf.DUMMYFUNCTION("""COMPUTED_VALUE"""),91.0)</f>
        <v>91</v>
      </c>
      <c r="AB93" s="131">
        <f>IFERROR(__xludf.DUMMYFUNCTION("""COMPUTED_VALUE"""),95.0)</f>
        <v>95</v>
      </c>
      <c r="AC93" s="131">
        <f>IFERROR(__xludf.DUMMYFUNCTION("""COMPUTED_VALUE"""),3.0)</f>
        <v>3</v>
      </c>
      <c r="AD93" s="131">
        <f>IFERROR(__xludf.DUMMYFUNCTION("""COMPUTED_VALUE"""),3.0)</f>
        <v>3</v>
      </c>
      <c r="AE93" s="131">
        <f>IFERROR(__xludf.DUMMYFUNCTION("""COMPUTED_VALUE"""),8.0)</f>
        <v>8</v>
      </c>
      <c r="AF93" s="131">
        <f>IFERROR(__xludf.DUMMYFUNCTION("""COMPUTED_VALUE"""),88.0)</f>
        <v>88</v>
      </c>
      <c r="AG93" s="131">
        <f>IFERROR(__xludf.DUMMYFUNCTION("""COMPUTED_VALUE"""),41.0)</f>
        <v>41</v>
      </c>
      <c r="AH93" s="131">
        <f>IFERROR(__xludf.DUMMYFUNCTION("""COMPUTED_VALUE"""),41.0)</f>
        <v>41</v>
      </c>
      <c r="AI93" s="131">
        <f>IFERROR(__xludf.DUMMYFUNCTION("""COMPUTED_VALUE"""),64.0)</f>
        <v>64</v>
      </c>
      <c r="AJ93" s="131"/>
      <c r="AK93" s="131"/>
    </row>
    <row r="94">
      <c r="A94" s="145" t="str">
        <f>IFERROR(__xludf.DUMMYFUNCTION("""COMPUTED_VALUE"""),"Y")</f>
        <v>Y</v>
      </c>
      <c r="B94" s="146" t="str">
        <f>IFERROR(__xludf.DUMMYFUNCTION("""COMPUTED_VALUE"""),"3")</f>
        <v>3</v>
      </c>
      <c r="C94" s="146"/>
      <c r="D94" s="147">
        <f>IFERROR(__xludf.DUMMYFUNCTION("""COMPUTED_VALUE"""),45623.0)</f>
        <v>45623</v>
      </c>
      <c r="E94" s="147">
        <f>IFERROR(__xludf.DUMMYFUNCTION("""COMPUTED_VALUE"""),45630.0)</f>
        <v>45630</v>
      </c>
      <c r="F94" s="147">
        <f>IFERROR(__xludf.DUMMYFUNCTION("""COMPUTED_VALUE"""),45651.0)</f>
        <v>45651</v>
      </c>
      <c r="G94" s="146" t="str">
        <f>IFERROR(__xludf.DUMMYFUNCTION("""COMPUTED_VALUE"""),"DC40")</f>
        <v>DC40</v>
      </c>
      <c r="H94" s="148">
        <f>IFERROR(__xludf.DUMMYFUNCTION("""COMPUTED_VALUE"""),91.0)</f>
        <v>91</v>
      </c>
      <c r="I94" s="148">
        <f>IFERROR(__xludf.DUMMYFUNCTION("""COMPUTED_VALUE"""),95.0)</f>
        <v>95</v>
      </c>
      <c r="J94" s="146">
        <f>IFERROR(__xludf.DUMMYFUNCTION("""COMPUTED_VALUE"""),3.0)</f>
        <v>3</v>
      </c>
      <c r="K94" s="146">
        <f>IFERROR(__xludf.DUMMYFUNCTION("""COMPUTED_VALUE"""),3.0)</f>
        <v>3</v>
      </c>
      <c r="L94" s="146">
        <f>IFERROR(__xludf.DUMMYFUNCTION("""COMPUTED_VALUE"""),8.0)</f>
        <v>8</v>
      </c>
      <c r="M94" s="146">
        <f>IFERROR(__xludf.DUMMYFUNCTION("""COMPUTED_VALUE"""),88.0)</f>
        <v>88</v>
      </c>
      <c r="N94" s="146">
        <f>IFERROR(__xludf.DUMMYFUNCTION("""COMPUTED_VALUE"""),41.0)</f>
        <v>41</v>
      </c>
      <c r="O94" s="146">
        <f>IFERROR(__xludf.DUMMYFUNCTION("""COMPUTED_VALUE"""),41.0)</f>
        <v>41</v>
      </c>
      <c r="P94" s="146">
        <f>IFERROR(__xludf.DUMMYFUNCTION("""COMPUTED_VALUE"""),64.0)</f>
        <v>64</v>
      </c>
      <c r="Q94" s="146"/>
      <c r="R94" s="146"/>
      <c r="T94" s="131" t="str">
        <f>IFERROR(__xludf.DUMMYFUNCTION("""COMPUTED_VALUE"""),"Y")</f>
        <v>Y</v>
      </c>
      <c r="U94" s="131" t="str">
        <f>IFERROR(__xludf.DUMMYFUNCTION("""COMPUTED_VALUE"""),"3")</f>
        <v>3</v>
      </c>
      <c r="V94" s="131"/>
      <c r="W94" s="144">
        <f>IFERROR(__xludf.DUMMYFUNCTION("""COMPUTED_VALUE"""),45624.0)</f>
        <v>45624</v>
      </c>
      <c r="X94" s="144">
        <f>IFERROR(__xludf.DUMMYFUNCTION("""COMPUTED_VALUE"""),45631.0)</f>
        <v>45631</v>
      </c>
      <c r="Y94" s="144">
        <f>IFERROR(__xludf.DUMMYFUNCTION("""COMPUTED_VALUE"""),45652.0)</f>
        <v>45652</v>
      </c>
      <c r="Z94" s="131" t="str">
        <f>IFERROR(__xludf.DUMMYFUNCTION("""COMPUTED_VALUE"""),"BRG12")</f>
        <v>BRG12</v>
      </c>
      <c r="AA94" s="131">
        <f>IFERROR(__xludf.DUMMYFUNCTION("""COMPUTED_VALUE"""),1377.0)</f>
        <v>1377</v>
      </c>
      <c r="AB94" s="131">
        <f>IFERROR(__xludf.DUMMYFUNCTION("""COMPUTED_VALUE"""),1437.0)</f>
        <v>1437</v>
      </c>
      <c r="AC94" s="131">
        <f>IFERROR(__xludf.DUMMYFUNCTION("""COMPUTED_VALUE"""),31.0)</f>
        <v>31</v>
      </c>
      <c r="AD94" s="131">
        <f>IFERROR(__xludf.DUMMYFUNCTION("""COMPUTED_VALUE"""),31.0)</f>
        <v>31</v>
      </c>
      <c r="AE94" s="131"/>
      <c r="AF94" s="131"/>
      <c r="AG94" s="131"/>
      <c r="AH94" s="131"/>
      <c r="AI94" s="131">
        <f>IFERROR(__xludf.DUMMYFUNCTION("""COMPUTED_VALUE"""),66.0)</f>
        <v>66</v>
      </c>
      <c r="AJ94" s="131"/>
      <c r="AK94" s="131"/>
    </row>
    <row r="95">
      <c r="A95" s="145" t="str">
        <f>IFERROR(__xludf.DUMMYFUNCTION("""COMPUTED_VALUE"""),"Y")</f>
        <v>Y</v>
      </c>
      <c r="B95" s="146" t="str">
        <f>IFERROR(__xludf.DUMMYFUNCTION("""COMPUTED_VALUE"""),"3")</f>
        <v>3</v>
      </c>
      <c r="C95" s="146"/>
      <c r="D95" s="147">
        <f>IFERROR(__xludf.DUMMYFUNCTION("""COMPUTED_VALUE"""),45624.0)</f>
        <v>45624</v>
      </c>
      <c r="E95" s="147">
        <f>IFERROR(__xludf.DUMMYFUNCTION("""COMPUTED_VALUE"""),45631.0)</f>
        <v>45631</v>
      </c>
      <c r="F95" s="147">
        <f>IFERROR(__xludf.DUMMYFUNCTION("""COMPUTED_VALUE"""),45652.0)</f>
        <v>45652</v>
      </c>
      <c r="G95" s="146" t="str">
        <f>IFERROR(__xludf.DUMMYFUNCTION("""COMPUTED_VALUE"""),"BRG12")</f>
        <v>BRG12</v>
      </c>
      <c r="H95" s="148">
        <f>IFERROR(__xludf.DUMMYFUNCTION("""COMPUTED_VALUE"""),1377.0)</f>
        <v>1377</v>
      </c>
      <c r="I95" s="148">
        <f>IFERROR(__xludf.DUMMYFUNCTION("""COMPUTED_VALUE"""),1437.0)</f>
        <v>1437</v>
      </c>
      <c r="J95" s="146">
        <f>IFERROR(__xludf.DUMMYFUNCTION("""COMPUTED_VALUE"""),31.0)</f>
        <v>31</v>
      </c>
      <c r="K95" s="146">
        <f>IFERROR(__xludf.DUMMYFUNCTION("""COMPUTED_VALUE"""),31.0)</f>
        <v>31</v>
      </c>
      <c r="L95" s="146"/>
      <c r="M95" s="146"/>
      <c r="N95" s="146"/>
      <c r="O95" s="146"/>
      <c r="P95" s="146">
        <f>IFERROR(__xludf.DUMMYFUNCTION("""COMPUTED_VALUE"""),66.0)</f>
        <v>66</v>
      </c>
      <c r="Q95" s="146"/>
      <c r="R95" s="146"/>
      <c r="T95" s="131" t="str">
        <f>IFERROR(__xludf.DUMMYFUNCTION("""COMPUTED_VALUE"""),"Y")</f>
        <v>Y</v>
      </c>
      <c r="U95" s="131" t="str">
        <f>IFERROR(__xludf.DUMMYFUNCTION("""COMPUTED_VALUE"""),"3")</f>
        <v>3</v>
      </c>
      <c r="V95" s="131"/>
      <c r="W95" s="144">
        <f>IFERROR(__xludf.DUMMYFUNCTION("""COMPUTED_VALUE"""),45624.0)</f>
        <v>45624</v>
      </c>
      <c r="X95" s="144">
        <f>IFERROR(__xludf.DUMMYFUNCTION("""COMPUTED_VALUE"""),45631.0)</f>
        <v>45631</v>
      </c>
      <c r="Y95" s="144">
        <f>IFERROR(__xludf.DUMMYFUNCTION("""COMPUTED_VALUE"""),45652.0)</f>
        <v>45652</v>
      </c>
      <c r="Z95" s="131" t="str">
        <f>IFERROR(__xludf.DUMMYFUNCTION("""COMPUTED_VALUE"""),"DC40")</f>
        <v>DC40</v>
      </c>
      <c r="AA95" s="131">
        <f>IFERROR(__xludf.DUMMYFUNCTION("""COMPUTED_VALUE"""),215.0)</f>
        <v>215</v>
      </c>
      <c r="AB95" s="131">
        <f>IFERROR(__xludf.DUMMYFUNCTION("""COMPUTED_VALUE"""),217.0)</f>
        <v>217</v>
      </c>
      <c r="AC95" s="131">
        <f>IFERROR(__xludf.DUMMYFUNCTION("""COMPUTED_VALUE"""),2.0)</f>
        <v>2</v>
      </c>
      <c r="AD95" s="131">
        <f>IFERROR(__xludf.DUMMYFUNCTION("""COMPUTED_VALUE"""),2.0)</f>
        <v>2</v>
      </c>
      <c r="AE95" s="131">
        <f>IFERROR(__xludf.DUMMYFUNCTION("""COMPUTED_VALUE"""),120.0)</f>
        <v>120</v>
      </c>
      <c r="AF95" s="131">
        <f>IFERROR(__xludf.DUMMYFUNCTION("""COMPUTED_VALUE"""),212.0)</f>
        <v>212</v>
      </c>
      <c r="AG95" s="131">
        <f>IFERROR(__xludf.DUMMYFUNCTION("""COMPUTED_VALUE"""),47.0)</f>
        <v>47</v>
      </c>
      <c r="AH95" s="131">
        <f>IFERROR(__xludf.DUMMYFUNCTION("""COMPUTED_VALUE"""),47.0)</f>
        <v>47</v>
      </c>
      <c r="AI95" s="131">
        <f>IFERROR(__xludf.DUMMYFUNCTION("""COMPUTED_VALUE"""),67.0)</f>
        <v>67</v>
      </c>
      <c r="AJ95" s="131"/>
      <c r="AK95" s="131"/>
    </row>
    <row r="96">
      <c r="A96" s="145" t="str">
        <f>IFERROR(__xludf.DUMMYFUNCTION("""COMPUTED_VALUE"""),"Y")</f>
        <v>Y</v>
      </c>
      <c r="B96" s="146" t="str">
        <f>IFERROR(__xludf.DUMMYFUNCTION("""COMPUTED_VALUE"""),"3")</f>
        <v>3</v>
      </c>
      <c r="C96" s="146"/>
      <c r="D96" s="147">
        <f>IFERROR(__xludf.DUMMYFUNCTION("""COMPUTED_VALUE"""),45624.0)</f>
        <v>45624</v>
      </c>
      <c r="E96" s="147">
        <f>IFERROR(__xludf.DUMMYFUNCTION("""COMPUTED_VALUE"""),45631.0)</f>
        <v>45631</v>
      </c>
      <c r="F96" s="147">
        <f>IFERROR(__xludf.DUMMYFUNCTION("""COMPUTED_VALUE"""),45652.0)</f>
        <v>45652</v>
      </c>
      <c r="G96" s="146" t="str">
        <f>IFERROR(__xludf.DUMMYFUNCTION("""COMPUTED_VALUE"""),"DC40")</f>
        <v>DC40</v>
      </c>
      <c r="H96" s="148">
        <f>IFERROR(__xludf.DUMMYFUNCTION("""COMPUTED_VALUE"""),215.0)</f>
        <v>215</v>
      </c>
      <c r="I96" s="148">
        <f>IFERROR(__xludf.DUMMYFUNCTION("""COMPUTED_VALUE"""),217.0)</f>
        <v>217</v>
      </c>
      <c r="J96" s="146">
        <f>IFERROR(__xludf.DUMMYFUNCTION("""COMPUTED_VALUE"""),2.0)</f>
        <v>2</v>
      </c>
      <c r="K96" s="146">
        <f>IFERROR(__xludf.DUMMYFUNCTION("""COMPUTED_VALUE"""),2.0)</f>
        <v>2</v>
      </c>
      <c r="L96" s="146">
        <f>IFERROR(__xludf.DUMMYFUNCTION("""COMPUTED_VALUE"""),120.0)</f>
        <v>120</v>
      </c>
      <c r="M96" s="146">
        <f>IFERROR(__xludf.DUMMYFUNCTION("""COMPUTED_VALUE"""),212.0)</f>
        <v>212</v>
      </c>
      <c r="N96" s="146">
        <f>IFERROR(__xludf.DUMMYFUNCTION("""COMPUTED_VALUE"""),47.0)</f>
        <v>47</v>
      </c>
      <c r="O96" s="146">
        <f>IFERROR(__xludf.DUMMYFUNCTION("""COMPUTED_VALUE"""),47.0)</f>
        <v>47</v>
      </c>
      <c r="P96" s="146">
        <f>IFERROR(__xludf.DUMMYFUNCTION("""COMPUTED_VALUE"""),67.0)</f>
        <v>67</v>
      </c>
      <c r="Q96" s="146"/>
      <c r="R96" s="146"/>
      <c r="T96" s="131" t="str">
        <f>IFERROR(__xludf.DUMMYFUNCTION("""COMPUTED_VALUE"""),"Y")</f>
        <v>Y</v>
      </c>
      <c r="U96" s="131" t="str">
        <f>IFERROR(__xludf.DUMMYFUNCTION("""COMPUTED_VALUE"""),"3")</f>
        <v>3</v>
      </c>
      <c r="V96" s="131"/>
      <c r="W96" s="144">
        <f>IFERROR(__xludf.DUMMYFUNCTION("""COMPUTED_VALUE"""),45626.0)</f>
        <v>45626</v>
      </c>
      <c r="X96" s="144">
        <f>IFERROR(__xludf.DUMMYFUNCTION("""COMPUTED_VALUE"""),45633.0)</f>
        <v>45633</v>
      </c>
      <c r="Y96" s="144">
        <f>IFERROR(__xludf.DUMMYFUNCTION("""COMPUTED_VALUE"""),45654.0)</f>
        <v>45654</v>
      </c>
      <c r="Z96" s="131" t="str">
        <f>IFERROR(__xludf.DUMMYFUNCTION("""COMPUTED_VALUE"""),"BRG12")</f>
        <v>BRG12</v>
      </c>
      <c r="AA96" s="131"/>
      <c r="AB96" s="131"/>
      <c r="AC96" s="131"/>
      <c r="AD96" s="131"/>
      <c r="AE96" s="131">
        <f>IFERROR(__xludf.DUMMYFUNCTION("""COMPUTED_VALUE"""),1308.0)</f>
        <v>1308</v>
      </c>
      <c r="AF96" s="131">
        <f>IFERROR(__xludf.DUMMYFUNCTION("""COMPUTED_VALUE"""),1376.0)</f>
        <v>1376</v>
      </c>
      <c r="AG96" s="131">
        <f>IFERROR(__xludf.DUMMYFUNCTION("""COMPUTED_VALUE"""),35.0)</f>
        <v>35</v>
      </c>
      <c r="AH96" s="131">
        <f>IFERROR(__xludf.DUMMYFUNCTION("""COMPUTED_VALUE"""),35.0)</f>
        <v>35</v>
      </c>
      <c r="AI96" s="131">
        <f>IFERROR(__xludf.DUMMYFUNCTION("""COMPUTED_VALUE"""),68.0)</f>
        <v>68</v>
      </c>
      <c r="AJ96" s="131"/>
      <c r="AK96" s="131"/>
    </row>
    <row r="97">
      <c r="A97" s="145" t="str">
        <f>IFERROR(__xludf.DUMMYFUNCTION("""COMPUTED_VALUE"""),"Y")</f>
        <v>Y</v>
      </c>
      <c r="B97" s="146" t="str">
        <f>IFERROR(__xludf.DUMMYFUNCTION("""COMPUTED_VALUE"""),"3")</f>
        <v>3</v>
      </c>
      <c r="C97" s="146"/>
      <c r="D97" s="147">
        <f>IFERROR(__xludf.DUMMYFUNCTION("""COMPUTED_VALUE"""),45626.0)</f>
        <v>45626</v>
      </c>
      <c r="E97" s="147">
        <f>IFERROR(__xludf.DUMMYFUNCTION("""COMPUTED_VALUE"""),45633.0)</f>
        <v>45633</v>
      </c>
      <c r="F97" s="147">
        <f>IFERROR(__xludf.DUMMYFUNCTION("""COMPUTED_VALUE"""),45654.0)</f>
        <v>45654</v>
      </c>
      <c r="G97" s="146" t="str">
        <f>IFERROR(__xludf.DUMMYFUNCTION("""COMPUTED_VALUE"""),"BRG12")</f>
        <v>BRG12</v>
      </c>
      <c r="H97" s="148"/>
      <c r="I97" s="148"/>
      <c r="J97" s="146"/>
      <c r="K97" s="146"/>
      <c r="L97" s="146">
        <f>IFERROR(__xludf.DUMMYFUNCTION("""COMPUTED_VALUE"""),1308.0)</f>
        <v>1308</v>
      </c>
      <c r="M97" s="146">
        <f>IFERROR(__xludf.DUMMYFUNCTION("""COMPUTED_VALUE"""),1376.0)</f>
        <v>1376</v>
      </c>
      <c r="N97" s="146">
        <f>IFERROR(__xludf.DUMMYFUNCTION("""COMPUTED_VALUE"""),35.0)</f>
        <v>35</v>
      </c>
      <c r="O97" s="146">
        <f>IFERROR(__xludf.DUMMYFUNCTION("""COMPUTED_VALUE"""),35.0)</f>
        <v>35</v>
      </c>
      <c r="P97" s="146">
        <f>IFERROR(__xludf.DUMMYFUNCTION("""COMPUTED_VALUE"""),68.0)</f>
        <v>68</v>
      </c>
      <c r="Q97" s="146"/>
      <c r="R97" s="146"/>
      <c r="T97" s="131" t="str">
        <f>IFERROR(__xludf.DUMMYFUNCTION("""COMPUTED_VALUE"""),"Y")</f>
        <v>Y</v>
      </c>
      <c r="U97" s="131" t="str">
        <f>IFERROR(__xludf.DUMMYFUNCTION("""COMPUTED_VALUE"""),"3")</f>
        <v>3</v>
      </c>
      <c r="V97" s="131"/>
      <c r="W97" s="144">
        <f>IFERROR(__xludf.DUMMYFUNCTION("""COMPUTED_VALUE"""),45626.0)</f>
        <v>45626</v>
      </c>
      <c r="X97" s="144">
        <f>IFERROR(__xludf.DUMMYFUNCTION("""COMPUTED_VALUE"""),45633.0)</f>
        <v>45633</v>
      </c>
      <c r="Y97" s="144">
        <f>IFERROR(__xludf.DUMMYFUNCTION("""COMPUTED_VALUE"""),45654.0)</f>
        <v>45654</v>
      </c>
      <c r="Z97" s="131" t="str">
        <f>IFERROR(__xludf.DUMMYFUNCTION("""COMPUTED_VALUE"""),"DC40")</f>
        <v>DC40</v>
      </c>
      <c r="AA97" s="131">
        <f>IFERROR(__xludf.DUMMYFUNCTION("""COMPUTED_VALUE"""),89.0)</f>
        <v>89</v>
      </c>
      <c r="AB97" s="131">
        <f>IFERROR(__xludf.DUMMYFUNCTION("""COMPUTED_VALUE"""),89.0)</f>
        <v>89</v>
      </c>
      <c r="AC97" s="131">
        <f>IFERROR(__xludf.DUMMYFUNCTION("""COMPUTED_VALUE"""),1.0)</f>
        <v>1</v>
      </c>
      <c r="AD97" s="131">
        <f>IFERROR(__xludf.DUMMYFUNCTION("""COMPUTED_VALUE"""),1.0)</f>
        <v>1</v>
      </c>
      <c r="AE97" s="131"/>
      <c r="AF97" s="131"/>
      <c r="AG97" s="131"/>
      <c r="AH97" s="131"/>
      <c r="AI97" s="131">
        <f>IFERROR(__xludf.DUMMYFUNCTION("""COMPUTED_VALUE"""),69.0)</f>
        <v>69</v>
      </c>
      <c r="AJ97" s="131"/>
      <c r="AK97" s="131"/>
    </row>
    <row r="98">
      <c r="A98" s="145" t="str">
        <f>IFERROR(__xludf.DUMMYFUNCTION("""COMPUTED_VALUE"""),"Y")</f>
        <v>Y</v>
      </c>
      <c r="B98" s="146" t="str">
        <f>IFERROR(__xludf.DUMMYFUNCTION("""COMPUTED_VALUE"""),"3")</f>
        <v>3</v>
      </c>
      <c r="C98" s="146"/>
      <c r="D98" s="147">
        <f>IFERROR(__xludf.DUMMYFUNCTION("""COMPUTED_VALUE"""),45626.0)</f>
        <v>45626</v>
      </c>
      <c r="E98" s="147">
        <f>IFERROR(__xludf.DUMMYFUNCTION("""COMPUTED_VALUE"""),45633.0)</f>
        <v>45633</v>
      </c>
      <c r="F98" s="147">
        <f>IFERROR(__xludf.DUMMYFUNCTION("""COMPUTED_VALUE"""),45654.0)</f>
        <v>45654</v>
      </c>
      <c r="G98" s="146" t="str">
        <f>IFERROR(__xludf.DUMMYFUNCTION("""COMPUTED_VALUE"""),"DC40")</f>
        <v>DC40</v>
      </c>
      <c r="H98" s="148">
        <f>IFERROR(__xludf.DUMMYFUNCTION("""COMPUTED_VALUE"""),89.0)</f>
        <v>89</v>
      </c>
      <c r="I98" s="148">
        <f>IFERROR(__xludf.DUMMYFUNCTION("""COMPUTED_VALUE"""),89.0)</f>
        <v>89</v>
      </c>
      <c r="J98" s="146">
        <f>IFERROR(__xludf.DUMMYFUNCTION("""COMPUTED_VALUE"""),1.0)</f>
        <v>1</v>
      </c>
      <c r="K98" s="146">
        <f>IFERROR(__xludf.DUMMYFUNCTION("""COMPUTED_VALUE"""),1.0)</f>
        <v>1</v>
      </c>
      <c r="L98" s="146"/>
      <c r="M98" s="146"/>
      <c r="N98" s="146"/>
      <c r="O98" s="146"/>
      <c r="P98" s="146">
        <f>IFERROR(__xludf.DUMMYFUNCTION("""COMPUTED_VALUE"""),69.0)</f>
        <v>69</v>
      </c>
      <c r="Q98" s="146"/>
      <c r="R98" s="146"/>
      <c r="T98" s="131" t="str">
        <f>IFERROR(__xludf.DUMMYFUNCTION("""COMPUTED_VALUE"""),"Y")</f>
        <v>Y</v>
      </c>
      <c r="U98" s="131" t="str">
        <f>IFERROR(__xludf.DUMMYFUNCTION("""COMPUTED_VALUE"""),"3")</f>
        <v>3</v>
      </c>
      <c r="V98" s="131"/>
      <c r="W98" s="144">
        <f>IFERROR(__xludf.DUMMYFUNCTION("""COMPUTED_VALUE"""),45626.0)</f>
        <v>45626</v>
      </c>
      <c r="X98" s="144">
        <f>IFERROR(__xludf.DUMMYFUNCTION("""COMPUTED_VALUE"""),45633.0)</f>
        <v>45633</v>
      </c>
      <c r="Y98" s="144">
        <f>IFERROR(__xludf.DUMMYFUNCTION("""COMPUTED_VALUE"""),45654.0)</f>
        <v>45654</v>
      </c>
      <c r="Z98" s="131" t="str">
        <f>IFERROR(__xludf.DUMMYFUNCTION("""COMPUTED_VALUE"""),"DC40")</f>
        <v>DC40</v>
      </c>
      <c r="AA98" s="131">
        <f>IFERROR(__xludf.DUMMYFUNCTION("""COMPUTED_VALUE"""),97.0)</f>
        <v>97</v>
      </c>
      <c r="AB98" s="131">
        <f>IFERROR(__xludf.DUMMYFUNCTION("""COMPUTED_VALUE"""),97.0)</f>
        <v>97</v>
      </c>
      <c r="AC98" s="131">
        <f>IFERROR(__xludf.DUMMYFUNCTION("""COMPUTED_VALUE"""),1.0)</f>
        <v>1</v>
      </c>
      <c r="AD98" s="131">
        <f>IFERROR(__xludf.DUMMYFUNCTION("""COMPUTED_VALUE"""),1.0)</f>
        <v>1</v>
      </c>
      <c r="AE98" s="131"/>
      <c r="AF98" s="131"/>
      <c r="AG98" s="131"/>
      <c r="AH98" s="131"/>
      <c r="AI98" s="131"/>
      <c r="AJ98" s="131"/>
      <c r="AK98" s="131"/>
    </row>
    <row r="99">
      <c r="A99" s="145" t="str">
        <f>IFERROR(__xludf.DUMMYFUNCTION("""COMPUTED_VALUE"""),"Y")</f>
        <v>Y</v>
      </c>
      <c r="B99" s="146" t="str">
        <f>IFERROR(__xludf.DUMMYFUNCTION("""COMPUTED_VALUE"""),"3")</f>
        <v>3</v>
      </c>
      <c r="C99" s="146"/>
      <c r="D99" s="147">
        <f>IFERROR(__xludf.DUMMYFUNCTION("""COMPUTED_VALUE"""),45626.0)</f>
        <v>45626</v>
      </c>
      <c r="E99" s="147">
        <f>IFERROR(__xludf.DUMMYFUNCTION("""COMPUTED_VALUE"""),45633.0)</f>
        <v>45633</v>
      </c>
      <c r="F99" s="147">
        <f>IFERROR(__xludf.DUMMYFUNCTION("""COMPUTED_VALUE"""),45654.0)</f>
        <v>45654</v>
      </c>
      <c r="G99" s="146" t="str">
        <f>IFERROR(__xludf.DUMMYFUNCTION("""COMPUTED_VALUE"""),"DC40")</f>
        <v>DC40</v>
      </c>
      <c r="H99" s="148">
        <f>IFERROR(__xludf.DUMMYFUNCTION("""COMPUTED_VALUE"""),97.0)</f>
        <v>97</v>
      </c>
      <c r="I99" s="148">
        <f>IFERROR(__xludf.DUMMYFUNCTION("""COMPUTED_VALUE"""),97.0)</f>
        <v>97</v>
      </c>
      <c r="J99" s="146">
        <f>IFERROR(__xludf.DUMMYFUNCTION("""COMPUTED_VALUE"""),1.0)</f>
        <v>1</v>
      </c>
      <c r="K99" s="146">
        <f>IFERROR(__xludf.DUMMYFUNCTION("""COMPUTED_VALUE"""),1.0)</f>
        <v>1</v>
      </c>
      <c r="L99" s="146"/>
      <c r="M99" s="146"/>
      <c r="N99" s="146"/>
      <c r="O99" s="146"/>
      <c r="P99" s="146"/>
      <c r="Q99" s="146"/>
      <c r="R99" s="146"/>
      <c r="T99" s="131" t="str">
        <f>IFERROR(__xludf.DUMMYFUNCTION("""COMPUTED_VALUE"""),"Y")</f>
        <v>Y</v>
      </c>
      <c r="U99" s="131" t="str">
        <f>IFERROR(__xludf.DUMMYFUNCTION("""COMPUTED_VALUE"""),"3")</f>
        <v>3</v>
      </c>
      <c r="V99" s="131"/>
      <c r="W99" s="144">
        <f>IFERROR(__xludf.DUMMYFUNCTION("""COMPUTED_VALUE"""),45626.0)</f>
        <v>45626</v>
      </c>
      <c r="X99" s="144">
        <f>IFERROR(__xludf.DUMMYFUNCTION("""COMPUTED_VALUE"""),45633.0)</f>
        <v>45633</v>
      </c>
      <c r="Y99" s="144">
        <f>IFERROR(__xludf.DUMMYFUNCTION("""COMPUTED_VALUE"""),45654.0)</f>
        <v>45654</v>
      </c>
      <c r="Z99" s="131" t="str">
        <f>IFERROR(__xludf.DUMMYFUNCTION("""COMPUTED_VALUE"""),"DC40")</f>
        <v>DC40</v>
      </c>
      <c r="AA99" s="131">
        <f>IFERROR(__xludf.DUMMYFUNCTION("""COMPUTED_VALUE"""),101.0)</f>
        <v>101</v>
      </c>
      <c r="AB99" s="131">
        <f>IFERROR(__xludf.DUMMYFUNCTION("""COMPUTED_VALUE"""),207.0)</f>
        <v>207</v>
      </c>
      <c r="AC99" s="131">
        <f>IFERROR(__xludf.DUMMYFUNCTION("""COMPUTED_VALUE"""),54.0)</f>
        <v>54</v>
      </c>
      <c r="AD99" s="131">
        <f>IFERROR(__xludf.DUMMYFUNCTION("""COMPUTED_VALUE"""),54.0)</f>
        <v>54</v>
      </c>
      <c r="AE99" s="131"/>
      <c r="AF99" s="131"/>
      <c r="AG99" s="131"/>
      <c r="AH99" s="131"/>
      <c r="AI99" s="131">
        <f>IFERROR(__xludf.DUMMYFUNCTION("""COMPUTED_VALUE"""),69.0)</f>
        <v>69</v>
      </c>
      <c r="AJ99" s="131"/>
      <c r="AK99" s="131"/>
    </row>
    <row r="100">
      <c r="A100" s="145" t="str">
        <f>IFERROR(__xludf.DUMMYFUNCTION("""COMPUTED_VALUE"""),"Y")</f>
        <v>Y</v>
      </c>
      <c r="B100" s="146" t="str">
        <f>IFERROR(__xludf.DUMMYFUNCTION("""COMPUTED_VALUE"""),"3")</f>
        <v>3</v>
      </c>
      <c r="C100" s="146"/>
      <c r="D100" s="147">
        <f>IFERROR(__xludf.DUMMYFUNCTION("""COMPUTED_VALUE"""),45626.0)</f>
        <v>45626</v>
      </c>
      <c r="E100" s="147">
        <f>IFERROR(__xludf.DUMMYFUNCTION("""COMPUTED_VALUE"""),45633.0)</f>
        <v>45633</v>
      </c>
      <c r="F100" s="147">
        <f>IFERROR(__xludf.DUMMYFUNCTION("""COMPUTED_VALUE"""),45654.0)</f>
        <v>45654</v>
      </c>
      <c r="G100" s="146" t="str">
        <f>IFERROR(__xludf.DUMMYFUNCTION("""COMPUTED_VALUE"""),"DC40")</f>
        <v>DC40</v>
      </c>
      <c r="H100" s="148">
        <f>IFERROR(__xludf.DUMMYFUNCTION("""COMPUTED_VALUE"""),101.0)</f>
        <v>101</v>
      </c>
      <c r="I100" s="148">
        <f>IFERROR(__xludf.DUMMYFUNCTION("""COMPUTED_VALUE"""),207.0)</f>
        <v>207</v>
      </c>
      <c r="J100" s="146">
        <f>IFERROR(__xludf.DUMMYFUNCTION("""COMPUTED_VALUE"""),54.0)</f>
        <v>54</v>
      </c>
      <c r="K100" s="146">
        <f>IFERROR(__xludf.DUMMYFUNCTION("""COMPUTED_VALUE"""),54.0)</f>
        <v>54</v>
      </c>
      <c r="L100" s="146"/>
      <c r="M100" s="146"/>
      <c r="N100" s="146"/>
      <c r="O100" s="146"/>
      <c r="P100" s="146">
        <f>IFERROR(__xludf.DUMMYFUNCTION("""COMPUTED_VALUE"""),69.0)</f>
        <v>69</v>
      </c>
      <c r="Q100" s="146"/>
      <c r="R100" s="146"/>
      <c r="T100" s="131" t="str">
        <f>IFERROR(__xludf.DUMMYFUNCTION("""COMPUTED_VALUE"""),"Y")</f>
        <v>Y</v>
      </c>
      <c r="U100" s="131" t="str">
        <f>IFERROR(__xludf.DUMMYFUNCTION("""COMPUTED_VALUE"""),"3")</f>
        <v>3</v>
      </c>
      <c r="V100" s="131"/>
      <c r="W100" s="144">
        <f>IFERROR(__xludf.DUMMYFUNCTION("""COMPUTED_VALUE"""),45627.0)</f>
        <v>45627</v>
      </c>
      <c r="X100" s="144">
        <f>IFERROR(__xludf.DUMMYFUNCTION("""COMPUTED_VALUE"""),45634.0)</f>
        <v>45634</v>
      </c>
      <c r="Y100" s="144">
        <f>IFERROR(__xludf.DUMMYFUNCTION("""COMPUTED_VALUE"""),45655.0)</f>
        <v>45655</v>
      </c>
      <c r="Z100" s="131" t="str">
        <f>IFERROR(__xludf.DUMMYFUNCTION("""COMPUTED_VALUE"""),"BRG12")</f>
        <v>BRG12</v>
      </c>
      <c r="AA100" s="131">
        <f>IFERROR(__xludf.DUMMYFUNCTION("""COMPUTED_VALUE"""),1439.0)</f>
        <v>1439</v>
      </c>
      <c r="AB100" s="131">
        <f>IFERROR(__xludf.DUMMYFUNCTION("""COMPUTED_VALUE"""),1455.0)</f>
        <v>1455</v>
      </c>
      <c r="AC100" s="131">
        <f>IFERROR(__xludf.DUMMYFUNCTION("""COMPUTED_VALUE"""),9.0)</f>
        <v>9</v>
      </c>
      <c r="AD100" s="131">
        <f>IFERROR(__xludf.DUMMYFUNCTION("""COMPUTED_VALUE"""),9.0)</f>
        <v>9</v>
      </c>
      <c r="AE100" s="131">
        <f>IFERROR(__xludf.DUMMYFUNCTION("""COMPUTED_VALUE"""),1378.0)</f>
        <v>1378</v>
      </c>
      <c r="AF100" s="131">
        <f>IFERROR(__xludf.DUMMYFUNCTION("""COMPUTED_VALUE"""),1436.0)</f>
        <v>1436</v>
      </c>
      <c r="AG100" s="131">
        <f>IFERROR(__xludf.DUMMYFUNCTION("""COMPUTED_VALUE"""),30.0)</f>
        <v>30</v>
      </c>
      <c r="AH100" s="131">
        <f>IFERROR(__xludf.DUMMYFUNCTION("""COMPUTED_VALUE"""),30.0)</f>
        <v>30</v>
      </c>
      <c r="AI100" s="131">
        <f>IFERROR(__xludf.DUMMYFUNCTION("""COMPUTED_VALUE"""),70.0)</f>
        <v>70</v>
      </c>
      <c r="AJ100" s="131"/>
      <c r="AK100" s="131"/>
    </row>
    <row r="101">
      <c r="A101" s="145" t="str">
        <f>IFERROR(__xludf.DUMMYFUNCTION("""COMPUTED_VALUE"""),"Y")</f>
        <v>Y</v>
      </c>
      <c r="B101" s="146" t="str">
        <f>IFERROR(__xludf.DUMMYFUNCTION("""COMPUTED_VALUE"""),"3")</f>
        <v>3</v>
      </c>
      <c r="C101" s="146"/>
      <c r="D101" s="147">
        <f>IFERROR(__xludf.DUMMYFUNCTION("""COMPUTED_VALUE"""),45627.0)</f>
        <v>45627</v>
      </c>
      <c r="E101" s="147">
        <f>IFERROR(__xludf.DUMMYFUNCTION("""COMPUTED_VALUE"""),45634.0)</f>
        <v>45634</v>
      </c>
      <c r="F101" s="147">
        <f>IFERROR(__xludf.DUMMYFUNCTION("""COMPUTED_VALUE"""),45655.0)</f>
        <v>45655</v>
      </c>
      <c r="G101" s="146" t="str">
        <f>IFERROR(__xludf.DUMMYFUNCTION("""COMPUTED_VALUE"""),"BRG12")</f>
        <v>BRG12</v>
      </c>
      <c r="H101" s="148">
        <f>IFERROR(__xludf.DUMMYFUNCTION("""COMPUTED_VALUE"""),1439.0)</f>
        <v>1439</v>
      </c>
      <c r="I101" s="148">
        <f>IFERROR(__xludf.DUMMYFUNCTION("""COMPUTED_VALUE"""),1455.0)</f>
        <v>1455</v>
      </c>
      <c r="J101" s="146">
        <f>IFERROR(__xludf.DUMMYFUNCTION("""COMPUTED_VALUE"""),9.0)</f>
        <v>9</v>
      </c>
      <c r="K101" s="146">
        <f>IFERROR(__xludf.DUMMYFUNCTION("""COMPUTED_VALUE"""),9.0)</f>
        <v>9</v>
      </c>
      <c r="L101" s="146">
        <f>IFERROR(__xludf.DUMMYFUNCTION("""COMPUTED_VALUE"""),1378.0)</f>
        <v>1378</v>
      </c>
      <c r="M101" s="146">
        <f>IFERROR(__xludf.DUMMYFUNCTION("""COMPUTED_VALUE"""),1436.0)</f>
        <v>1436</v>
      </c>
      <c r="N101" s="146">
        <f>IFERROR(__xludf.DUMMYFUNCTION("""COMPUTED_VALUE"""),30.0)</f>
        <v>30</v>
      </c>
      <c r="O101" s="146">
        <f>IFERROR(__xludf.DUMMYFUNCTION("""COMPUTED_VALUE"""),30.0)</f>
        <v>30</v>
      </c>
      <c r="P101" s="146">
        <f>IFERROR(__xludf.DUMMYFUNCTION("""COMPUTED_VALUE"""),70.0)</f>
        <v>70</v>
      </c>
      <c r="Q101" s="146"/>
      <c r="R101" s="146"/>
      <c r="T101" s="131" t="str">
        <f>IFERROR(__xludf.DUMMYFUNCTION("""COMPUTED_VALUE"""),"Y")</f>
        <v>Y</v>
      </c>
      <c r="U101" s="131" t="str">
        <f>IFERROR(__xludf.DUMMYFUNCTION("""COMPUTED_VALUE"""),"3")</f>
        <v>3</v>
      </c>
      <c r="V101" s="131"/>
      <c r="W101" s="144">
        <f>IFERROR(__xludf.DUMMYFUNCTION("""COMPUTED_VALUE"""),45627.0)</f>
        <v>45627</v>
      </c>
      <c r="X101" s="144">
        <f>IFERROR(__xludf.DUMMYFUNCTION("""COMPUTED_VALUE"""),45634.0)</f>
        <v>45634</v>
      </c>
      <c r="Y101" s="144">
        <f>IFERROR(__xludf.DUMMYFUNCTION("""COMPUTED_VALUE"""),45655.0)</f>
        <v>45655</v>
      </c>
      <c r="Z101" s="131" t="str">
        <f>IFERROR(__xludf.DUMMYFUNCTION("""COMPUTED_VALUE"""),"DC40")</f>
        <v>DC40</v>
      </c>
      <c r="AA101" s="131">
        <f>IFERROR(__xludf.DUMMYFUNCTION("""COMPUTED_VALUE"""),209.0)</f>
        <v>209</v>
      </c>
      <c r="AB101" s="131">
        <f>IFERROR(__xludf.DUMMYFUNCTION("""COMPUTED_VALUE"""),213.0)</f>
        <v>213</v>
      </c>
      <c r="AC101" s="131">
        <f>IFERROR(__xludf.DUMMYFUNCTION("""COMPUTED_VALUE"""),3.0)</f>
        <v>3</v>
      </c>
      <c r="AD101" s="131">
        <f>IFERROR(__xludf.DUMMYFUNCTION("""COMPUTED_VALUE"""),3.0)</f>
        <v>3</v>
      </c>
      <c r="AE101" s="131">
        <f>IFERROR(__xludf.DUMMYFUNCTION("""COMPUTED_VALUE"""),216.0)</f>
        <v>216</v>
      </c>
      <c r="AF101" s="131">
        <f>IFERROR(__xludf.DUMMYFUNCTION("""COMPUTED_VALUE"""),216.0)</f>
        <v>216</v>
      </c>
      <c r="AG101" s="131">
        <f>IFERROR(__xludf.DUMMYFUNCTION("""COMPUTED_VALUE"""),1.0)</f>
        <v>1</v>
      </c>
      <c r="AH101" s="131">
        <f>IFERROR(__xludf.DUMMYFUNCTION("""COMPUTED_VALUE"""),1.0)</f>
        <v>1</v>
      </c>
      <c r="AI101" s="131">
        <f>IFERROR(__xludf.DUMMYFUNCTION("""COMPUTED_VALUE"""),71.0)</f>
        <v>71</v>
      </c>
      <c r="AJ101" s="131"/>
      <c r="AK101" s="131"/>
    </row>
    <row r="102">
      <c r="A102" s="145" t="str">
        <f>IFERROR(__xludf.DUMMYFUNCTION("""COMPUTED_VALUE"""),"Y")</f>
        <v>Y</v>
      </c>
      <c r="B102" s="146" t="str">
        <f>IFERROR(__xludf.DUMMYFUNCTION("""COMPUTED_VALUE"""),"3")</f>
        <v>3</v>
      </c>
      <c r="C102" s="146"/>
      <c r="D102" s="147">
        <f>IFERROR(__xludf.DUMMYFUNCTION("""COMPUTED_VALUE"""),45627.0)</f>
        <v>45627</v>
      </c>
      <c r="E102" s="147">
        <f>IFERROR(__xludf.DUMMYFUNCTION("""COMPUTED_VALUE"""),45634.0)</f>
        <v>45634</v>
      </c>
      <c r="F102" s="147">
        <f>IFERROR(__xludf.DUMMYFUNCTION("""COMPUTED_VALUE"""),45655.0)</f>
        <v>45655</v>
      </c>
      <c r="G102" s="146" t="str">
        <f>IFERROR(__xludf.DUMMYFUNCTION("""COMPUTED_VALUE"""),"DC40")</f>
        <v>DC40</v>
      </c>
      <c r="H102" s="148">
        <f>IFERROR(__xludf.DUMMYFUNCTION("""COMPUTED_VALUE"""),209.0)</f>
        <v>209</v>
      </c>
      <c r="I102" s="148">
        <f>IFERROR(__xludf.DUMMYFUNCTION("""COMPUTED_VALUE"""),213.0)</f>
        <v>213</v>
      </c>
      <c r="J102" s="146">
        <f>IFERROR(__xludf.DUMMYFUNCTION("""COMPUTED_VALUE"""),3.0)</f>
        <v>3</v>
      </c>
      <c r="K102" s="146">
        <f>IFERROR(__xludf.DUMMYFUNCTION("""COMPUTED_VALUE"""),3.0)</f>
        <v>3</v>
      </c>
      <c r="L102" s="146">
        <f>IFERROR(__xludf.DUMMYFUNCTION("""COMPUTED_VALUE"""),216.0)</f>
        <v>216</v>
      </c>
      <c r="M102" s="146">
        <f>IFERROR(__xludf.DUMMYFUNCTION("""COMPUTED_VALUE"""),216.0)</f>
        <v>216</v>
      </c>
      <c r="N102" s="146">
        <f>IFERROR(__xludf.DUMMYFUNCTION("""COMPUTED_VALUE"""),1.0)</f>
        <v>1</v>
      </c>
      <c r="O102" s="146">
        <f>IFERROR(__xludf.DUMMYFUNCTION("""COMPUTED_VALUE"""),1.0)</f>
        <v>1</v>
      </c>
      <c r="P102" s="146">
        <f>IFERROR(__xludf.DUMMYFUNCTION("""COMPUTED_VALUE"""),71.0)</f>
        <v>71</v>
      </c>
      <c r="Q102" s="146"/>
      <c r="R102" s="146"/>
      <c r="T102" s="131" t="str">
        <f>IFERROR(__xludf.DUMMYFUNCTION("""COMPUTED_VALUE"""),"Y")</f>
        <v>Y</v>
      </c>
      <c r="U102" s="131" t="str">
        <f>IFERROR(__xludf.DUMMYFUNCTION("""COMPUTED_VALUE"""),"3")</f>
        <v>3</v>
      </c>
      <c r="V102" s="131"/>
      <c r="W102" s="144">
        <f>IFERROR(__xludf.DUMMYFUNCTION("""COMPUTED_VALUE"""),45627.0)</f>
        <v>45627</v>
      </c>
      <c r="X102" s="144">
        <f>IFERROR(__xludf.DUMMYFUNCTION("""COMPUTED_VALUE"""),45634.0)</f>
        <v>45634</v>
      </c>
      <c r="Y102" s="144">
        <f>IFERROR(__xludf.DUMMYFUNCTION("""COMPUTED_VALUE"""),45655.0)</f>
        <v>45655</v>
      </c>
      <c r="Z102" s="131" t="str">
        <f>IFERROR(__xludf.DUMMYFUNCTION("""COMPUTED_VALUE"""),"DC40")</f>
        <v>DC40</v>
      </c>
      <c r="AA102" s="131">
        <f>IFERROR(__xludf.DUMMYFUNCTION("""COMPUTED_VALUE"""),219.0)</f>
        <v>219</v>
      </c>
      <c r="AB102" s="131">
        <f>IFERROR(__xludf.DUMMYFUNCTION("""COMPUTED_VALUE"""),271.0)</f>
        <v>271</v>
      </c>
      <c r="AC102" s="131">
        <f>IFERROR(__xludf.DUMMYFUNCTION("""COMPUTED_VALUE"""),27.0)</f>
        <v>27</v>
      </c>
      <c r="AD102" s="131">
        <f>IFERROR(__xludf.DUMMYFUNCTION("""COMPUTED_VALUE"""),27.0)</f>
        <v>27</v>
      </c>
      <c r="AE102" s="131"/>
      <c r="AF102" s="131"/>
      <c r="AG102" s="131"/>
      <c r="AH102" s="131"/>
      <c r="AI102" s="131">
        <f>IFERROR(__xludf.DUMMYFUNCTION("""COMPUTED_VALUE"""),71.0)</f>
        <v>71</v>
      </c>
      <c r="AJ102" s="131"/>
      <c r="AK102" s="131"/>
    </row>
    <row r="103">
      <c r="A103" s="145" t="str">
        <f>IFERROR(__xludf.DUMMYFUNCTION("""COMPUTED_VALUE"""),"Y")</f>
        <v>Y</v>
      </c>
      <c r="B103" s="146" t="str">
        <f>IFERROR(__xludf.DUMMYFUNCTION("""COMPUTED_VALUE"""),"3")</f>
        <v>3</v>
      </c>
      <c r="C103" s="146"/>
      <c r="D103" s="147">
        <f>IFERROR(__xludf.DUMMYFUNCTION("""COMPUTED_VALUE"""),45627.0)</f>
        <v>45627</v>
      </c>
      <c r="E103" s="147">
        <f>IFERROR(__xludf.DUMMYFUNCTION("""COMPUTED_VALUE"""),45634.0)</f>
        <v>45634</v>
      </c>
      <c r="F103" s="147">
        <f>IFERROR(__xludf.DUMMYFUNCTION("""COMPUTED_VALUE"""),45655.0)</f>
        <v>45655</v>
      </c>
      <c r="G103" s="146" t="str">
        <f>IFERROR(__xludf.DUMMYFUNCTION("""COMPUTED_VALUE"""),"DC40")</f>
        <v>DC40</v>
      </c>
      <c r="H103" s="148">
        <f>IFERROR(__xludf.DUMMYFUNCTION("""COMPUTED_VALUE"""),219.0)</f>
        <v>219</v>
      </c>
      <c r="I103" s="148">
        <f>IFERROR(__xludf.DUMMYFUNCTION("""COMPUTED_VALUE"""),271.0)</f>
        <v>271</v>
      </c>
      <c r="J103" s="146">
        <f>IFERROR(__xludf.DUMMYFUNCTION("""COMPUTED_VALUE"""),27.0)</f>
        <v>27</v>
      </c>
      <c r="K103" s="146">
        <f>IFERROR(__xludf.DUMMYFUNCTION("""COMPUTED_VALUE"""),27.0)</f>
        <v>27</v>
      </c>
      <c r="L103" s="146"/>
      <c r="M103" s="146"/>
      <c r="N103" s="146"/>
      <c r="O103" s="146"/>
      <c r="P103" s="146">
        <f>IFERROR(__xludf.DUMMYFUNCTION("""COMPUTED_VALUE"""),71.0)</f>
        <v>71</v>
      </c>
      <c r="Q103" s="146"/>
      <c r="R103" s="146"/>
      <c r="T103" s="131" t="str">
        <f>IFERROR(__xludf.DUMMYFUNCTION("""COMPUTED_VALUE"""),"Y")</f>
        <v>Y</v>
      </c>
      <c r="U103" s="131" t="str">
        <f>IFERROR(__xludf.DUMMYFUNCTION("""COMPUTED_VALUE"""),"3")</f>
        <v>3</v>
      </c>
      <c r="V103" s="131"/>
      <c r="W103" s="144">
        <f>IFERROR(__xludf.DUMMYFUNCTION("""COMPUTED_VALUE"""),45628.0)</f>
        <v>45628</v>
      </c>
      <c r="X103" s="144">
        <f>IFERROR(__xludf.DUMMYFUNCTION("""COMPUTED_VALUE"""),45635.0)</f>
        <v>45635</v>
      </c>
      <c r="Y103" s="144">
        <f>IFERROR(__xludf.DUMMYFUNCTION("""COMPUTED_VALUE"""),45656.0)</f>
        <v>45656</v>
      </c>
      <c r="Z103" s="131" t="str">
        <f>IFERROR(__xludf.DUMMYFUNCTION("""COMPUTED_VALUE"""),"BRG12")</f>
        <v>BRG12</v>
      </c>
      <c r="AA103" s="131">
        <f>IFERROR(__xludf.DUMMYFUNCTION("""COMPUTED_VALUE"""),1457.0)</f>
        <v>1457</v>
      </c>
      <c r="AB103" s="131">
        <f>IFERROR(__xludf.DUMMYFUNCTION("""COMPUTED_VALUE"""),1525.0)</f>
        <v>1525</v>
      </c>
      <c r="AC103" s="131">
        <f>IFERROR(__xludf.DUMMYFUNCTION("""COMPUTED_VALUE"""),35.0)</f>
        <v>35</v>
      </c>
      <c r="AD103" s="131">
        <f>IFERROR(__xludf.DUMMYFUNCTION("""COMPUTED_VALUE"""),35.0)</f>
        <v>35</v>
      </c>
      <c r="AE103" s="131"/>
      <c r="AF103" s="131"/>
      <c r="AG103" s="131"/>
      <c r="AH103" s="131"/>
      <c r="AI103" s="131">
        <f>IFERROR(__xludf.DUMMYFUNCTION("""COMPUTED_VALUE"""),72.0)</f>
        <v>72</v>
      </c>
      <c r="AJ103" s="131"/>
      <c r="AK103" s="131"/>
    </row>
    <row r="104">
      <c r="A104" s="145" t="str">
        <f>IFERROR(__xludf.DUMMYFUNCTION("""COMPUTED_VALUE"""),"Y")</f>
        <v>Y</v>
      </c>
      <c r="B104" s="146" t="str">
        <f>IFERROR(__xludf.DUMMYFUNCTION("""COMPUTED_VALUE"""),"3")</f>
        <v>3</v>
      </c>
      <c r="C104" s="146"/>
      <c r="D104" s="147">
        <f>IFERROR(__xludf.DUMMYFUNCTION("""COMPUTED_VALUE"""),45628.0)</f>
        <v>45628</v>
      </c>
      <c r="E104" s="147">
        <f>IFERROR(__xludf.DUMMYFUNCTION("""COMPUTED_VALUE"""),45635.0)</f>
        <v>45635</v>
      </c>
      <c r="F104" s="147">
        <f>IFERROR(__xludf.DUMMYFUNCTION("""COMPUTED_VALUE"""),45656.0)</f>
        <v>45656</v>
      </c>
      <c r="G104" s="146" t="str">
        <f>IFERROR(__xludf.DUMMYFUNCTION("""COMPUTED_VALUE"""),"BRG12")</f>
        <v>BRG12</v>
      </c>
      <c r="H104" s="148">
        <f>IFERROR(__xludf.DUMMYFUNCTION("""COMPUTED_VALUE"""),1457.0)</f>
        <v>1457</v>
      </c>
      <c r="I104" s="148">
        <f>IFERROR(__xludf.DUMMYFUNCTION("""COMPUTED_VALUE"""),1525.0)</f>
        <v>1525</v>
      </c>
      <c r="J104" s="146">
        <f>IFERROR(__xludf.DUMMYFUNCTION("""COMPUTED_VALUE"""),35.0)</f>
        <v>35</v>
      </c>
      <c r="K104" s="146">
        <f>IFERROR(__xludf.DUMMYFUNCTION("""COMPUTED_VALUE"""),35.0)</f>
        <v>35</v>
      </c>
      <c r="L104" s="146"/>
      <c r="M104" s="146"/>
      <c r="N104" s="146"/>
      <c r="O104" s="146"/>
      <c r="P104" s="146">
        <f>IFERROR(__xludf.DUMMYFUNCTION("""COMPUTED_VALUE"""),72.0)</f>
        <v>72</v>
      </c>
      <c r="Q104" s="146"/>
      <c r="R104" s="146"/>
      <c r="T104" s="131" t="str">
        <f>IFERROR(__xludf.DUMMYFUNCTION("""COMPUTED_VALUE"""),"Y")</f>
        <v>Y</v>
      </c>
      <c r="U104" s="131" t="str">
        <f>IFERROR(__xludf.DUMMYFUNCTION("""COMPUTED_VALUE"""),"3")</f>
        <v>3</v>
      </c>
      <c r="V104" s="131"/>
      <c r="W104" s="144">
        <f>IFERROR(__xludf.DUMMYFUNCTION("""COMPUTED_VALUE"""),45628.0)</f>
        <v>45628</v>
      </c>
      <c r="X104" s="144">
        <f>IFERROR(__xludf.DUMMYFUNCTION("""COMPUTED_VALUE"""),45635.0)</f>
        <v>45635</v>
      </c>
      <c r="Y104" s="144">
        <f>IFERROR(__xludf.DUMMYFUNCTION("""COMPUTED_VALUE"""),45656.0)</f>
        <v>45656</v>
      </c>
      <c r="Z104" s="131" t="str">
        <f>IFERROR(__xludf.DUMMYFUNCTION("""COMPUTED_VALUE"""),"DC40")</f>
        <v>DC40</v>
      </c>
      <c r="AA104" s="131"/>
      <c r="AB104" s="131"/>
      <c r="AC104" s="131"/>
      <c r="AD104" s="131"/>
      <c r="AE104" s="131">
        <f>IFERROR(__xludf.DUMMYFUNCTION("""COMPUTED_VALUE"""),214.0)</f>
        <v>214</v>
      </c>
      <c r="AF104" s="131">
        <f>IFERROR(__xludf.DUMMYFUNCTION("""COMPUTED_VALUE"""),214.0)</f>
        <v>214</v>
      </c>
      <c r="AG104" s="131">
        <f>IFERROR(__xludf.DUMMYFUNCTION("""COMPUTED_VALUE"""),1.0)</f>
        <v>1</v>
      </c>
      <c r="AH104" s="131">
        <f>IFERROR(__xludf.DUMMYFUNCTION("""COMPUTED_VALUE"""),1.0)</f>
        <v>1</v>
      </c>
      <c r="AI104" s="131">
        <f>IFERROR(__xludf.DUMMYFUNCTION("""COMPUTED_VALUE"""),73.0)</f>
        <v>73</v>
      </c>
      <c r="AJ104" s="131"/>
      <c r="AK104" s="131"/>
    </row>
    <row r="105">
      <c r="A105" s="145" t="str">
        <f>IFERROR(__xludf.DUMMYFUNCTION("""COMPUTED_VALUE"""),"Y")</f>
        <v>Y</v>
      </c>
      <c r="B105" s="146" t="str">
        <f>IFERROR(__xludf.DUMMYFUNCTION("""COMPUTED_VALUE"""),"3")</f>
        <v>3</v>
      </c>
      <c r="C105" s="146"/>
      <c r="D105" s="147">
        <f>IFERROR(__xludf.DUMMYFUNCTION("""COMPUTED_VALUE"""),45628.0)</f>
        <v>45628</v>
      </c>
      <c r="E105" s="147">
        <f>IFERROR(__xludf.DUMMYFUNCTION("""COMPUTED_VALUE"""),45635.0)</f>
        <v>45635</v>
      </c>
      <c r="F105" s="147">
        <f>IFERROR(__xludf.DUMMYFUNCTION("""COMPUTED_VALUE"""),45656.0)</f>
        <v>45656</v>
      </c>
      <c r="G105" s="146" t="str">
        <f>IFERROR(__xludf.DUMMYFUNCTION("""COMPUTED_VALUE"""),"DC40")</f>
        <v>DC40</v>
      </c>
      <c r="H105" s="148"/>
      <c r="I105" s="148"/>
      <c r="J105" s="146"/>
      <c r="K105" s="146"/>
      <c r="L105" s="146">
        <f>IFERROR(__xludf.DUMMYFUNCTION("""COMPUTED_VALUE"""),214.0)</f>
        <v>214</v>
      </c>
      <c r="M105" s="146">
        <f>IFERROR(__xludf.DUMMYFUNCTION("""COMPUTED_VALUE"""),214.0)</f>
        <v>214</v>
      </c>
      <c r="N105" s="146">
        <f>IFERROR(__xludf.DUMMYFUNCTION("""COMPUTED_VALUE"""),1.0)</f>
        <v>1</v>
      </c>
      <c r="O105" s="146">
        <f>IFERROR(__xludf.DUMMYFUNCTION("""COMPUTED_VALUE"""),1.0)</f>
        <v>1</v>
      </c>
      <c r="P105" s="146">
        <f>IFERROR(__xludf.DUMMYFUNCTION("""COMPUTED_VALUE"""),73.0)</f>
        <v>73</v>
      </c>
      <c r="Q105" s="146"/>
      <c r="R105" s="146"/>
      <c r="T105" s="131" t="str">
        <f>IFERROR(__xludf.DUMMYFUNCTION("""COMPUTED_VALUE"""),"Y")</f>
        <v>Y</v>
      </c>
      <c r="U105" s="131" t="str">
        <f>IFERROR(__xludf.DUMMYFUNCTION("""COMPUTED_VALUE"""),"3")</f>
        <v>3</v>
      </c>
      <c r="V105" s="131"/>
      <c r="W105" s="144">
        <f>IFERROR(__xludf.DUMMYFUNCTION("""COMPUTED_VALUE"""),45628.0)</f>
        <v>45628</v>
      </c>
      <c r="X105" s="144">
        <f>IFERROR(__xludf.DUMMYFUNCTION("""COMPUTED_VALUE"""),45635.0)</f>
        <v>45635</v>
      </c>
      <c r="Y105" s="144">
        <f>IFERROR(__xludf.DUMMYFUNCTION("""COMPUTED_VALUE"""),45656.0)</f>
        <v>45656</v>
      </c>
      <c r="Z105" s="131" t="str">
        <f>IFERROR(__xludf.DUMMYFUNCTION("""COMPUTED_VALUE"""),"DC40")</f>
        <v>DC40</v>
      </c>
      <c r="AA105" s="131"/>
      <c r="AB105" s="131"/>
      <c r="AC105" s="131"/>
      <c r="AD105" s="131"/>
      <c r="AE105" s="131">
        <f>IFERROR(__xludf.DUMMYFUNCTION("""COMPUTED_VALUE"""),218.0)</f>
        <v>218</v>
      </c>
      <c r="AF105" s="131">
        <f>IFERROR(__xludf.DUMMYFUNCTION("""COMPUTED_VALUE"""),270.0)</f>
        <v>270</v>
      </c>
      <c r="AG105" s="131">
        <f>IFERROR(__xludf.DUMMYFUNCTION("""COMPUTED_VALUE"""),27.0)</f>
        <v>27</v>
      </c>
      <c r="AH105" s="131">
        <f>IFERROR(__xludf.DUMMYFUNCTION("""COMPUTED_VALUE"""),27.0)</f>
        <v>27</v>
      </c>
      <c r="AI105" s="131">
        <f>IFERROR(__xludf.DUMMYFUNCTION("""COMPUTED_VALUE"""),73.0)</f>
        <v>73</v>
      </c>
      <c r="AJ105" s="131"/>
      <c r="AK105" s="131"/>
    </row>
    <row r="106">
      <c r="A106" s="145" t="str">
        <f>IFERROR(__xludf.DUMMYFUNCTION("""COMPUTED_VALUE"""),"Y")</f>
        <v>Y</v>
      </c>
      <c r="B106" s="146" t="str">
        <f>IFERROR(__xludf.DUMMYFUNCTION("""COMPUTED_VALUE"""),"3")</f>
        <v>3</v>
      </c>
      <c r="C106" s="146"/>
      <c r="D106" s="147">
        <f>IFERROR(__xludf.DUMMYFUNCTION("""COMPUTED_VALUE"""),45628.0)</f>
        <v>45628</v>
      </c>
      <c r="E106" s="147">
        <f>IFERROR(__xludf.DUMMYFUNCTION("""COMPUTED_VALUE"""),45635.0)</f>
        <v>45635</v>
      </c>
      <c r="F106" s="147">
        <f>IFERROR(__xludf.DUMMYFUNCTION("""COMPUTED_VALUE"""),45656.0)</f>
        <v>45656</v>
      </c>
      <c r="G106" s="146" t="str">
        <f>IFERROR(__xludf.DUMMYFUNCTION("""COMPUTED_VALUE"""),"DC40")</f>
        <v>DC40</v>
      </c>
      <c r="H106" s="148"/>
      <c r="I106" s="148"/>
      <c r="J106" s="146"/>
      <c r="K106" s="146"/>
      <c r="L106" s="146">
        <f>IFERROR(__xludf.DUMMYFUNCTION("""COMPUTED_VALUE"""),218.0)</f>
        <v>218</v>
      </c>
      <c r="M106" s="146">
        <f>IFERROR(__xludf.DUMMYFUNCTION("""COMPUTED_VALUE"""),270.0)</f>
        <v>270</v>
      </c>
      <c r="N106" s="146">
        <f>IFERROR(__xludf.DUMMYFUNCTION("""COMPUTED_VALUE"""),27.0)</f>
        <v>27</v>
      </c>
      <c r="O106" s="146">
        <f>IFERROR(__xludf.DUMMYFUNCTION("""COMPUTED_VALUE"""),27.0)</f>
        <v>27</v>
      </c>
      <c r="P106" s="146">
        <f>IFERROR(__xludf.DUMMYFUNCTION("""COMPUTED_VALUE"""),73.0)</f>
        <v>73</v>
      </c>
      <c r="Q106" s="146"/>
      <c r="R106" s="146"/>
      <c r="T106" s="131" t="str">
        <f>IFERROR(__xludf.DUMMYFUNCTION("""COMPUTED_VALUE"""),"Y")</f>
        <v>Y</v>
      </c>
      <c r="U106" s="131" t="str">
        <f>IFERROR(__xludf.DUMMYFUNCTION("""COMPUTED_VALUE"""),"3")</f>
        <v>3</v>
      </c>
      <c r="V106" s="131"/>
      <c r="W106" s="144">
        <f>IFERROR(__xludf.DUMMYFUNCTION("""COMPUTED_VALUE"""),45629.0)</f>
        <v>45629</v>
      </c>
      <c r="X106" s="144">
        <f>IFERROR(__xludf.DUMMYFUNCTION("""COMPUTED_VALUE"""),45636.0)</f>
        <v>45636</v>
      </c>
      <c r="Y106" s="144">
        <f>IFERROR(__xludf.DUMMYFUNCTION("""COMPUTED_VALUE"""),45657.0)</f>
        <v>45657</v>
      </c>
      <c r="Z106" s="131" t="str">
        <f>IFERROR(__xludf.DUMMYFUNCTION("""COMPUTED_VALUE"""),"BRG12")</f>
        <v>BRG12</v>
      </c>
      <c r="AA106" s="131"/>
      <c r="AB106" s="131"/>
      <c r="AC106" s="131"/>
      <c r="AD106" s="131"/>
      <c r="AE106" s="131">
        <f>IFERROR(__xludf.DUMMYFUNCTION("""COMPUTED_VALUE"""),1438.0)</f>
        <v>1438</v>
      </c>
      <c r="AF106" s="131">
        <f>IFERROR(__xludf.DUMMYFUNCTION("""COMPUTED_VALUE"""),1516.0)</f>
        <v>1516</v>
      </c>
      <c r="AG106" s="131">
        <f>IFERROR(__xludf.DUMMYFUNCTION("""COMPUTED_VALUE"""),40.0)</f>
        <v>40</v>
      </c>
      <c r="AH106" s="131">
        <f>IFERROR(__xludf.DUMMYFUNCTION("""COMPUTED_VALUE"""),40.0)</f>
        <v>40</v>
      </c>
      <c r="AI106" s="131">
        <f>IFERROR(__xludf.DUMMYFUNCTION("""COMPUTED_VALUE"""),74.0)</f>
        <v>74</v>
      </c>
      <c r="AJ106" s="131"/>
      <c r="AK106" s="131"/>
    </row>
    <row r="107">
      <c r="A107" s="145" t="str">
        <f>IFERROR(__xludf.DUMMYFUNCTION("""COMPUTED_VALUE"""),"Y")</f>
        <v>Y</v>
      </c>
      <c r="B107" s="146" t="str">
        <f>IFERROR(__xludf.DUMMYFUNCTION("""COMPUTED_VALUE"""),"3")</f>
        <v>3</v>
      </c>
      <c r="C107" s="146"/>
      <c r="D107" s="147">
        <f>IFERROR(__xludf.DUMMYFUNCTION("""COMPUTED_VALUE"""),45629.0)</f>
        <v>45629</v>
      </c>
      <c r="E107" s="147">
        <f>IFERROR(__xludf.DUMMYFUNCTION("""COMPUTED_VALUE"""),45636.0)</f>
        <v>45636</v>
      </c>
      <c r="F107" s="147">
        <f>IFERROR(__xludf.DUMMYFUNCTION("""COMPUTED_VALUE"""),45657.0)</f>
        <v>45657</v>
      </c>
      <c r="G107" s="146" t="str">
        <f>IFERROR(__xludf.DUMMYFUNCTION("""COMPUTED_VALUE"""),"BRG12")</f>
        <v>BRG12</v>
      </c>
      <c r="H107" s="148"/>
      <c r="I107" s="148"/>
      <c r="J107" s="146"/>
      <c r="K107" s="146"/>
      <c r="L107" s="146">
        <f>IFERROR(__xludf.DUMMYFUNCTION("""COMPUTED_VALUE"""),1438.0)</f>
        <v>1438</v>
      </c>
      <c r="M107" s="146">
        <f>IFERROR(__xludf.DUMMYFUNCTION("""COMPUTED_VALUE"""),1516.0)</f>
        <v>1516</v>
      </c>
      <c r="N107" s="146">
        <f>IFERROR(__xludf.DUMMYFUNCTION("""COMPUTED_VALUE"""),40.0)</f>
        <v>40</v>
      </c>
      <c r="O107" s="146">
        <f>IFERROR(__xludf.DUMMYFUNCTION("""COMPUTED_VALUE"""),40.0)</f>
        <v>40</v>
      </c>
      <c r="P107" s="146">
        <f>IFERROR(__xludf.DUMMYFUNCTION("""COMPUTED_VALUE"""),74.0)</f>
        <v>74</v>
      </c>
      <c r="Q107" s="146"/>
      <c r="R107" s="146"/>
      <c r="T107" s="131" t="str">
        <f>IFERROR(__xludf.DUMMYFUNCTION("""COMPUTED_VALUE"""),"Y")</f>
        <v>Y</v>
      </c>
      <c r="U107" s="131" t="str">
        <f>IFERROR(__xludf.DUMMYFUNCTION("""COMPUTED_VALUE"""),"3")</f>
        <v>3</v>
      </c>
      <c r="V107" s="131"/>
      <c r="W107" s="144">
        <f>IFERROR(__xludf.DUMMYFUNCTION("""COMPUTED_VALUE"""),45629.0)</f>
        <v>45629</v>
      </c>
      <c r="X107" s="144">
        <f>IFERROR(__xludf.DUMMYFUNCTION("""COMPUTED_VALUE"""),45636.0)</f>
        <v>45636</v>
      </c>
      <c r="Y107" s="144">
        <f>IFERROR(__xludf.DUMMYFUNCTION("""COMPUTED_VALUE"""),45657.0)</f>
        <v>45657</v>
      </c>
      <c r="Z107" s="131" t="str">
        <f>IFERROR(__xludf.DUMMYFUNCTION("""COMPUTED_VALUE"""),"DC40")</f>
        <v>DC40</v>
      </c>
      <c r="AA107" s="131"/>
      <c r="AB107" s="131"/>
      <c r="AC107" s="131"/>
      <c r="AD107" s="131"/>
      <c r="AE107" s="131"/>
      <c r="AF107" s="131"/>
      <c r="AG107" s="131"/>
      <c r="AH107" s="131"/>
      <c r="AI107" s="131"/>
      <c r="AJ107" s="131"/>
      <c r="AK107" s="131"/>
    </row>
    <row r="108">
      <c r="A108" s="145" t="str">
        <f>IFERROR(__xludf.DUMMYFUNCTION("""COMPUTED_VALUE"""),"Y")</f>
        <v>Y</v>
      </c>
      <c r="B108" s="146" t="str">
        <f>IFERROR(__xludf.DUMMYFUNCTION("""COMPUTED_VALUE"""),"3")</f>
        <v>3</v>
      </c>
      <c r="C108" s="146"/>
      <c r="D108" s="147">
        <f>IFERROR(__xludf.DUMMYFUNCTION("""COMPUTED_VALUE"""),45629.0)</f>
        <v>45629</v>
      </c>
      <c r="E108" s="147">
        <f>IFERROR(__xludf.DUMMYFUNCTION("""COMPUTED_VALUE"""),45636.0)</f>
        <v>45636</v>
      </c>
      <c r="F108" s="147">
        <f>IFERROR(__xludf.DUMMYFUNCTION("""COMPUTED_VALUE"""),45657.0)</f>
        <v>45657</v>
      </c>
      <c r="G108" s="146" t="str">
        <f>IFERROR(__xludf.DUMMYFUNCTION("""COMPUTED_VALUE"""),"DC40")</f>
        <v>DC40</v>
      </c>
      <c r="H108" s="148"/>
      <c r="I108" s="148"/>
      <c r="J108" s="146"/>
      <c r="K108" s="146"/>
      <c r="L108" s="146"/>
      <c r="M108" s="146"/>
      <c r="N108" s="146"/>
      <c r="O108" s="146"/>
      <c r="P108" s="146"/>
      <c r="Q108" s="146"/>
      <c r="R108" s="146"/>
      <c r="T108" s="131" t="str">
        <f>IFERROR(__xludf.DUMMYFUNCTION("""COMPUTED_VALUE"""),"Y")</f>
        <v>Y</v>
      </c>
      <c r="U108" s="131" t="str">
        <f>IFERROR(__xludf.DUMMYFUNCTION("""COMPUTED_VALUE"""),"3")</f>
        <v>3</v>
      </c>
      <c r="V108" s="131"/>
      <c r="W108" s="144">
        <f>IFERROR(__xludf.DUMMYFUNCTION("""COMPUTED_VALUE"""),45630.0)</f>
        <v>45630</v>
      </c>
      <c r="X108" s="144">
        <f>IFERROR(__xludf.DUMMYFUNCTION("""COMPUTED_VALUE"""),45637.0)</f>
        <v>45637</v>
      </c>
      <c r="Y108" s="144">
        <f>IFERROR(__xludf.DUMMYFUNCTION("""COMPUTED_VALUE"""),45658.0)</f>
        <v>45658</v>
      </c>
      <c r="Z108" s="131" t="str">
        <f>IFERROR(__xludf.DUMMYFUNCTION("""COMPUTED_VALUE"""),"BRG12")</f>
        <v>BRG12</v>
      </c>
      <c r="AA108" s="131">
        <f>IFERROR(__xludf.DUMMYFUNCTION("""COMPUTED_VALUE"""),1527.0)</f>
        <v>1527</v>
      </c>
      <c r="AB108" s="131">
        <f>IFERROR(__xludf.DUMMYFUNCTION("""COMPUTED_VALUE"""),1587.0)</f>
        <v>1587</v>
      </c>
      <c r="AC108" s="131">
        <f>IFERROR(__xludf.DUMMYFUNCTION("""COMPUTED_VALUE"""),31.0)</f>
        <v>31</v>
      </c>
      <c r="AD108" s="131">
        <f>IFERROR(__xludf.DUMMYFUNCTION("""COMPUTED_VALUE"""),31.0)</f>
        <v>31</v>
      </c>
      <c r="AE108" s="131">
        <f>IFERROR(__xludf.DUMMYFUNCTION("""COMPUTED_VALUE"""),1518.0)</f>
        <v>1518</v>
      </c>
      <c r="AF108" s="131">
        <f>IFERROR(__xludf.DUMMYFUNCTION("""COMPUTED_VALUE"""),1524.0)</f>
        <v>1524</v>
      </c>
      <c r="AG108" s="131">
        <f>IFERROR(__xludf.DUMMYFUNCTION("""COMPUTED_VALUE"""),4.0)</f>
        <v>4</v>
      </c>
      <c r="AH108" s="131">
        <f>IFERROR(__xludf.DUMMYFUNCTION("""COMPUTED_VALUE"""),4.0)</f>
        <v>4</v>
      </c>
      <c r="AI108" s="131">
        <f>IFERROR(__xludf.DUMMYFUNCTION("""COMPUTED_VALUE"""),76.0)</f>
        <v>76</v>
      </c>
      <c r="AJ108" s="131"/>
      <c r="AK108" s="131"/>
    </row>
    <row r="109">
      <c r="A109" s="145" t="str">
        <f>IFERROR(__xludf.DUMMYFUNCTION("""COMPUTED_VALUE"""),"Y")</f>
        <v>Y</v>
      </c>
      <c r="B109" s="146" t="str">
        <f>IFERROR(__xludf.DUMMYFUNCTION("""COMPUTED_VALUE"""),"3")</f>
        <v>3</v>
      </c>
      <c r="C109" s="146"/>
      <c r="D109" s="147">
        <f>IFERROR(__xludf.DUMMYFUNCTION("""COMPUTED_VALUE"""),45630.0)</f>
        <v>45630</v>
      </c>
      <c r="E109" s="147">
        <f>IFERROR(__xludf.DUMMYFUNCTION("""COMPUTED_VALUE"""),45637.0)</f>
        <v>45637</v>
      </c>
      <c r="F109" s="147">
        <f>IFERROR(__xludf.DUMMYFUNCTION("""COMPUTED_VALUE"""),45658.0)</f>
        <v>45658</v>
      </c>
      <c r="G109" s="146" t="str">
        <f>IFERROR(__xludf.DUMMYFUNCTION("""COMPUTED_VALUE"""),"BRG12")</f>
        <v>BRG12</v>
      </c>
      <c r="H109" s="148">
        <f>IFERROR(__xludf.DUMMYFUNCTION("""COMPUTED_VALUE"""),1527.0)</f>
        <v>1527</v>
      </c>
      <c r="I109" s="148">
        <f>IFERROR(__xludf.DUMMYFUNCTION("""COMPUTED_VALUE"""),1587.0)</f>
        <v>1587</v>
      </c>
      <c r="J109" s="146">
        <f>IFERROR(__xludf.DUMMYFUNCTION("""COMPUTED_VALUE"""),31.0)</f>
        <v>31</v>
      </c>
      <c r="K109" s="146">
        <f>IFERROR(__xludf.DUMMYFUNCTION("""COMPUTED_VALUE"""),31.0)</f>
        <v>31</v>
      </c>
      <c r="L109" s="146">
        <f>IFERROR(__xludf.DUMMYFUNCTION("""COMPUTED_VALUE"""),1518.0)</f>
        <v>1518</v>
      </c>
      <c r="M109" s="146">
        <f>IFERROR(__xludf.DUMMYFUNCTION("""COMPUTED_VALUE"""),1524.0)</f>
        <v>1524</v>
      </c>
      <c r="N109" s="146">
        <f>IFERROR(__xludf.DUMMYFUNCTION("""COMPUTED_VALUE"""),4.0)</f>
        <v>4</v>
      </c>
      <c r="O109" s="146">
        <f>IFERROR(__xludf.DUMMYFUNCTION("""COMPUTED_VALUE"""),4.0)</f>
        <v>4</v>
      </c>
      <c r="P109" s="146">
        <f>IFERROR(__xludf.DUMMYFUNCTION("""COMPUTED_VALUE"""),76.0)</f>
        <v>76</v>
      </c>
      <c r="Q109" s="146"/>
      <c r="R109" s="146"/>
      <c r="T109" s="131" t="str">
        <f>IFERROR(__xludf.DUMMYFUNCTION("""COMPUTED_VALUE"""),"Y")</f>
        <v>Y</v>
      </c>
      <c r="U109" s="131" t="str">
        <f>IFERROR(__xludf.DUMMYFUNCTION("""COMPUTED_VALUE"""),"4")</f>
        <v>4</v>
      </c>
      <c r="V109" s="131"/>
      <c r="W109" s="144">
        <f>IFERROR(__xludf.DUMMYFUNCTION("""COMPUTED_VALUE"""),45633.0)</f>
        <v>45633</v>
      </c>
      <c r="X109" s="144">
        <f>IFERROR(__xludf.DUMMYFUNCTION("""COMPUTED_VALUE"""),45640.0)</f>
        <v>45640</v>
      </c>
      <c r="Y109" s="144">
        <f>IFERROR(__xludf.DUMMYFUNCTION("""COMPUTED_VALUE"""),45661.0)</f>
        <v>45661</v>
      </c>
      <c r="Z109" s="131" t="str">
        <f>IFERROR(__xludf.DUMMYFUNCTION("""COMPUTED_VALUE"""),"D40-2L-1")</f>
        <v>D40-2L-1</v>
      </c>
      <c r="AA109" s="131"/>
      <c r="AB109" s="131"/>
      <c r="AC109" s="131"/>
      <c r="AD109" s="131"/>
      <c r="AE109" s="131">
        <f>IFERROR(__xludf.DUMMYFUNCTION("""COMPUTED_VALUE"""),4.0)</f>
        <v>4</v>
      </c>
      <c r="AF109" s="131">
        <f>IFERROR(__xludf.DUMMYFUNCTION("""COMPUTED_VALUE"""),140.0)</f>
        <v>140</v>
      </c>
      <c r="AG109" s="131">
        <f>IFERROR(__xludf.DUMMYFUNCTION("""COMPUTED_VALUE"""),69.0)</f>
        <v>69</v>
      </c>
      <c r="AH109" s="131">
        <f>IFERROR(__xludf.DUMMYFUNCTION("""COMPUTED_VALUE"""),69.0)</f>
        <v>69</v>
      </c>
      <c r="AI109" s="131"/>
      <c r="AJ109" s="131"/>
      <c r="AK109" s="131"/>
    </row>
    <row r="110">
      <c r="A110" s="145" t="str">
        <f>IFERROR(__xludf.DUMMYFUNCTION("""COMPUTED_VALUE"""),"Y")</f>
        <v>Y</v>
      </c>
      <c r="B110" s="146" t="str">
        <f>IFERROR(__xludf.DUMMYFUNCTION("""COMPUTED_VALUE"""),"4")</f>
        <v>4</v>
      </c>
      <c r="C110" s="146"/>
      <c r="D110" s="147">
        <f>IFERROR(__xludf.DUMMYFUNCTION("""COMPUTED_VALUE"""),45633.0)</f>
        <v>45633</v>
      </c>
      <c r="E110" s="147">
        <f>IFERROR(__xludf.DUMMYFUNCTION("""COMPUTED_VALUE"""),45640.0)</f>
        <v>45640</v>
      </c>
      <c r="F110" s="147">
        <f>IFERROR(__xludf.DUMMYFUNCTION("""COMPUTED_VALUE"""),45661.0)</f>
        <v>45661</v>
      </c>
      <c r="G110" s="146" t="str">
        <f>IFERROR(__xludf.DUMMYFUNCTION("""COMPUTED_VALUE"""),"D40-2L-1")</f>
        <v>D40-2L-1</v>
      </c>
      <c r="H110" s="148"/>
      <c r="I110" s="148"/>
      <c r="J110" s="146"/>
      <c r="K110" s="146"/>
      <c r="L110" s="146">
        <f>IFERROR(__xludf.DUMMYFUNCTION("""COMPUTED_VALUE"""),4.0)</f>
        <v>4</v>
      </c>
      <c r="M110" s="146">
        <f>IFERROR(__xludf.DUMMYFUNCTION("""COMPUTED_VALUE"""),140.0)</f>
        <v>140</v>
      </c>
      <c r="N110" s="146">
        <f>IFERROR(__xludf.DUMMYFUNCTION("""COMPUTED_VALUE"""),69.0)</f>
        <v>69</v>
      </c>
      <c r="O110" s="146">
        <f>IFERROR(__xludf.DUMMYFUNCTION("""COMPUTED_VALUE"""),69.0)</f>
        <v>69</v>
      </c>
      <c r="P110" s="146"/>
      <c r="Q110" s="146"/>
      <c r="R110" s="146"/>
      <c r="T110" s="131" t="str">
        <f>IFERROR(__xludf.DUMMYFUNCTION("""COMPUTED_VALUE"""),"Y")</f>
        <v>Y</v>
      </c>
      <c r="U110" s="131" t="str">
        <f>IFERROR(__xludf.DUMMYFUNCTION("""COMPUTED_VALUE"""),"3")</f>
        <v>3</v>
      </c>
      <c r="V110" s="131"/>
      <c r="W110" s="144">
        <f>IFERROR(__xludf.DUMMYFUNCTION("""COMPUTED_VALUE"""),45633.0)</f>
        <v>45633</v>
      </c>
      <c r="X110" s="144">
        <f>IFERROR(__xludf.DUMMYFUNCTION("""COMPUTED_VALUE"""),45640.0)</f>
        <v>45640</v>
      </c>
      <c r="Y110" s="144">
        <f>IFERROR(__xludf.DUMMYFUNCTION("""COMPUTED_VALUE"""),45661.0)</f>
        <v>45661</v>
      </c>
      <c r="Z110" s="131" t="str">
        <f>IFERROR(__xludf.DUMMYFUNCTION("""COMPUTED_VALUE"""),"BRG12")</f>
        <v>BRG12</v>
      </c>
      <c r="AA110" s="131">
        <f>IFERROR(__xludf.DUMMYFUNCTION("""COMPUTED_VALUE"""),1589.0)</f>
        <v>1589</v>
      </c>
      <c r="AB110" s="131">
        <f>IFERROR(__xludf.DUMMYFUNCTION("""COMPUTED_VALUE"""),1593.0)</f>
        <v>1593</v>
      </c>
      <c r="AC110" s="131">
        <f>IFERROR(__xludf.DUMMYFUNCTION("""COMPUTED_VALUE"""),3.0)</f>
        <v>3</v>
      </c>
      <c r="AD110" s="131">
        <f>IFERROR(__xludf.DUMMYFUNCTION("""COMPUTED_VALUE"""),3.0)</f>
        <v>3</v>
      </c>
      <c r="AE110" s="131">
        <f>IFERROR(__xludf.DUMMYFUNCTION("""COMPUTED_VALUE"""),1526.0)</f>
        <v>1526</v>
      </c>
      <c r="AF110" s="131">
        <f>IFERROR(__xludf.DUMMYFUNCTION("""COMPUTED_VALUE"""),1586.0)</f>
        <v>1586</v>
      </c>
      <c r="AG110" s="131">
        <f>IFERROR(__xludf.DUMMYFUNCTION("""COMPUTED_VALUE"""),31.0)</f>
        <v>31</v>
      </c>
      <c r="AH110" s="131">
        <f>IFERROR(__xludf.DUMMYFUNCTION("""COMPUTED_VALUE"""),31.0)</f>
        <v>31</v>
      </c>
      <c r="AI110" s="131">
        <f>IFERROR(__xludf.DUMMYFUNCTION("""COMPUTED_VALUE"""),79.0)</f>
        <v>79</v>
      </c>
      <c r="AJ110" s="131"/>
      <c r="AK110" s="131"/>
    </row>
    <row r="111">
      <c r="A111" s="145" t="str">
        <f>IFERROR(__xludf.DUMMYFUNCTION("""COMPUTED_VALUE"""),"Y")</f>
        <v>Y</v>
      </c>
      <c r="B111" s="146" t="str">
        <f>IFERROR(__xludf.DUMMYFUNCTION("""COMPUTED_VALUE"""),"3")</f>
        <v>3</v>
      </c>
      <c r="C111" s="146"/>
      <c r="D111" s="147">
        <f>IFERROR(__xludf.DUMMYFUNCTION("""COMPUTED_VALUE"""),45633.0)</f>
        <v>45633</v>
      </c>
      <c r="E111" s="147">
        <f>IFERROR(__xludf.DUMMYFUNCTION("""COMPUTED_VALUE"""),45640.0)</f>
        <v>45640</v>
      </c>
      <c r="F111" s="147">
        <f>IFERROR(__xludf.DUMMYFUNCTION("""COMPUTED_VALUE"""),45661.0)</f>
        <v>45661</v>
      </c>
      <c r="G111" s="146" t="str">
        <f>IFERROR(__xludf.DUMMYFUNCTION("""COMPUTED_VALUE"""),"BRG12")</f>
        <v>BRG12</v>
      </c>
      <c r="H111" s="148">
        <f>IFERROR(__xludf.DUMMYFUNCTION("""COMPUTED_VALUE"""),1589.0)</f>
        <v>1589</v>
      </c>
      <c r="I111" s="148">
        <f>IFERROR(__xludf.DUMMYFUNCTION("""COMPUTED_VALUE"""),1593.0)</f>
        <v>1593</v>
      </c>
      <c r="J111" s="146">
        <f>IFERROR(__xludf.DUMMYFUNCTION("""COMPUTED_VALUE"""),3.0)</f>
        <v>3</v>
      </c>
      <c r="K111" s="146">
        <f>IFERROR(__xludf.DUMMYFUNCTION("""COMPUTED_VALUE"""),3.0)</f>
        <v>3</v>
      </c>
      <c r="L111" s="146">
        <f>IFERROR(__xludf.DUMMYFUNCTION("""COMPUTED_VALUE"""),1526.0)</f>
        <v>1526</v>
      </c>
      <c r="M111" s="146">
        <f>IFERROR(__xludf.DUMMYFUNCTION("""COMPUTED_VALUE"""),1586.0)</f>
        <v>1586</v>
      </c>
      <c r="N111" s="146">
        <f>IFERROR(__xludf.DUMMYFUNCTION("""COMPUTED_VALUE"""),31.0)</f>
        <v>31</v>
      </c>
      <c r="O111" s="146">
        <f>IFERROR(__xludf.DUMMYFUNCTION("""COMPUTED_VALUE"""),31.0)</f>
        <v>31</v>
      </c>
      <c r="P111" s="146">
        <f>IFERROR(__xludf.DUMMYFUNCTION("""COMPUTED_VALUE"""),79.0)</f>
        <v>79</v>
      </c>
      <c r="Q111" s="146"/>
      <c r="R111" s="146"/>
      <c r="T111" s="131" t="str">
        <f>IFERROR(__xludf.DUMMYFUNCTION("""COMPUTED_VALUE"""),"Y")</f>
        <v>Y</v>
      </c>
      <c r="U111" s="131" t="str">
        <f>IFERROR(__xludf.DUMMYFUNCTION("""COMPUTED_VALUE"""),"4")</f>
        <v>4</v>
      </c>
      <c r="V111" s="131"/>
      <c r="W111" s="144">
        <f>IFERROR(__xludf.DUMMYFUNCTION("""COMPUTED_VALUE"""),45634.0)</f>
        <v>45634</v>
      </c>
      <c r="X111" s="144">
        <f>IFERROR(__xludf.DUMMYFUNCTION("""COMPUTED_VALUE"""),45641.0)</f>
        <v>45641</v>
      </c>
      <c r="Y111" s="144">
        <f>IFERROR(__xludf.DUMMYFUNCTION("""COMPUTED_VALUE"""),45662.0)</f>
        <v>45662</v>
      </c>
      <c r="Z111" s="131" t="str">
        <f>IFERROR(__xludf.DUMMYFUNCTION("""COMPUTED_VALUE"""),"D38-3L")</f>
        <v>D38-3L</v>
      </c>
      <c r="AA111" s="131">
        <f>IFERROR(__xludf.DUMMYFUNCTION("""COMPUTED_VALUE"""),437.0)</f>
        <v>437</v>
      </c>
      <c r="AB111" s="131">
        <f>IFERROR(__xludf.DUMMYFUNCTION("""COMPUTED_VALUE"""),491.0)</f>
        <v>491</v>
      </c>
      <c r="AC111" s="131">
        <f>IFERROR(__xludf.DUMMYFUNCTION("""COMPUTED_VALUE"""),28.0)</f>
        <v>28</v>
      </c>
      <c r="AD111" s="131">
        <f>IFERROR(__xludf.DUMMYFUNCTION("""COMPUTED_VALUE"""),28.0)</f>
        <v>28</v>
      </c>
      <c r="AE111" s="131">
        <f>IFERROR(__xludf.DUMMYFUNCTION("""COMPUTED_VALUE"""),360.0)</f>
        <v>360</v>
      </c>
      <c r="AF111" s="131">
        <f>IFERROR(__xludf.DUMMYFUNCTION("""COMPUTED_VALUE"""),434.0)</f>
        <v>434</v>
      </c>
      <c r="AG111" s="131">
        <f>IFERROR(__xludf.DUMMYFUNCTION("""COMPUTED_VALUE"""),38.0)</f>
        <v>38</v>
      </c>
      <c r="AH111" s="131">
        <f>IFERROR(__xludf.DUMMYFUNCTION("""COMPUTED_VALUE"""),38.0)</f>
        <v>38</v>
      </c>
      <c r="AI111" s="131">
        <f>IFERROR(__xludf.DUMMYFUNCTION("""COMPUTED_VALUE"""),80.0)</f>
        <v>80</v>
      </c>
      <c r="AJ111" s="131"/>
      <c r="AK111" s="131"/>
    </row>
    <row r="112">
      <c r="A112" s="145" t="str">
        <f>IFERROR(__xludf.DUMMYFUNCTION("""COMPUTED_VALUE"""),"Y")</f>
        <v>Y</v>
      </c>
      <c r="B112" s="146" t="str">
        <f>IFERROR(__xludf.DUMMYFUNCTION("""COMPUTED_VALUE"""),"4")</f>
        <v>4</v>
      </c>
      <c r="C112" s="146"/>
      <c r="D112" s="147">
        <f>IFERROR(__xludf.DUMMYFUNCTION("""COMPUTED_VALUE"""),45634.0)</f>
        <v>45634</v>
      </c>
      <c r="E112" s="147">
        <f>IFERROR(__xludf.DUMMYFUNCTION("""COMPUTED_VALUE"""),45641.0)</f>
        <v>45641</v>
      </c>
      <c r="F112" s="147">
        <f>IFERROR(__xludf.DUMMYFUNCTION("""COMPUTED_VALUE"""),45662.0)</f>
        <v>45662</v>
      </c>
      <c r="G112" s="146" t="str">
        <f>IFERROR(__xludf.DUMMYFUNCTION("""COMPUTED_VALUE"""),"D38-3L")</f>
        <v>D38-3L</v>
      </c>
      <c r="H112" s="148">
        <f>IFERROR(__xludf.DUMMYFUNCTION("""COMPUTED_VALUE"""),437.0)</f>
        <v>437</v>
      </c>
      <c r="I112" s="148">
        <f>IFERROR(__xludf.DUMMYFUNCTION("""COMPUTED_VALUE"""),491.0)</f>
        <v>491</v>
      </c>
      <c r="J112" s="146">
        <f>IFERROR(__xludf.DUMMYFUNCTION("""COMPUTED_VALUE"""),28.0)</f>
        <v>28</v>
      </c>
      <c r="K112" s="146">
        <f>IFERROR(__xludf.DUMMYFUNCTION("""COMPUTED_VALUE"""),28.0)</f>
        <v>28</v>
      </c>
      <c r="L112" s="146">
        <f>IFERROR(__xludf.DUMMYFUNCTION("""COMPUTED_VALUE"""),360.0)</f>
        <v>360</v>
      </c>
      <c r="M112" s="146">
        <f>IFERROR(__xludf.DUMMYFUNCTION("""COMPUTED_VALUE"""),434.0)</f>
        <v>434</v>
      </c>
      <c r="N112" s="146">
        <f>IFERROR(__xludf.DUMMYFUNCTION("""COMPUTED_VALUE"""),38.0)</f>
        <v>38</v>
      </c>
      <c r="O112" s="146">
        <f>IFERROR(__xludf.DUMMYFUNCTION("""COMPUTED_VALUE"""),38.0)</f>
        <v>38</v>
      </c>
      <c r="P112" s="146">
        <f>IFERROR(__xludf.DUMMYFUNCTION("""COMPUTED_VALUE"""),80.0)</f>
        <v>80</v>
      </c>
      <c r="Q112" s="146"/>
      <c r="R112" s="146"/>
      <c r="T112" s="131" t="str">
        <f>IFERROR(__xludf.DUMMYFUNCTION("""COMPUTED_VALUE"""),"Y")</f>
        <v>Y</v>
      </c>
      <c r="U112" s="131" t="str">
        <f>IFERROR(__xludf.DUMMYFUNCTION("""COMPUTED_VALUE"""),"4")</f>
        <v>4</v>
      </c>
      <c r="V112" s="131"/>
      <c r="W112" s="144">
        <f>IFERROR(__xludf.DUMMYFUNCTION("""COMPUTED_VALUE"""),45634.0)</f>
        <v>45634</v>
      </c>
      <c r="X112" s="144">
        <f>IFERROR(__xludf.DUMMYFUNCTION("""COMPUTED_VALUE"""),45641.0)</f>
        <v>45641</v>
      </c>
      <c r="Y112" s="144">
        <f>IFERROR(__xludf.DUMMYFUNCTION("""COMPUTED_VALUE"""),45662.0)</f>
        <v>45662</v>
      </c>
      <c r="Z112" s="131" t="str">
        <f>IFERROR(__xludf.DUMMYFUNCTION("""COMPUTED_VALUE"""),"D38-2L")</f>
        <v>D38-2L</v>
      </c>
      <c r="AA112" s="131">
        <f>IFERROR(__xludf.DUMMYFUNCTION("""COMPUTED_VALUE"""),5.0)</f>
        <v>5</v>
      </c>
      <c r="AB112" s="131">
        <f>IFERROR(__xludf.DUMMYFUNCTION("""COMPUTED_VALUE"""),99.0)</f>
        <v>99</v>
      </c>
      <c r="AC112" s="131">
        <f>IFERROR(__xludf.DUMMYFUNCTION("""COMPUTED_VALUE"""),48.0)</f>
        <v>48</v>
      </c>
      <c r="AD112" s="131">
        <f>IFERROR(__xludf.DUMMYFUNCTION("""COMPUTED_VALUE"""),48.0)</f>
        <v>48</v>
      </c>
      <c r="AE112" s="131"/>
      <c r="AF112" s="131"/>
      <c r="AG112" s="131"/>
      <c r="AH112" s="131"/>
      <c r="AI112" s="131">
        <f>IFERROR(__xludf.DUMMYFUNCTION("""COMPUTED_VALUE"""),81.0)</f>
        <v>81</v>
      </c>
      <c r="AJ112" s="131"/>
      <c r="AK112" s="131"/>
    </row>
    <row r="113">
      <c r="A113" s="145" t="str">
        <f>IFERROR(__xludf.DUMMYFUNCTION("""COMPUTED_VALUE"""),"Y")</f>
        <v>Y</v>
      </c>
      <c r="B113" s="146" t="str">
        <f>IFERROR(__xludf.DUMMYFUNCTION("""COMPUTED_VALUE"""),"4")</f>
        <v>4</v>
      </c>
      <c r="C113" s="146"/>
      <c r="D113" s="147">
        <f>IFERROR(__xludf.DUMMYFUNCTION("""COMPUTED_VALUE"""),45634.0)</f>
        <v>45634</v>
      </c>
      <c r="E113" s="147">
        <f>IFERROR(__xludf.DUMMYFUNCTION("""COMPUTED_VALUE"""),45641.0)</f>
        <v>45641</v>
      </c>
      <c r="F113" s="147">
        <f>IFERROR(__xludf.DUMMYFUNCTION("""COMPUTED_VALUE"""),45662.0)</f>
        <v>45662</v>
      </c>
      <c r="G113" s="146" t="str">
        <f>IFERROR(__xludf.DUMMYFUNCTION("""COMPUTED_VALUE"""),"D38-2L")</f>
        <v>D38-2L</v>
      </c>
      <c r="H113" s="148">
        <f>IFERROR(__xludf.DUMMYFUNCTION("""COMPUTED_VALUE"""),5.0)</f>
        <v>5</v>
      </c>
      <c r="I113" s="148">
        <f>IFERROR(__xludf.DUMMYFUNCTION("""COMPUTED_VALUE"""),99.0)</f>
        <v>99</v>
      </c>
      <c r="J113" s="146">
        <f>IFERROR(__xludf.DUMMYFUNCTION("""COMPUTED_VALUE"""),48.0)</f>
        <v>48</v>
      </c>
      <c r="K113" s="146">
        <f>IFERROR(__xludf.DUMMYFUNCTION("""COMPUTED_VALUE"""),48.0)</f>
        <v>48</v>
      </c>
      <c r="L113" s="146"/>
      <c r="M113" s="146"/>
      <c r="N113" s="146"/>
      <c r="O113" s="146"/>
      <c r="P113" s="146">
        <f>IFERROR(__xludf.DUMMYFUNCTION("""COMPUTED_VALUE"""),81.0)</f>
        <v>81</v>
      </c>
      <c r="Q113" s="146"/>
      <c r="R113" s="146"/>
      <c r="T113" s="131" t="str">
        <f>IFERROR(__xludf.DUMMYFUNCTION("""COMPUTED_VALUE"""),"Y")</f>
        <v>Y</v>
      </c>
      <c r="U113" s="131" t="str">
        <f>IFERROR(__xludf.DUMMYFUNCTION("""COMPUTED_VALUE"""),"4")</f>
        <v>4</v>
      </c>
      <c r="V113" s="131"/>
      <c r="W113" s="144">
        <f>IFERROR(__xludf.DUMMYFUNCTION("""COMPUTED_VALUE"""),45635.0)</f>
        <v>45635</v>
      </c>
      <c r="X113" s="144">
        <f>IFERROR(__xludf.DUMMYFUNCTION("""COMPUTED_VALUE"""),45642.0)</f>
        <v>45642</v>
      </c>
      <c r="Y113" s="144">
        <f>IFERROR(__xludf.DUMMYFUNCTION("""COMPUTED_VALUE"""),45663.0)</f>
        <v>45663</v>
      </c>
      <c r="Z113" s="131" t="str">
        <f>IFERROR(__xludf.DUMMYFUNCTION("""COMPUTED_VALUE"""),"D38-3L")</f>
        <v>D38-3L</v>
      </c>
      <c r="AA113" s="131"/>
      <c r="AB113" s="131"/>
      <c r="AC113" s="131"/>
      <c r="AD113" s="131"/>
      <c r="AE113" s="131">
        <f>IFERROR(__xludf.DUMMYFUNCTION("""COMPUTED_VALUE"""),438.0)</f>
        <v>438</v>
      </c>
      <c r="AF113" s="131">
        <f>IFERROR(__xludf.DUMMYFUNCTION("""COMPUTED_VALUE"""),492.0)</f>
        <v>492</v>
      </c>
      <c r="AG113" s="131">
        <f>IFERROR(__xludf.DUMMYFUNCTION("""COMPUTED_VALUE"""),28.0)</f>
        <v>28</v>
      </c>
      <c r="AH113" s="131">
        <f>IFERROR(__xludf.DUMMYFUNCTION("""COMPUTED_VALUE"""),28.0)</f>
        <v>28</v>
      </c>
      <c r="AI113" s="131">
        <f>IFERROR(__xludf.DUMMYFUNCTION("""COMPUTED_VALUE"""),83.0)</f>
        <v>83</v>
      </c>
      <c r="AJ113" s="131"/>
      <c r="AK113" s="131"/>
    </row>
    <row r="114">
      <c r="A114" s="145" t="str">
        <f>IFERROR(__xludf.DUMMYFUNCTION("""COMPUTED_VALUE"""),"Y")</f>
        <v>Y</v>
      </c>
      <c r="B114" s="146" t="str">
        <f>IFERROR(__xludf.DUMMYFUNCTION("""COMPUTED_VALUE"""),"4")</f>
        <v>4</v>
      </c>
      <c r="C114" s="146"/>
      <c r="D114" s="147">
        <f>IFERROR(__xludf.DUMMYFUNCTION("""COMPUTED_VALUE"""),45635.0)</f>
        <v>45635</v>
      </c>
      <c r="E114" s="147">
        <f>IFERROR(__xludf.DUMMYFUNCTION("""COMPUTED_VALUE"""),45642.0)</f>
        <v>45642</v>
      </c>
      <c r="F114" s="147">
        <f>IFERROR(__xludf.DUMMYFUNCTION("""COMPUTED_VALUE"""),45663.0)</f>
        <v>45663</v>
      </c>
      <c r="G114" s="146" t="str">
        <f>IFERROR(__xludf.DUMMYFUNCTION("""COMPUTED_VALUE"""),"D38-3L")</f>
        <v>D38-3L</v>
      </c>
      <c r="H114" s="148"/>
      <c r="I114" s="148"/>
      <c r="J114" s="146"/>
      <c r="K114" s="146"/>
      <c r="L114" s="146">
        <f>IFERROR(__xludf.DUMMYFUNCTION("""COMPUTED_VALUE"""),438.0)</f>
        <v>438</v>
      </c>
      <c r="M114" s="146">
        <f>IFERROR(__xludf.DUMMYFUNCTION("""COMPUTED_VALUE"""),492.0)</f>
        <v>492</v>
      </c>
      <c r="N114" s="146">
        <f>IFERROR(__xludf.DUMMYFUNCTION("""COMPUTED_VALUE"""),28.0)</f>
        <v>28</v>
      </c>
      <c r="O114" s="146">
        <f>IFERROR(__xludf.DUMMYFUNCTION("""COMPUTED_VALUE"""),28.0)</f>
        <v>28</v>
      </c>
      <c r="P114" s="146">
        <f>IFERROR(__xludf.DUMMYFUNCTION("""COMPUTED_VALUE"""),83.0)</f>
        <v>83</v>
      </c>
      <c r="Q114" s="146"/>
      <c r="R114" s="146"/>
      <c r="T114" s="131" t="str">
        <f>IFERROR(__xludf.DUMMYFUNCTION("""COMPUTED_VALUE"""),"Y")</f>
        <v>Y</v>
      </c>
      <c r="U114" s="131" t="str">
        <f>IFERROR(__xludf.DUMMYFUNCTION("""COMPUTED_VALUE"""),"4")</f>
        <v>4</v>
      </c>
      <c r="V114" s="131"/>
      <c r="W114" s="144">
        <f>IFERROR(__xludf.DUMMYFUNCTION("""COMPUTED_VALUE"""),45635.0)</f>
        <v>45635</v>
      </c>
      <c r="X114" s="144">
        <f>IFERROR(__xludf.DUMMYFUNCTION("""COMPUTED_VALUE"""),45642.0)</f>
        <v>45642</v>
      </c>
      <c r="Y114" s="144">
        <f>IFERROR(__xludf.DUMMYFUNCTION("""COMPUTED_VALUE"""),45663.0)</f>
        <v>45663</v>
      </c>
      <c r="Z114" s="131" t="str">
        <f>IFERROR(__xludf.DUMMYFUNCTION("""COMPUTED_VALUE"""),"D38-2L")</f>
        <v>D38-2L</v>
      </c>
      <c r="AA114" s="131">
        <f>IFERROR(__xludf.DUMMYFUNCTION("""COMPUTED_VALUE"""),101.0)</f>
        <v>101</v>
      </c>
      <c r="AB114" s="131">
        <f>IFERROR(__xludf.DUMMYFUNCTION("""COMPUTED_VALUE"""),137.0)</f>
        <v>137</v>
      </c>
      <c r="AC114" s="131">
        <f>IFERROR(__xludf.DUMMYFUNCTION("""COMPUTED_VALUE"""),19.0)</f>
        <v>19</v>
      </c>
      <c r="AD114" s="131">
        <f>IFERROR(__xludf.DUMMYFUNCTION("""COMPUTED_VALUE"""),19.0)</f>
        <v>19</v>
      </c>
      <c r="AE114" s="131">
        <f>IFERROR(__xludf.DUMMYFUNCTION("""COMPUTED_VALUE"""),8.0)</f>
        <v>8</v>
      </c>
      <c r="AF114" s="131">
        <f>IFERROR(__xludf.DUMMYFUNCTION("""COMPUTED_VALUE"""),98.0)</f>
        <v>98</v>
      </c>
      <c r="AG114" s="131">
        <f>IFERROR(__xludf.DUMMYFUNCTION("""COMPUTED_VALUE"""),46.0)</f>
        <v>46</v>
      </c>
      <c r="AH114" s="131">
        <f>IFERROR(__xludf.DUMMYFUNCTION("""COMPUTED_VALUE"""),46.0)</f>
        <v>46</v>
      </c>
      <c r="AI114" s="131">
        <f>IFERROR(__xludf.DUMMYFUNCTION("""COMPUTED_VALUE"""),83.0)</f>
        <v>83</v>
      </c>
      <c r="AJ114" s="131"/>
      <c r="AK114" s="131"/>
    </row>
    <row r="115">
      <c r="A115" s="145" t="str">
        <f>IFERROR(__xludf.DUMMYFUNCTION("""COMPUTED_VALUE"""),"Y")</f>
        <v>Y</v>
      </c>
      <c r="B115" s="146" t="str">
        <f>IFERROR(__xludf.DUMMYFUNCTION("""COMPUTED_VALUE"""),"4")</f>
        <v>4</v>
      </c>
      <c r="C115" s="146"/>
      <c r="D115" s="147">
        <f>IFERROR(__xludf.DUMMYFUNCTION("""COMPUTED_VALUE"""),45635.0)</f>
        <v>45635</v>
      </c>
      <c r="E115" s="147">
        <f>IFERROR(__xludf.DUMMYFUNCTION("""COMPUTED_VALUE"""),45642.0)</f>
        <v>45642</v>
      </c>
      <c r="F115" s="147">
        <f>IFERROR(__xludf.DUMMYFUNCTION("""COMPUTED_VALUE"""),45663.0)</f>
        <v>45663</v>
      </c>
      <c r="G115" s="146" t="str">
        <f>IFERROR(__xludf.DUMMYFUNCTION("""COMPUTED_VALUE"""),"D38-2L")</f>
        <v>D38-2L</v>
      </c>
      <c r="H115" s="148">
        <f>IFERROR(__xludf.DUMMYFUNCTION("""COMPUTED_VALUE"""),101.0)</f>
        <v>101</v>
      </c>
      <c r="I115" s="148">
        <f>IFERROR(__xludf.DUMMYFUNCTION("""COMPUTED_VALUE"""),137.0)</f>
        <v>137</v>
      </c>
      <c r="J115" s="146">
        <f>IFERROR(__xludf.DUMMYFUNCTION("""COMPUTED_VALUE"""),19.0)</f>
        <v>19</v>
      </c>
      <c r="K115" s="146">
        <f>IFERROR(__xludf.DUMMYFUNCTION("""COMPUTED_VALUE"""),19.0)</f>
        <v>19</v>
      </c>
      <c r="L115" s="146">
        <f>IFERROR(__xludf.DUMMYFUNCTION("""COMPUTED_VALUE"""),8.0)</f>
        <v>8</v>
      </c>
      <c r="M115" s="146">
        <f>IFERROR(__xludf.DUMMYFUNCTION("""COMPUTED_VALUE"""),98.0)</f>
        <v>98</v>
      </c>
      <c r="N115" s="146">
        <f>IFERROR(__xludf.DUMMYFUNCTION("""COMPUTED_VALUE"""),46.0)</f>
        <v>46</v>
      </c>
      <c r="O115" s="146">
        <f>IFERROR(__xludf.DUMMYFUNCTION("""COMPUTED_VALUE"""),46.0)</f>
        <v>46</v>
      </c>
      <c r="P115" s="146">
        <f>IFERROR(__xludf.DUMMYFUNCTION("""COMPUTED_VALUE"""),83.0)</f>
        <v>83</v>
      </c>
      <c r="Q115" s="146"/>
      <c r="R115" s="146"/>
      <c r="T115" s="131" t="str">
        <f>IFERROR(__xludf.DUMMYFUNCTION("""COMPUTED_VALUE"""),"Y")</f>
        <v>Y</v>
      </c>
      <c r="U115" s="131" t="str">
        <f>IFERROR(__xludf.DUMMYFUNCTION("""COMPUTED_VALUE"""),"4")</f>
        <v>4</v>
      </c>
      <c r="V115" s="131"/>
      <c r="W115" s="144">
        <f>IFERROR(__xludf.DUMMYFUNCTION("""COMPUTED_VALUE"""),45641.0)</f>
        <v>45641</v>
      </c>
      <c r="X115" s="144">
        <f>IFERROR(__xludf.DUMMYFUNCTION("""COMPUTED_VALUE"""),45648.0)</f>
        <v>45648</v>
      </c>
      <c r="Y115" s="144">
        <f>IFERROR(__xludf.DUMMYFUNCTION("""COMPUTED_VALUE"""),45669.0)</f>
        <v>45669</v>
      </c>
      <c r="Z115" s="131" t="str">
        <f>IFERROR(__xludf.DUMMYFUNCTION("""COMPUTED_VALUE"""),"BRG12")</f>
        <v>BRG12</v>
      </c>
      <c r="AA115" s="131">
        <f>IFERROR(__xludf.DUMMYFUNCTION("""COMPUTED_VALUE"""),1595.0)</f>
        <v>1595</v>
      </c>
      <c r="AB115" s="131">
        <f>IFERROR(__xludf.DUMMYFUNCTION("""COMPUTED_VALUE"""),1657.0)</f>
        <v>1657</v>
      </c>
      <c r="AC115" s="131">
        <f>IFERROR(__xludf.DUMMYFUNCTION("""COMPUTED_VALUE"""),32.0)</f>
        <v>32</v>
      </c>
      <c r="AD115" s="131">
        <f>IFERROR(__xludf.DUMMYFUNCTION("""COMPUTED_VALUE"""),32.0)</f>
        <v>32</v>
      </c>
      <c r="AE115" s="131"/>
      <c r="AF115" s="131"/>
      <c r="AG115" s="131"/>
      <c r="AH115" s="131"/>
      <c r="AI115" s="131">
        <f>IFERROR(__xludf.DUMMYFUNCTION("""COMPUTED_VALUE"""),84.0)</f>
        <v>84</v>
      </c>
      <c r="AJ115" s="131"/>
      <c r="AK115" s="131"/>
    </row>
    <row r="116">
      <c r="A116" s="145" t="str">
        <f>IFERROR(__xludf.DUMMYFUNCTION("""COMPUTED_VALUE"""),"Y")</f>
        <v>Y</v>
      </c>
      <c r="B116" s="146" t="str">
        <f>IFERROR(__xludf.DUMMYFUNCTION("""COMPUTED_VALUE"""),"4")</f>
        <v>4</v>
      </c>
      <c r="C116" s="146"/>
      <c r="D116" s="147">
        <f>IFERROR(__xludf.DUMMYFUNCTION("""COMPUTED_VALUE"""),45641.0)</f>
        <v>45641</v>
      </c>
      <c r="E116" s="147">
        <f>IFERROR(__xludf.DUMMYFUNCTION("""COMPUTED_VALUE"""),45648.0)</f>
        <v>45648</v>
      </c>
      <c r="F116" s="147">
        <f>IFERROR(__xludf.DUMMYFUNCTION("""COMPUTED_VALUE"""),45669.0)</f>
        <v>45669</v>
      </c>
      <c r="G116" s="146" t="str">
        <f>IFERROR(__xludf.DUMMYFUNCTION("""COMPUTED_VALUE"""),"BRG12")</f>
        <v>BRG12</v>
      </c>
      <c r="H116" s="148">
        <f>IFERROR(__xludf.DUMMYFUNCTION("""COMPUTED_VALUE"""),1595.0)</f>
        <v>1595</v>
      </c>
      <c r="I116" s="148">
        <f>IFERROR(__xludf.DUMMYFUNCTION("""COMPUTED_VALUE"""),1657.0)</f>
        <v>1657</v>
      </c>
      <c r="J116" s="146">
        <f>IFERROR(__xludf.DUMMYFUNCTION("""COMPUTED_VALUE"""),32.0)</f>
        <v>32</v>
      </c>
      <c r="K116" s="146">
        <f>IFERROR(__xludf.DUMMYFUNCTION("""COMPUTED_VALUE"""),32.0)</f>
        <v>32</v>
      </c>
      <c r="L116" s="146"/>
      <c r="M116" s="146"/>
      <c r="N116" s="146"/>
      <c r="O116" s="146"/>
      <c r="P116" s="146">
        <f>IFERROR(__xludf.DUMMYFUNCTION("""COMPUTED_VALUE"""),84.0)</f>
        <v>84</v>
      </c>
      <c r="Q116" s="146"/>
      <c r="R116" s="146"/>
      <c r="T116" s="131" t="str">
        <f>IFERROR(__xludf.DUMMYFUNCTION("""COMPUTED_VALUE"""),"Y")</f>
        <v>Y</v>
      </c>
      <c r="U116" s="131" t="str">
        <f>IFERROR(__xludf.DUMMYFUNCTION("""COMPUTED_VALUE"""),"4")</f>
        <v>4</v>
      </c>
      <c r="V116" s="131"/>
      <c r="W116" s="144">
        <f>IFERROR(__xludf.DUMMYFUNCTION("""COMPUTED_VALUE"""),45642.0)</f>
        <v>45642</v>
      </c>
      <c r="X116" s="144">
        <f>IFERROR(__xludf.DUMMYFUNCTION("""COMPUTED_VALUE"""),45649.0)</f>
        <v>45649</v>
      </c>
      <c r="Y116" s="144">
        <f>IFERROR(__xludf.DUMMYFUNCTION("""COMPUTED_VALUE"""),45670.0)</f>
        <v>45670</v>
      </c>
      <c r="Z116" s="131" t="str">
        <f>IFERROR(__xludf.DUMMYFUNCTION("""COMPUTED_VALUE"""),"D38-2L")</f>
        <v>D38-2L</v>
      </c>
      <c r="AA116" s="131">
        <f>IFERROR(__xludf.DUMMYFUNCTION("""COMPUTED_VALUE"""),139.0)</f>
        <v>139</v>
      </c>
      <c r="AB116" s="131">
        <f>IFERROR(__xludf.DUMMYFUNCTION("""COMPUTED_VALUE"""),307.0)</f>
        <v>307</v>
      </c>
      <c r="AC116" s="131">
        <f>IFERROR(__xludf.DUMMYFUNCTION("""COMPUTED_VALUE"""),85.0)</f>
        <v>85</v>
      </c>
      <c r="AD116" s="131">
        <f>IFERROR(__xludf.DUMMYFUNCTION("""COMPUTED_VALUE"""),85.0)</f>
        <v>85</v>
      </c>
      <c r="AE116" s="131">
        <f>IFERROR(__xludf.DUMMYFUNCTION("""COMPUTED_VALUE"""),100.0)</f>
        <v>100</v>
      </c>
      <c r="AF116" s="131">
        <f>IFERROR(__xludf.DUMMYFUNCTION("""COMPUTED_VALUE"""),136.0)</f>
        <v>136</v>
      </c>
      <c r="AG116" s="131">
        <f>IFERROR(__xludf.DUMMYFUNCTION("""COMPUTED_VALUE"""),19.0)</f>
        <v>19</v>
      </c>
      <c r="AH116" s="131">
        <f>IFERROR(__xludf.DUMMYFUNCTION("""COMPUTED_VALUE"""),19.0)</f>
        <v>19</v>
      </c>
      <c r="AI116" s="131">
        <f>IFERROR(__xludf.DUMMYFUNCTION("""COMPUTED_VALUE"""),86.0)</f>
        <v>86</v>
      </c>
      <c r="AJ116" s="131"/>
      <c r="AK116" s="131"/>
    </row>
    <row r="117">
      <c r="A117" s="145" t="str">
        <f>IFERROR(__xludf.DUMMYFUNCTION("""COMPUTED_VALUE"""),"Y")</f>
        <v>Y</v>
      </c>
      <c r="B117" s="146" t="str">
        <f>IFERROR(__xludf.DUMMYFUNCTION("""COMPUTED_VALUE"""),"4")</f>
        <v>4</v>
      </c>
      <c r="C117" s="146"/>
      <c r="D117" s="147">
        <f>IFERROR(__xludf.DUMMYFUNCTION("""COMPUTED_VALUE"""),45642.0)</f>
        <v>45642</v>
      </c>
      <c r="E117" s="147">
        <f>IFERROR(__xludf.DUMMYFUNCTION("""COMPUTED_VALUE"""),45649.0)</f>
        <v>45649</v>
      </c>
      <c r="F117" s="147">
        <f>IFERROR(__xludf.DUMMYFUNCTION("""COMPUTED_VALUE"""),45670.0)</f>
        <v>45670</v>
      </c>
      <c r="G117" s="146" t="str">
        <f>IFERROR(__xludf.DUMMYFUNCTION("""COMPUTED_VALUE"""),"D38-2L")</f>
        <v>D38-2L</v>
      </c>
      <c r="H117" s="148">
        <f>IFERROR(__xludf.DUMMYFUNCTION("""COMPUTED_VALUE"""),139.0)</f>
        <v>139</v>
      </c>
      <c r="I117" s="148">
        <f>IFERROR(__xludf.DUMMYFUNCTION("""COMPUTED_VALUE"""),307.0)</f>
        <v>307</v>
      </c>
      <c r="J117" s="146">
        <f>IFERROR(__xludf.DUMMYFUNCTION("""COMPUTED_VALUE"""),85.0)</f>
        <v>85</v>
      </c>
      <c r="K117" s="146">
        <f>IFERROR(__xludf.DUMMYFUNCTION("""COMPUTED_VALUE"""),85.0)</f>
        <v>85</v>
      </c>
      <c r="L117" s="146">
        <f>IFERROR(__xludf.DUMMYFUNCTION("""COMPUTED_VALUE"""),100.0)</f>
        <v>100</v>
      </c>
      <c r="M117" s="146">
        <f>IFERROR(__xludf.DUMMYFUNCTION("""COMPUTED_VALUE"""),136.0)</f>
        <v>136</v>
      </c>
      <c r="N117" s="146">
        <f>IFERROR(__xludf.DUMMYFUNCTION("""COMPUTED_VALUE"""),19.0)</f>
        <v>19</v>
      </c>
      <c r="O117" s="146">
        <f>IFERROR(__xludf.DUMMYFUNCTION("""COMPUTED_VALUE"""),19.0)</f>
        <v>19</v>
      </c>
      <c r="P117" s="146">
        <f>IFERROR(__xludf.DUMMYFUNCTION("""COMPUTED_VALUE"""),86.0)</f>
        <v>86</v>
      </c>
      <c r="Q117" s="146"/>
      <c r="R117" s="146"/>
      <c r="T117" s="131" t="str">
        <f>IFERROR(__xludf.DUMMYFUNCTION("""COMPUTED_VALUE"""),"Y")</f>
        <v>Y</v>
      </c>
      <c r="U117" s="131" t="str">
        <f>IFERROR(__xludf.DUMMYFUNCTION("""COMPUTED_VALUE"""),"4")</f>
        <v>4</v>
      </c>
      <c r="V117" s="131"/>
      <c r="W117" s="144">
        <f>IFERROR(__xludf.DUMMYFUNCTION("""COMPUTED_VALUE"""),45642.0)</f>
        <v>45642</v>
      </c>
      <c r="X117" s="144">
        <f>IFERROR(__xludf.DUMMYFUNCTION("""COMPUTED_VALUE"""),45649.0)</f>
        <v>45649</v>
      </c>
      <c r="Y117" s="144">
        <f>IFERROR(__xludf.DUMMYFUNCTION("""COMPUTED_VALUE"""),45670.0)</f>
        <v>45670</v>
      </c>
      <c r="Z117" s="131" t="str">
        <f>IFERROR(__xludf.DUMMYFUNCTION("""COMPUTED_VALUE"""),"D40-2L-1")</f>
        <v>D40-2L-1</v>
      </c>
      <c r="AA117" s="131">
        <f>IFERROR(__xludf.DUMMYFUNCTION("""COMPUTED_VALUE"""),205.0)</f>
        <v>205</v>
      </c>
      <c r="AB117" s="131">
        <f>IFERROR(__xludf.DUMMYFUNCTION("""COMPUTED_VALUE"""),211.0)</f>
        <v>211</v>
      </c>
      <c r="AC117" s="131">
        <f>IFERROR(__xludf.DUMMYFUNCTION("""COMPUTED_VALUE"""),4.0)</f>
        <v>4</v>
      </c>
      <c r="AD117" s="131">
        <f>IFERROR(__xludf.DUMMYFUNCTION("""COMPUTED_VALUE"""),4.0)</f>
        <v>4</v>
      </c>
      <c r="AE117" s="131">
        <f>IFERROR(__xludf.DUMMYFUNCTION("""COMPUTED_VALUE"""),142.0)</f>
        <v>142</v>
      </c>
      <c r="AF117" s="131">
        <f>IFERROR(__xludf.DUMMYFUNCTION("""COMPUTED_VALUE"""),198.0)</f>
        <v>198</v>
      </c>
      <c r="AG117" s="131">
        <f>IFERROR(__xludf.DUMMYFUNCTION("""COMPUTED_VALUE"""),29.0)</f>
        <v>29</v>
      </c>
      <c r="AH117" s="131">
        <f>IFERROR(__xludf.DUMMYFUNCTION("""COMPUTED_VALUE"""),29.0)</f>
        <v>29</v>
      </c>
      <c r="AI117" s="131">
        <f>IFERROR(__xludf.DUMMYFUNCTION("""COMPUTED_VALUE"""),85.0)</f>
        <v>85</v>
      </c>
      <c r="AJ117" s="131"/>
      <c r="AK117" s="131"/>
    </row>
    <row r="118">
      <c r="A118" s="145" t="str">
        <f>IFERROR(__xludf.DUMMYFUNCTION("""COMPUTED_VALUE"""),"Y")</f>
        <v>Y</v>
      </c>
      <c r="B118" s="146" t="str">
        <f>IFERROR(__xludf.DUMMYFUNCTION("""COMPUTED_VALUE"""),"4")</f>
        <v>4</v>
      </c>
      <c r="C118" s="146"/>
      <c r="D118" s="147">
        <f>IFERROR(__xludf.DUMMYFUNCTION("""COMPUTED_VALUE"""),45642.0)</f>
        <v>45642</v>
      </c>
      <c r="E118" s="147">
        <f>IFERROR(__xludf.DUMMYFUNCTION("""COMPUTED_VALUE"""),45649.0)</f>
        <v>45649</v>
      </c>
      <c r="F118" s="147">
        <f>IFERROR(__xludf.DUMMYFUNCTION("""COMPUTED_VALUE"""),45670.0)</f>
        <v>45670</v>
      </c>
      <c r="G118" s="146" t="str">
        <f>IFERROR(__xludf.DUMMYFUNCTION("""COMPUTED_VALUE"""),"D40-2L-1")</f>
        <v>D40-2L-1</v>
      </c>
      <c r="H118" s="148">
        <f>IFERROR(__xludf.DUMMYFUNCTION("""COMPUTED_VALUE"""),205.0)</f>
        <v>205</v>
      </c>
      <c r="I118" s="148">
        <f>IFERROR(__xludf.DUMMYFUNCTION("""COMPUTED_VALUE"""),211.0)</f>
        <v>211</v>
      </c>
      <c r="J118" s="146">
        <f>IFERROR(__xludf.DUMMYFUNCTION("""COMPUTED_VALUE"""),4.0)</f>
        <v>4</v>
      </c>
      <c r="K118" s="146">
        <f>IFERROR(__xludf.DUMMYFUNCTION("""COMPUTED_VALUE"""),4.0)</f>
        <v>4</v>
      </c>
      <c r="L118" s="146">
        <f>IFERROR(__xludf.DUMMYFUNCTION("""COMPUTED_VALUE"""),142.0)</f>
        <v>142</v>
      </c>
      <c r="M118" s="146">
        <f>IFERROR(__xludf.DUMMYFUNCTION("""COMPUTED_VALUE"""),198.0)</f>
        <v>198</v>
      </c>
      <c r="N118" s="146">
        <f>IFERROR(__xludf.DUMMYFUNCTION("""COMPUTED_VALUE"""),29.0)</f>
        <v>29</v>
      </c>
      <c r="O118" s="146">
        <f>IFERROR(__xludf.DUMMYFUNCTION("""COMPUTED_VALUE"""),29.0)</f>
        <v>29</v>
      </c>
      <c r="P118" s="146">
        <f>IFERROR(__xludf.DUMMYFUNCTION("""COMPUTED_VALUE"""),85.0)</f>
        <v>85</v>
      </c>
      <c r="Q118" s="146"/>
      <c r="R118" s="146"/>
      <c r="T118" s="131" t="str">
        <f>IFERROR(__xludf.DUMMYFUNCTION("""COMPUTED_VALUE"""),"Y")</f>
        <v>Y</v>
      </c>
      <c r="U118" s="131" t="str">
        <f>IFERROR(__xludf.DUMMYFUNCTION("""COMPUTED_VALUE"""),"4")</f>
        <v>4</v>
      </c>
      <c r="V118" s="131"/>
      <c r="W118" s="144">
        <f>IFERROR(__xludf.DUMMYFUNCTION("""COMPUTED_VALUE"""),45642.0)</f>
        <v>45642</v>
      </c>
      <c r="X118" s="144">
        <f>IFERROR(__xludf.DUMMYFUNCTION("""COMPUTED_VALUE"""),45649.0)</f>
        <v>45649</v>
      </c>
      <c r="Y118" s="144">
        <f>IFERROR(__xludf.DUMMYFUNCTION("""COMPUTED_VALUE"""),45670.0)</f>
        <v>45670</v>
      </c>
      <c r="Z118" s="131" t="str">
        <f>IFERROR(__xludf.DUMMYFUNCTION("""COMPUTED_VALUE"""),"D40-2L-1")</f>
        <v>D40-2L-1</v>
      </c>
      <c r="AA118" s="131">
        <f>IFERROR(__xludf.DUMMYFUNCTION("""COMPUTED_VALUE"""),215.0)</f>
        <v>215</v>
      </c>
      <c r="AB118" s="131">
        <f>IFERROR(__xludf.DUMMYFUNCTION("""COMPUTED_VALUE"""),261.0)</f>
        <v>261</v>
      </c>
      <c r="AC118" s="131">
        <f>IFERROR(__xludf.DUMMYFUNCTION("""COMPUTED_VALUE"""),24.0)</f>
        <v>24</v>
      </c>
      <c r="AD118" s="131">
        <f>IFERROR(__xludf.DUMMYFUNCTION("""COMPUTED_VALUE"""),24.0)</f>
        <v>24</v>
      </c>
      <c r="AE118" s="131"/>
      <c r="AF118" s="131"/>
      <c r="AG118" s="131"/>
      <c r="AH118" s="131"/>
      <c r="AI118" s="131">
        <f>IFERROR(__xludf.DUMMYFUNCTION("""COMPUTED_VALUE"""),85.0)</f>
        <v>85</v>
      </c>
      <c r="AJ118" s="131"/>
      <c r="AK118" s="131"/>
    </row>
    <row r="119">
      <c r="A119" s="145" t="str">
        <f>IFERROR(__xludf.DUMMYFUNCTION("""COMPUTED_VALUE"""),"Y")</f>
        <v>Y</v>
      </c>
      <c r="B119" s="146" t="str">
        <f>IFERROR(__xludf.DUMMYFUNCTION("""COMPUTED_VALUE"""),"4")</f>
        <v>4</v>
      </c>
      <c r="C119" s="146"/>
      <c r="D119" s="147">
        <f>IFERROR(__xludf.DUMMYFUNCTION("""COMPUTED_VALUE"""),45642.0)</f>
        <v>45642</v>
      </c>
      <c r="E119" s="147">
        <f>IFERROR(__xludf.DUMMYFUNCTION("""COMPUTED_VALUE"""),45649.0)</f>
        <v>45649</v>
      </c>
      <c r="F119" s="147">
        <f>IFERROR(__xludf.DUMMYFUNCTION("""COMPUTED_VALUE"""),45670.0)</f>
        <v>45670</v>
      </c>
      <c r="G119" s="146" t="str">
        <f>IFERROR(__xludf.DUMMYFUNCTION("""COMPUTED_VALUE"""),"D40-2L-1")</f>
        <v>D40-2L-1</v>
      </c>
      <c r="H119" s="148">
        <f>IFERROR(__xludf.DUMMYFUNCTION("""COMPUTED_VALUE"""),215.0)</f>
        <v>215</v>
      </c>
      <c r="I119" s="148">
        <f>IFERROR(__xludf.DUMMYFUNCTION("""COMPUTED_VALUE"""),261.0)</f>
        <v>261</v>
      </c>
      <c r="J119" s="146">
        <f>IFERROR(__xludf.DUMMYFUNCTION("""COMPUTED_VALUE"""),24.0)</f>
        <v>24</v>
      </c>
      <c r="K119" s="146">
        <f>IFERROR(__xludf.DUMMYFUNCTION("""COMPUTED_VALUE"""),24.0)</f>
        <v>24</v>
      </c>
      <c r="L119" s="146"/>
      <c r="M119" s="146"/>
      <c r="N119" s="146"/>
      <c r="O119" s="146"/>
      <c r="P119" s="146">
        <f>IFERROR(__xludf.DUMMYFUNCTION("""COMPUTED_VALUE"""),85.0)</f>
        <v>85</v>
      </c>
      <c r="Q119" s="146"/>
      <c r="R119" s="146"/>
      <c r="T119" s="131" t="str">
        <f>IFERROR(__xludf.DUMMYFUNCTION("""COMPUTED_VALUE"""),"Y")</f>
        <v>Y</v>
      </c>
      <c r="U119" s="131" t="str">
        <f>IFERROR(__xludf.DUMMYFUNCTION("""COMPUTED_VALUE"""),"4")</f>
        <v>4</v>
      </c>
      <c r="V119" s="131"/>
      <c r="W119" s="144">
        <f>IFERROR(__xludf.DUMMYFUNCTION("""COMPUTED_VALUE"""),45642.0)</f>
        <v>45642</v>
      </c>
      <c r="X119" s="144">
        <f>IFERROR(__xludf.DUMMYFUNCTION("""COMPUTED_VALUE"""),45649.0)</f>
        <v>45649</v>
      </c>
      <c r="Y119" s="144">
        <f>IFERROR(__xludf.DUMMYFUNCTION("""COMPUTED_VALUE"""),45670.0)</f>
        <v>45670</v>
      </c>
      <c r="Z119" s="131" t="str">
        <f>IFERROR(__xludf.DUMMYFUNCTION("""COMPUTED_VALUE"""),"D40-2L-1")</f>
        <v>D40-2L-1</v>
      </c>
      <c r="AA119" s="131">
        <f>IFERROR(__xludf.DUMMYFUNCTION("""COMPUTED_VALUE"""),265.0)</f>
        <v>265</v>
      </c>
      <c r="AB119" s="131">
        <f>IFERROR(__xludf.DUMMYFUNCTION("""COMPUTED_VALUE"""),285.0)</f>
        <v>285</v>
      </c>
      <c r="AC119" s="131">
        <f>IFERROR(__xludf.DUMMYFUNCTION("""COMPUTED_VALUE"""),11.0)</f>
        <v>11</v>
      </c>
      <c r="AD119" s="131">
        <f>IFERROR(__xludf.DUMMYFUNCTION("""COMPUTED_VALUE"""),11.0)</f>
        <v>11</v>
      </c>
      <c r="AE119" s="131"/>
      <c r="AF119" s="131"/>
      <c r="AG119" s="131"/>
      <c r="AH119" s="131"/>
      <c r="AI119" s="131">
        <f>IFERROR(__xludf.DUMMYFUNCTION("""COMPUTED_VALUE"""),85.0)</f>
        <v>85</v>
      </c>
      <c r="AJ119" s="131"/>
      <c r="AK119" s="131"/>
    </row>
    <row r="120">
      <c r="A120" s="145" t="str">
        <f>IFERROR(__xludf.DUMMYFUNCTION("""COMPUTED_VALUE"""),"Y")</f>
        <v>Y</v>
      </c>
      <c r="B120" s="146" t="str">
        <f>IFERROR(__xludf.DUMMYFUNCTION("""COMPUTED_VALUE"""),"4")</f>
        <v>4</v>
      </c>
      <c r="C120" s="146"/>
      <c r="D120" s="147">
        <f>IFERROR(__xludf.DUMMYFUNCTION("""COMPUTED_VALUE"""),45642.0)</f>
        <v>45642</v>
      </c>
      <c r="E120" s="147">
        <f>IFERROR(__xludf.DUMMYFUNCTION("""COMPUTED_VALUE"""),45649.0)</f>
        <v>45649</v>
      </c>
      <c r="F120" s="147">
        <f>IFERROR(__xludf.DUMMYFUNCTION("""COMPUTED_VALUE"""),45670.0)</f>
        <v>45670</v>
      </c>
      <c r="G120" s="146" t="str">
        <f>IFERROR(__xludf.DUMMYFUNCTION("""COMPUTED_VALUE"""),"D40-2L-1")</f>
        <v>D40-2L-1</v>
      </c>
      <c r="H120" s="148">
        <f>IFERROR(__xludf.DUMMYFUNCTION("""COMPUTED_VALUE"""),265.0)</f>
        <v>265</v>
      </c>
      <c r="I120" s="148">
        <f>IFERROR(__xludf.DUMMYFUNCTION("""COMPUTED_VALUE"""),285.0)</f>
        <v>285</v>
      </c>
      <c r="J120" s="146">
        <f>IFERROR(__xludf.DUMMYFUNCTION("""COMPUTED_VALUE"""),11.0)</f>
        <v>11</v>
      </c>
      <c r="K120" s="146">
        <f>IFERROR(__xludf.DUMMYFUNCTION("""COMPUTED_VALUE"""),11.0)</f>
        <v>11</v>
      </c>
      <c r="L120" s="146"/>
      <c r="M120" s="146"/>
      <c r="N120" s="146"/>
      <c r="O120" s="146"/>
      <c r="P120" s="146">
        <f>IFERROR(__xludf.DUMMYFUNCTION("""COMPUTED_VALUE"""),85.0)</f>
        <v>85</v>
      </c>
      <c r="Q120" s="146"/>
      <c r="R120" s="146"/>
      <c r="T120" s="131" t="str">
        <f>IFERROR(__xludf.DUMMYFUNCTION("""COMPUTED_VALUE"""),"Y")</f>
        <v>Y</v>
      </c>
      <c r="U120" s="131" t="str">
        <f>IFERROR(__xludf.DUMMYFUNCTION("""COMPUTED_VALUE"""),"4")</f>
        <v>4</v>
      </c>
      <c r="V120" s="131"/>
      <c r="W120" s="144">
        <f>IFERROR(__xludf.DUMMYFUNCTION("""COMPUTED_VALUE"""),45643.0)</f>
        <v>45643</v>
      </c>
      <c r="X120" s="144">
        <f>IFERROR(__xludf.DUMMYFUNCTION("""COMPUTED_VALUE"""),45650.0)</f>
        <v>45650</v>
      </c>
      <c r="Y120" s="144">
        <f>IFERROR(__xludf.DUMMYFUNCTION("""COMPUTED_VALUE"""),45671.0)</f>
        <v>45671</v>
      </c>
      <c r="Z120" s="131" t="str">
        <f>IFERROR(__xludf.DUMMYFUNCTION("""COMPUTED_VALUE"""),"D40-2L-1")</f>
        <v>D40-2L-1</v>
      </c>
      <c r="AA120" s="131">
        <f>IFERROR(__xludf.DUMMYFUNCTION("""COMPUTED_VALUE"""),141.0)</f>
        <v>141</v>
      </c>
      <c r="AB120" s="131">
        <f>IFERROR(__xludf.DUMMYFUNCTION("""COMPUTED_VALUE"""),199.0)</f>
        <v>199</v>
      </c>
      <c r="AC120" s="131">
        <f>IFERROR(__xludf.DUMMYFUNCTION("""COMPUTED_VALUE"""),30.0)</f>
        <v>30</v>
      </c>
      <c r="AD120" s="131">
        <f>IFERROR(__xludf.DUMMYFUNCTION("""COMPUTED_VALUE"""),30.0)</f>
        <v>30</v>
      </c>
      <c r="AE120" s="131">
        <f>IFERROR(__xludf.DUMMYFUNCTION("""COMPUTED_VALUE"""),204.0)</f>
        <v>204</v>
      </c>
      <c r="AF120" s="131">
        <f>IFERROR(__xludf.DUMMYFUNCTION("""COMPUTED_VALUE"""),322.0)</f>
        <v>322</v>
      </c>
      <c r="AG120" s="131">
        <f>IFERROR(__xludf.DUMMYFUNCTION("""COMPUTED_VALUE"""),60.0)</f>
        <v>60</v>
      </c>
      <c r="AH120" s="131">
        <f>IFERROR(__xludf.DUMMYFUNCTION("""COMPUTED_VALUE"""),60.0)</f>
        <v>60</v>
      </c>
      <c r="AI120" s="131">
        <f>IFERROR(__xludf.DUMMYFUNCTION("""COMPUTED_VALUE"""),88.0)</f>
        <v>88</v>
      </c>
      <c r="AJ120" s="131"/>
      <c r="AK120" s="131"/>
    </row>
    <row r="121">
      <c r="A121" s="145" t="str">
        <f>IFERROR(__xludf.DUMMYFUNCTION("""COMPUTED_VALUE"""),"Y")</f>
        <v>Y</v>
      </c>
      <c r="B121" s="146" t="str">
        <f>IFERROR(__xludf.DUMMYFUNCTION("""COMPUTED_VALUE"""),"4")</f>
        <v>4</v>
      </c>
      <c r="C121" s="146"/>
      <c r="D121" s="147">
        <f>IFERROR(__xludf.DUMMYFUNCTION("""COMPUTED_VALUE"""),45643.0)</f>
        <v>45643</v>
      </c>
      <c r="E121" s="147">
        <f>IFERROR(__xludf.DUMMYFUNCTION("""COMPUTED_VALUE"""),45650.0)</f>
        <v>45650</v>
      </c>
      <c r="F121" s="147">
        <f>IFERROR(__xludf.DUMMYFUNCTION("""COMPUTED_VALUE"""),45671.0)</f>
        <v>45671</v>
      </c>
      <c r="G121" s="146" t="str">
        <f>IFERROR(__xludf.DUMMYFUNCTION("""COMPUTED_VALUE"""),"D40-2L-1")</f>
        <v>D40-2L-1</v>
      </c>
      <c r="H121" s="148">
        <f>IFERROR(__xludf.DUMMYFUNCTION("""COMPUTED_VALUE"""),141.0)</f>
        <v>141</v>
      </c>
      <c r="I121" s="148">
        <f>IFERROR(__xludf.DUMMYFUNCTION("""COMPUTED_VALUE"""),199.0)</f>
        <v>199</v>
      </c>
      <c r="J121" s="146">
        <f>IFERROR(__xludf.DUMMYFUNCTION("""COMPUTED_VALUE"""),30.0)</f>
        <v>30</v>
      </c>
      <c r="K121" s="146">
        <f>IFERROR(__xludf.DUMMYFUNCTION("""COMPUTED_VALUE"""),30.0)</f>
        <v>30</v>
      </c>
      <c r="L121" s="146">
        <f>IFERROR(__xludf.DUMMYFUNCTION("""COMPUTED_VALUE"""),204.0)</f>
        <v>204</v>
      </c>
      <c r="M121" s="146">
        <f>IFERROR(__xludf.DUMMYFUNCTION("""COMPUTED_VALUE"""),322.0)</f>
        <v>322</v>
      </c>
      <c r="N121" s="146">
        <f>IFERROR(__xludf.DUMMYFUNCTION("""COMPUTED_VALUE"""),60.0)</f>
        <v>60</v>
      </c>
      <c r="O121" s="146">
        <f>IFERROR(__xludf.DUMMYFUNCTION("""COMPUTED_VALUE"""),60.0)</f>
        <v>60</v>
      </c>
      <c r="P121" s="146">
        <f>IFERROR(__xludf.DUMMYFUNCTION("""COMPUTED_VALUE"""),88.0)</f>
        <v>88</v>
      </c>
      <c r="Q121" s="146"/>
      <c r="R121" s="146"/>
      <c r="T121" s="131" t="str">
        <f>IFERROR(__xludf.DUMMYFUNCTION("""COMPUTED_VALUE"""),"Y")</f>
        <v>Y</v>
      </c>
      <c r="U121" s="131" t="str">
        <f>IFERROR(__xludf.DUMMYFUNCTION("""COMPUTED_VALUE"""),"4")</f>
        <v>4</v>
      </c>
      <c r="V121" s="131"/>
      <c r="W121" s="144">
        <f>IFERROR(__xludf.DUMMYFUNCTION("""COMPUTED_VALUE"""),45643.0)</f>
        <v>45643</v>
      </c>
      <c r="X121" s="144">
        <f>IFERROR(__xludf.DUMMYFUNCTION("""COMPUTED_VALUE"""),45650.0)</f>
        <v>45650</v>
      </c>
      <c r="Y121" s="144">
        <f>IFERROR(__xludf.DUMMYFUNCTION("""COMPUTED_VALUE"""),45671.0)</f>
        <v>45671</v>
      </c>
      <c r="Z121" s="131" t="str">
        <f>IFERROR(__xludf.DUMMYFUNCTION("""COMPUTED_VALUE"""),"BRG12")</f>
        <v>BRG12</v>
      </c>
      <c r="AA121" s="131">
        <f>IFERROR(__xludf.DUMMYFUNCTION("""COMPUTED_VALUE"""),1659.0)</f>
        <v>1659</v>
      </c>
      <c r="AB121" s="131">
        <f>IFERROR(__xludf.DUMMYFUNCTION("""COMPUTED_VALUE"""),1717.0)</f>
        <v>1717</v>
      </c>
      <c r="AC121" s="131">
        <f>IFERROR(__xludf.DUMMYFUNCTION("""COMPUTED_VALUE"""),30.0)</f>
        <v>30</v>
      </c>
      <c r="AD121" s="131">
        <f>IFERROR(__xludf.DUMMYFUNCTION("""COMPUTED_VALUE"""),30.0)</f>
        <v>30</v>
      </c>
      <c r="AE121" s="131">
        <f>IFERROR(__xludf.DUMMYFUNCTION("""COMPUTED_VALUE"""),1588.0)</f>
        <v>1588</v>
      </c>
      <c r="AF121" s="131">
        <f>IFERROR(__xludf.DUMMYFUNCTION("""COMPUTED_VALUE"""),1604.0)</f>
        <v>1604</v>
      </c>
      <c r="AG121" s="131">
        <f>IFERROR(__xludf.DUMMYFUNCTION("""COMPUTED_VALUE"""),9.0)</f>
        <v>9</v>
      </c>
      <c r="AH121" s="131">
        <f>IFERROR(__xludf.DUMMYFUNCTION("""COMPUTED_VALUE"""),9.0)</f>
        <v>9</v>
      </c>
      <c r="AI121" s="131">
        <f>IFERROR(__xludf.DUMMYFUNCTION("""COMPUTED_VALUE"""),87.0)</f>
        <v>87</v>
      </c>
      <c r="AJ121" s="131"/>
      <c r="AK121" s="131"/>
    </row>
    <row r="122">
      <c r="A122" s="145" t="str">
        <f>IFERROR(__xludf.DUMMYFUNCTION("""COMPUTED_VALUE"""),"Y")</f>
        <v>Y</v>
      </c>
      <c r="B122" s="146" t="str">
        <f>IFERROR(__xludf.DUMMYFUNCTION("""COMPUTED_VALUE"""),"4")</f>
        <v>4</v>
      </c>
      <c r="C122" s="146"/>
      <c r="D122" s="147">
        <f>IFERROR(__xludf.DUMMYFUNCTION("""COMPUTED_VALUE"""),45643.0)</f>
        <v>45643</v>
      </c>
      <c r="E122" s="147">
        <f>IFERROR(__xludf.DUMMYFUNCTION("""COMPUTED_VALUE"""),45650.0)</f>
        <v>45650</v>
      </c>
      <c r="F122" s="147">
        <f>IFERROR(__xludf.DUMMYFUNCTION("""COMPUTED_VALUE"""),45671.0)</f>
        <v>45671</v>
      </c>
      <c r="G122" s="146" t="str">
        <f>IFERROR(__xludf.DUMMYFUNCTION("""COMPUTED_VALUE"""),"BRG12")</f>
        <v>BRG12</v>
      </c>
      <c r="H122" s="148">
        <f>IFERROR(__xludf.DUMMYFUNCTION("""COMPUTED_VALUE"""),1659.0)</f>
        <v>1659</v>
      </c>
      <c r="I122" s="148">
        <f>IFERROR(__xludf.DUMMYFUNCTION("""COMPUTED_VALUE"""),1717.0)</f>
        <v>1717</v>
      </c>
      <c r="J122" s="146">
        <f>IFERROR(__xludf.DUMMYFUNCTION("""COMPUTED_VALUE"""),30.0)</f>
        <v>30</v>
      </c>
      <c r="K122" s="146">
        <f>IFERROR(__xludf.DUMMYFUNCTION("""COMPUTED_VALUE"""),30.0)</f>
        <v>30</v>
      </c>
      <c r="L122" s="146">
        <f>IFERROR(__xludf.DUMMYFUNCTION("""COMPUTED_VALUE"""),1588.0)</f>
        <v>1588</v>
      </c>
      <c r="M122" s="146">
        <f>IFERROR(__xludf.DUMMYFUNCTION("""COMPUTED_VALUE"""),1604.0)</f>
        <v>1604</v>
      </c>
      <c r="N122" s="146">
        <f>IFERROR(__xludf.DUMMYFUNCTION("""COMPUTED_VALUE"""),9.0)</f>
        <v>9</v>
      </c>
      <c r="O122" s="146">
        <f>IFERROR(__xludf.DUMMYFUNCTION("""COMPUTED_VALUE"""),9.0)</f>
        <v>9</v>
      </c>
      <c r="P122" s="146">
        <f>IFERROR(__xludf.DUMMYFUNCTION("""COMPUTED_VALUE"""),87.0)</f>
        <v>87</v>
      </c>
      <c r="Q122" s="146"/>
      <c r="R122" s="146"/>
      <c r="T122" s="131" t="str">
        <f>IFERROR(__xludf.DUMMYFUNCTION("""COMPUTED_VALUE"""),"Y")</f>
        <v>Y</v>
      </c>
      <c r="U122" s="131" t="str">
        <f>IFERROR(__xludf.DUMMYFUNCTION("""COMPUTED_VALUE"""),"4")</f>
        <v>4</v>
      </c>
      <c r="V122" s="131"/>
      <c r="W122" s="144">
        <f>IFERROR(__xludf.DUMMYFUNCTION("""COMPUTED_VALUE"""),45644.0)</f>
        <v>45644</v>
      </c>
      <c r="X122" s="144">
        <f>IFERROR(__xludf.DUMMYFUNCTION("""COMPUTED_VALUE"""),45651.0)</f>
        <v>45651</v>
      </c>
      <c r="Y122" s="144">
        <f>IFERROR(__xludf.DUMMYFUNCTION("""COMPUTED_VALUE"""),45672.0)</f>
        <v>45672</v>
      </c>
      <c r="Z122" s="131" t="str">
        <f>IFERROR(__xludf.DUMMYFUNCTION("""COMPUTED_VALUE"""),"BRG12")</f>
        <v>BRG12</v>
      </c>
      <c r="AA122" s="131">
        <f>IFERROR(__xludf.DUMMYFUNCTION("""COMPUTED_VALUE"""),1719.0)</f>
        <v>1719</v>
      </c>
      <c r="AB122" s="131">
        <f>IFERROR(__xludf.DUMMYFUNCTION("""COMPUTED_VALUE"""),1731.0)</f>
        <v>1731</v>
      </c>
      <c r="AC122" s="131">
        <f>IFERROR(__xludf.DUMMYFUNCTION("""COMPUTED_VALUE"""),7.0)</f>
        <v>7</v>
      </c>
      <c r="AD122" s="131">
        <f>IFERROR(__xludf.DUMMYFUNCTION("""COMPUTED_VALUE"""),7.0)</f>
        <v>7</v>
      </c>
      <c r="AE122" s="131">
        <f>IFERROR(__xludf.DUMMYFUNCTION("""COMPUTED_VALUE"""),1606.0)</f>
        <v>1606</v>
      </c>
      <c r="AF122" s="131">
        <f>IFERROR(__xludf.DUMMYFUNCTION("""COMPUTED_VALUE"""),1666.0)</f>
        <v>1666</v>
      </c>
      <c r="AG122" s="131">
        <f>IFERROR(__xludf.DUMMYFUNCTION("""COMPUTED_VALUE"""),31.0)</f>
        <v>31</v>
      </c>
      <c r="AH122" s="131">
        <f>IFERROR(__xludf.DUMMYFUNCTION("""COMPUTED_VALUE"""),31.0)</f>
        <v>31</v>
      </c>
      <c r="AI122" s="131">
        <f>IFERROR(__xludf.DUMMYFUNCTION("""COMPUTED_VALUE"""),89.0)</f>
        <v>89</v>
      </c>
      <c r="AJ122" s="131"/>
      <c r="AK122" s="131"/>
    </row>
    <row r="123">
      <c r="A123" s="145" t="str">
        <f>IFERROR(__xludf.DUMMYFUNCTION("""COMPUTED_VALUE"""),"Y")</f>
        <v>Y</v>
      </c>
      <c r="B123" s="146" t="str">
        <f>IFERROR(__xludf.DUMMYFUNCTION("""COMPUTED_VALUE"""),"4")</f>
        <v>4</v>
      </c>
      <c r="C123" s="146"/>
      <c r="D123" s="147">
        <f>IFERROR(__xludf.DUMMYFUNCTION("""COMPUTED_VALUE"""),45644.0)</f>
        <v>45644</v>
      </c>
      <c r="E123" s="147">
        <f>IFERROR(__xludf.DUMMYFUNCTION("""COMPUTED_VALUE"""),45651.0)</f>
        <v>45651</v>
      </c>
      <c r="F123" s="147">
        <f>IFERROR(__xludf.DUMMYFUNCTION("""COMPUTED_VALUE"""),45672.0)</f>
        <v>45672</v>
      </c>
      <c r="G123" s="146" t="str">
        <f>IFERROR(__xludf.DUMMYFUNCTION("""COMPUTED_VALUE"""),"BRG12")</f>
        <v>BRG12</v>
      </c>
      <c r="H123" s="148">
        <f>IFERROR(__xludf.DUMMYFUNCTION("""COMPUTED_VALUE"""),1719.0)</f>
        <v>1719</v>
      </c>
      <c r="I123" s="148">
        <f>IFERROR(__xludf.DUMMYFUNCTION("""COMPUTED_VALUE"""),1731.0)</f>
        <v>1731</v>
      </c>
      <c r="J123" s="146">
        <f>IFERROR(__xludf.DUMMYFUNCTION("""COMPUTED_VALUE"""),7.0)</f>
        <v>7</v>
      </c>
      <c r="K123" s="146">
        <f>IFERROR(__xludf.DUMMYFUNCTION("""COMPUTED_VALUE"""),7.0)</f>
        <v>7</v>
      </c>
      <c r="L123" s="146">
        <f>IFERROR(__xludf.DUMMYFUNCTION("""COMPUTED_VALUE"""),1606.0)</f>
        <v>1606</v>
      </c>
      <c r="M123" s="146">
        <f>IFERROR(__xludf.DUMMYFUNCTION("""COMPUTED_VALUE"""),1666.0)</f>
        <v>1666</v>
      </c>
      <c r="N123" s="146">
        <f>IFERROR(__xludf.DUMMYFUNCTION("""COMPUTED_VALUE"""),31.0)</f>
        <v>31</v>
      </c>
      <c r="O123" s="146">
        <f>IFERROR(__xludf.DUMMYFUNCTION("""COMPUTED_VALUE"""),31.0)</f>
        <v>31</v>
      </c>
      <c r="P123" s="146">
        <f>IFERROR(__xludf.DUMMYFUNCTION("""COMPUTED_VALUE"""),89.0)</f>
        <v>89</v>
      </c>
      <c r="Q123" s="146"/>
      <c r="R123" s="146"/>
      <c r="T123" s="131" t="str">
        <f>IFERROR(__xludf.DUMMYFUNCTION("""COMPUTED_VALUE"""),"Y")</f>
        <v>Y</v>
      </c>
      <c r="U123" s="131" t="str">
        <f>IFERROR(__xludf.DUMMYFUNCTION("""COMPUTED_VALUE"""),"4")</f>
        <v>4</v>
      </c>
      <c r="V123" s="131"/>
      <c r="W123" s="144">
        <f>IFERROR(__xludf.DUMMYFUNCTION("""COMPUTED_VALUE"""),45645.0)</f>
        <v>45645</v>
      </c>
      <c r="X123" s="144">
        <f>IFERROR(__xludf.DUMMYFUNCTION("""COMPUTED_VALUE"""),45652.0)</f>
        <v>45652</v>
      </c>
      <c r="Y123" s="144">
        <f>IFERROR(__xludf.DUMMYFUNCTION("""COMPUTED_VALUE"""),45673.0)</f>
        <v>45673</v>
      </c>
      <c r="Z123" s="131" t="str">
        <f>IFERROR(__xludf.DUMMYFUNCTION("""COMPUTED_VALUE"""),"D40-4L-1")</f>
        <v>D40-4L-1</v>
      </c>
      <c r="AA123" s="131"/>
      <c r="AB123" s="131"/>
      <c r="AC123" s="131"/>
      <c r="AD123" s="131"/>
      <c r="AE123" s="131">
        <f>IFERROR(__xludf.DUMMYFUNCTION("""COMPUTED_VALUE"""),6.0)</f>
        <v>6</v>
      </c>
      <c r="AF123" s="131">
        <f>IFERROR(__xludf.DUMMYFUNCTION("""COMPUTED_VALUE"""),130.0)</f>
        <v>130</v>
      </c>
      <c r="AG123" s="131">
        <f>IFERROR(__xludf.DUMMYFUNCTION("""COMPUTED_VALUE"""),63.0)</f>
        <v>63</v>
      </c>
      <c r="AH123" s="131">
        <f>IFERROR(__xludf.DUMMYFUNCTION("""COMPUTED_VALUE"""),63.0)</f>
        <v>63</v>
      </c>
      <c r="AI123" s="131">
        <f>IFERROR(__xludf.DUMMYFUNCTION("""COMPUTED_VALUE"""),90.0)</f>
        <v>90</v>
      </c>
      <c r="AJ123" s="131"/>
      <c r="AK123" s="131"/>
    </row>
    <row r="124">
      <c r="A124" s="145" t="str">
        <f>IFERROR(__xludf.DUMMYFUNCTION("""COMPUTED_VALUE"""),"Y")</f>
        <v>Y</v>
      </c>
      <c r="B124" s="146" t="str">
        <f>IFERROR(__xludf.DUMMYFUNCTION("""COMPUTED_VALUE"""),"4")</f>
        <v>4</v>
      </c>
      <c r="C124" s="146"/>
      <c r="D124" s="147">
        <f>IFERROR(__xludf.DUMMYFUNCTION("""COMPUTED_VALUE"""),45645.0)</f>
        <v>45645</v>
      </c>
      <c r="E124" s="147">
        <f>IFERROR(__xludf.DUMMYFUNCTION("""COMPUTED_VALUE"""),45652.0)</f>
        <v>45652</v>
      </c>
      <c r="F124" s="147">
        <f>IFERROR(__xludf.DUMMYFUNCTION("""COMPUTED_VALUE"""),45673.0)</f>
        <v>45673</v>
      </c>
      <c r="G124" s="146" t="str">
        <f>IFERROR(__xludf.DUMMYFUNCTION("""COMPUTED_VALUE"""),"D40-4L-1")</f>
        <v>D40-4L-1</v>
      </c>
      <c r="H124" s="148"/>
      <c r="I124" s="148"/>
      <c r="J124" s="146"/>
      <c r="K124" s="146"/>
      <c r="L124" s="146">
        <f>IFERROR(__xludf.DUMMYFUNCTION("""COMPUTED_VALUE"""),6.0)</f>
        <v>6</v>
      </c>
      <c r="M124" s="146">
        <f>IFERROR(__xludf.DUMMYFUNCTION("""COMPUTED_VALUE"""),130.0)</f>
        <v>130</v>
      </c>
      <c r="N124" s="146">
        <f>IFERROR(__xludf.DUMMYFUNCTION("""COMPUTED_VALUE"""),63.0)</f>
        <v>63</v>
      </c>
      <c r="O124" s="146">
        <f>IFERROR(__xludf.DUMMYFUNCTION("""COMPUTED_VALUE"""),63.0)</f>
        <v>63</v>
      </c>
      <c r="P124" s="146">
        <f>IFERROR(__xludf.DUMMYFUNCTION("""COMPUTED_VALUE"""),90.0)</f>
        <v>90</v>
      </c>
      <c r="Q124" s="146"/>
      <c r="R124" s="146"/>
      <c r="T124" s="131" t="str">
        <f>IFERROR(__xludf.DUMMYFUNCTION("""COMPUTED_VALUE"""),"Y")</f>
        <v>Y</v>
      </c>
      <c r="U124" s="131" t="str">
        <f>IFERROR(__xludf.DUMMYFUNCTION("""COMPUTED_VALUE"""),"4")</f>
        <v>4</v>
      </c>
      <c r="V124" s="131"/>
      <c r="W124" s="144">
        <f>IFERROR(__xludf.DUMMYFUNCTION("""COMPUTED_VALUE"""),45645.0)</f>
        <v>45645</v>
      </c>
      <c r="X124" s="144">
        <f>IFERROR(__xludf.DUMMYFUNCTION("""COMPUTED_VALUE"""),45652.0)</f>
        <v>45652</v>
      </c>
      <c r="Y124" s="144">
        <f>IFERROR(__xludf.DUMMYFUNCTION("""COMPUTED_VALUE"""),45673.0)</f>
        <v>45673</v>
      </c>
      <c r="Z124" s="131" t="str">
        <f>IFERROR(__xludf.DUMMYFUNCTION("""COMPUTED_VALUE"""),"D40-2L-1")</f>
        <v>D40-2L-1</v>
      </c>
      <c r="AA124" s="131">
        <f>IFERROR(__xludf.DUMMYFUNCTION("""COMPUTED_VALUE"""),287.0)</f>
        <v>287</v>
      </c>
      <c r="AB124" s="131">
        <f>IFERROR(__xludf.DUMMYFUNCTION("""COMPUTED_VALUE"""),311.0)</f>
        <v>311</v>
      </c>
      <c r="AC124" s="131">
        <f>IFERROR(__xludf.DUMMYFUNCTION("""COMPUTED_VALUE"""),13.0)</f>
        <v>13</v>
      </c>
      <c r="AD124" s="131">
        <f>IFERROR(__xludf.DUMMYFUNCTION("""COMPUTED_VALUE"""),13.0)</f>
        <v>13</v>
      </c>
      <c r="AE124" s="131"/>
      <c r="AF124" s="131"/>
      <c r="AG124" s="131"/>
      <c r="AH124" s="131"/>
      <c r="AI124" s="131">
        <f>IFERROR(__xludf.DUMMYFUNCTION("""COMPUTED_VALUE"""),90.0)</f>
        <v>90</v>
      </c>
      <c r="AJ124" s="131"/>
      <c r="AK124" s="131"/>
    </row>
    <row r="125">
      <c r="A125" s="145" t="str">
        <f>IFERROR(__xludf.DUMMYFUNCTION("""COMPUTED_VALUE"""),"Y")</f>
        <v>Y</v>
      </c>
      <c r="B125" s="146" t="str">
        <f>IFERROR(__xludf.DUMMYFUNCTION("""COMPUTED_VALUE"""),"4")</f>
        <v>4</v>
      </c>
      <c r="C125" s="146"/>
      <c r="D125" s="147">
        <f>IFERROR(__xludf.DUMMYFUNCTION("""COMPUTED_VALUE"""),45645.0)</f>
        <v>45645</v>
      </c>
      <c r="E125" s="147">
        <f>IFERROR(__xludf.DUMMYFUNCTION("""COMPUTED_VALUE"""),45652.0)</f>
        <v>45652</v>
      </c>
      <c r="F125" s="147">
        <f>IFERROR(__xludf.DUMMYFUNCTION("""COMPUTED_VALUE"""),45673.0)</f>
        <v>45673</v>
      </c>
      <c r="G125" s="146" t="str">
        <f>IFERROR(__xludf.DUMMYFUNCTION("""COMPUTED_VALUE"""),"D40-2L-1")</f>
        <v>D40-2L-1</v>
      </c>
      <c r="H125" s="148">
        <f>IFERROR(__xludf.DUMMYFUNCTION("""COMPUTED_VALUE"""),287.0)</f>
        <v>287</v>
      </c>
      <c r="I125" s="148">
        <f>IFERROR(__xludf.DUMMYFUNCTION("""COMPUTED_VALUE"""),311.0)</f>
        <v>311</v>
      </c>
      <c r="J125" s="146">
        <f>IFERROR(__xludf.DUMMYFUNCTION("""COMPUTED_VALUE"""),13.0)</f>
        <v>13</v>
      </c>
      <c r="K125" s="146">
        <f>IFERROR(__xludf.DUMMYFUNCTION("""COMPUTED_VALUE"""),13.0)</f>
        <v>13</v>
      </c>
      <c r="L125" s="146"/>
      <c r="M125" s="146"/>
      <c r="N125" s="146"/>
      <c r="O125" s="146"/>
      <c r="P125" s="146">
        <f>IFERROR(__xludf.DUMMYFUNCTION("""COMPUTED_VALUE"""),90.0)</f>
        <v>90</v>
      </c>
      <c r="Q125" s="146"/>
      <c r="R125" s="146"/>
      <c r="T125" s="131" t="str">
        <f>IFERROR(__xludf.DUMMYFUNCTION("""COMPUTED_VALUE"""),"Y")</f>
        <v>Y</v>
      </c>
      <c r="U125" s="131" t="str">
        <f>IFERROR(__xludf.DUMMYFUNCTION("""COMPUTED_VALUE"""),"4")</f>
        <v>4</v>
      </c>
      <c r="V125" s="131"/>
      <c r="W125" s="144">
        <f>IFERROR(__xludf.DUMMYFUNCTION("""COMPUTED_VALUE"""),45645.0)</f>
        <v>45645</v>
      </c>
      <c r="X125" s="144">
        <f>IFERROR(__xludf.DUMMYFUNCTION("""COMPUTED_VALUE"""),45652.0)</f>
        <v>45652</v>
      </c>
      <c r="Y125" s="144">
        <f>IFERROR(__xludf.DUMMYFUNCTION("""COMPUTED_VALUE"""),45673.0)</f>
        <v>45673</v>
      </c>
      <c r="Z125" s="131" t="str">
        <f>IFERROR(__xludf.DUMMYFUNCTION("""COMPUTED_VALUE"""),"D40-2L-1")</f>
        <v>D40-2L-1</v>
      </c>
      <c r="AA125" s="131">
        <f>IFERROR(__xludf.DUMMYFUNCTION("""COMPUTED_VALUE"""),315.0)</f>
        <v>315</v>
      </c>
      <c r="AB125" s="131">
        <f>IFERROR(__xludf.DUMMYFUNCTION("""COMPUTED_VALUE"""),351.0)</f>
        <v>351</v>
      </c>
      <c r="AC125" s="131">
        <f>IFERROR(__xludf.DUMMYFUNCTION("""COMPUTED_VALUE"""),19.0)</f>
        <v>19</v>
      </c>
      <c r="AD125" s="131">
        <f>IFERROR(__xludf.DUMMYFUNCTION("""COMPUTED_VALUE"""),19.0)</f>
        <v>19</v>
      </c>
      <c r="AE125" s="131"/>
      <c r="AF125" s="131"/>
      <c r="AG125" s="131"/>
      <c r="AH125" s="131"/>
      <c r="AI125" s="131">
        <f>IFERROR(__xludf.DUMMYFUNCTION("""COMPUTED_VALUE"""),90.0)</f>
        <v>90</v>
      </c>
      <c r="AJ125" s="131"/>
      <c r="AK125" s="131"/>
    </row>
    <row r="126">
      <c r="A126" s="145" t="str">
        <f>IFERROR(__xludf.DUMMYFUNCTION("""COMPUTED_VALUE"""),"Y")</f>
        <v>Y</v>
      </c>
      <c r="B126" s="146" t="str">
        <f>IFERROR(__xludf.DUMMYFUNCTION("""COMPUTED_VALUE"""),"4")</f>
        <v>4</v>
      </c>
      <c r="C126" s="146"/>
      <c r="D126" s="147">
        <f>IFERROR(__xludf.DUMMYFUNCTION("""COMPUTED_VALUE"""),45645.0)</f>
        <v>45645</v>
      </c>
      <c r="E126" s="147">
        <f>IFERROR(__xludf.DUMMYFUNCTION("""COMPUTED_VALUE"""),45652.0)</f>
        <v>45652</v>
      </c>
      <c r="F126" s="147">
        <f>IFERROR(__xludf.DUMMYFUNCTION("""COMPUTED_VALUE"""),45673.0)</f>
        <v>45673</v>
      </c>
      <c r="G126" s="146" t="str">
        <f>IFERROR(__xludf.DUMMYFUNCTION("""COMPUTED_VALUE"""),"D40-2L-1")</f>
        <v>D40-2L-1</v>
      </c>
      <c r="H126" s="148">
        <f>IFERROR(__xludf.DUMMYFUNCTION("""COMPUTED_VALUE"""),315.0)</f>
        <v>315</v>
      </c>
      <c r="I126" s="148">
        <f>IFERROR(__xludf.DUMMYFUNCTION("""COMPUTED_VALUE"""),351.0)</f>
        <v>351</v>
      </c>
      <c r="J126" s="146">
        <f>IFERROR(__xludf.DUMMYFUNCTION("""COMPUTED_VALUE"""),19.0)</f>
        <v>19</v>
      </c>
      <c r="K126" s="146">
        <f>IFERROR(__xludf.DUMMYFUNCTION("""COMPUTED_VALUE"""),19.0)</f>
        <v>19</v>
      </c>
      <c r="L126" s="146"/>
      <c r="M126" s="146"/>
      <c r="N126" s="146"/>
      <c r="O126" s="146"/>
      <c r="P126" s="146">
        <f>IFERROR(__xludf.DUMMYFUNCTION("""COMPUTED_VALUE"""),90.0)</f>
        <v>90</v>
      </c>
      <c r="Q126" s="146"/>
      <c r="R126" s="146"/>
      <c r="T126" s="131" t="str">
        <f>IFERROR(__xludf.DUMMYFUNCTION("""COMPUTED_VALUE"""),"Y")</f>
        <v>Y</v>
      </c>
      <c r="U126" s="131" t="str">
        <f>IFERROR(__xludf.DUMMYFUNCTION("""COMPUTED_VALUE"""),"4")</f>
        <v>4</v>
      </c>
      <c r="V126" s="131"/>
      <c r="W126" s="144">
        <f>IFERROR(__xludf.DUMMYFUNCTION("""COMPUTED_VALUE"""),45645.0)</f>
        <v>45645</v>
      </c>
      <c r="X126" s="144">
        <f>IFERROR(__xludf.DUMMYFUNCTION("""COMPUTED_VALUE"""),45652.0)</f>
        <v>45652</v>
      </c>
      <c r="Y126" s="144">
        <f>IFERROR(__xludf.DUMMYFUNCTION("""COMPUTED_VALUE"""),45673.0)</f>
        <v>45673</v>
      </c>
      <c r="Z126" s="131" t="str">
        <f>IFERROR(__xludf.DUMMYFUNCTION("""COMPUTED_VALUE"""),"D38-2L")</f>
        <v>D38-2L</v>
      </c>
      <c r="AA126" s="131"/>
      <c r="AB126" s="131"/>
      <c r="AC126" s="131"/>
      <c r="AD126" s="131"/>
      <c r="AE126" s="131">
        <f>IFERROR(__xludf.DUMMYFUNCTION("""COMPUTED_VALUE"""),138.0)</f>
        <v>138</v>
      </c>
      <c r="AF126" s="131">
        <f>IFERROR(__xludf.DUMMYFUNCTION("""COMPUTED_VALUE"""),308.0)</f>
        <v>308</v>
      </c>
      <c r="AG126" s="131">
        <f>IFERROR(__xludf.DUMMYFUNCTION("""COMPUTED_VALUE"""),86.0)</f>
        <v>86</v>
      </c>
      <c r="AH126" s="131">
        <f>IFERROR(__xludf.DUMMYFUNCTION("""COMPUTED_VALUE"""),86.0)</f>
        <v>86</v>
      </c>
      <c r="AI126" s="131">
        <f>IFERROR(__xludf.DUMMYFUNCTION("""COMPUTED_VALUE"""),91.0)</f>
        <v>91</v>
      </c>
      <c r="AJ126" s="131"/>
      <c r="AK126" s="131"/>
    </row>
    <row r="127">
      <c r="A127" s="145" t="str">
        <f>IFERROR(__xludf.DUMMYFUNCTION("""COMPUTED_VALUE"""),"Y")</f>
        <v>Y</v>
      </c>
      <c r="B127" s="146" t="str">
        <f>IFERROR(__xludf.DUMMYFUNCTION("""COMPUTED_VALUE"""),"4")</f>
        <v>4</v>
      </c>
      <c r="C127" s="146"/>
      <c r="D127" s="147">
        <f>IFERROR(__xludf.DUMMYFUNCTION("""COMPUTED_VALUE"""),45645.0)</f>
        <v>45645</v>
      </c>
      <c r="E127" s="147">
        <f>IFERROR(__xludf.DUMMYFUNCTION("""COMPUTED_VALUE"""),45652.0)</f>
        <v>45652</v>
      </c>
      <c r="F127" s="147">
        <f>IFERROR(__xludf.DUMMYFUNCTION("""COMPUTED_VALUE"""),45673.0)</f>
        <v>45673</v>
      </c>
      <c r="G127" s="146" t="str">
        <f>IFERROR(__xludf.DUMMYFUNCTION("""COMPUTED_VALUE"""),"D38-2L")</f>
        <v>D38-2L</v>
      </c>
      <c r="H127" s="148"/>
      <c r="I127" s="148"/>
      <c r="J127" s="146"/>
      <c r="K127" s="146"/>
      <c r="L127" s="146">
        <f>IFERROR(__xludf.DUMMYFUNCTION("""COMPUTED_VALUE"""),138.0)</f>
        <v>138</v>
      </c>
      <c r="M127" s="146">
        <f>IFERROR(__xludf.DUMMYFUNCTION("""COMPUTED_VALUE"""),308.0)</f>
        <v>308</v>
      </c>
      <c r="N127" s="146">
        <f>IFERROR(__xludf.DUMMYFUNCTION("""COMPUTED_VALUE"""),86.0)</f>
        <v>86</v>
      </c>
      <c r="O127" s="146">
        <f>IFERROR(__xludf.DUMMYFUNCTION("""COMPUTED_VALUE"""),86.0)</f>
        <v>86</v>
      </c>
      <c r="P127" s="146">
        <f>IFERROR(__xludf.DUMMYFUNCTION("""COMPUTED_VALUE"""),91.0)</f>
        <v>91</v>
      </c>
      <c r="Q127" s="146"/>
      <c r="R127" s="146"/>
      <c r="T127" s="131" t="str">
        <f>IFERROR(__xludf.DUMMYFUNCTION("""COMPUTED_VALUE"""),"Y")</f>
        <v>Y</v>
      </c>
      <c r="U127" s="131" t="str">
        <f>IFERROR(__xludf.DUMMYFUNCTION("""COMPUTED_VALUE"""),"4")</f>
        <v>4</v>
      </c>
      <c r="V127" s="131"/>
      <c r="W127" s="144">
        <f>IFERROR(__xludf.DUMMYFUNCTION("""COMPUTED_VALUE"""),45645.0)</f>
        <v>45645</v>
      </c>
      <c r="X127" s="144">
        <f>IFERROR(__xludf.DUMMYFUNCTION("""COMPUTED_VALUE"""),45652.0)</f>
        <v>45652</v>
      </c>
      <c r="Y127" s="144">
        <f>IFERROR(__xludf.DUMMYFUNCTION("""COMPUTED_VALUE"""),45673.0)</f>
        <v>45673</v>
      </c>
      <c r="Z127" s="131" t="str">
        <f>IFERROR(__xludf.DUMMYFUNCTION("""COMPUTED_VALUE"""),"BRG12")</f>
        <v>BRG12</v>
      </c>
      <c r="AA127" s="131">
        <f>IFERROR(__xludf.DUMMYFUNCTION("""COMPUTED_VALUE"""),1733.0)</f>
        <v>1733</v>
      </c>
      <c r="AB127" s="131">
        <f>IFERROR(__xludf.DUMMYFUNCTION("""COMPUTED_VALUE"""),1751.0)</f>
        <v>1751</v>
      </c>
      <c r="AC127" s="131">
        <f>IFERROR(__xludf.DUMMYFUNCTION("""COMPUTED_VALUE"""),10.0)</f>
        <v>10</v>
      </c>
      <c r="AD127" s="131">
        <f>IFERROR(__xludf.DUMMYFUNCTION("""COMPUTED_VALUE"""),10.0)</f>
        <v>10</v>
      </c>
      <c r="AE127" s="131"/>
      <c r="AF127" s="131"/>
      <c r="AG127" s="131"/>
      <c r="AH127" s="131"/>
      <c r="AI127" s="131">
        <f>IFERROR(__xludf.DUMMYFUNCTION("""COMPUTED_VALUE"""),92.0)</f>
        <v>92</v>
      </c>
      <c r="AJ127" s="131"/>
      <c r="AK127" s="131"/>
    </row>
    <row r="128">
      <c r="A128" s="145" t="str">
        <f>IFERROR(__xludf.DUMMYFUNCTION("""COMPUTED_VALUE"""),"Y")</f>
        <v>Y</v>
      </c>
      <c r="B128" s="146" t="str">
        <f>IFERROR(__xludf.DUMMYFUNCTION("""COMPUTED_VALUE"""),"4")</f>
        <v>4</v>
      </c>
      <c r="C128" s="146"/>
      <c r="D128" s="147">
        <f>IFERROR(__xludf.DUMMYFUNCTION("""COMPUTED_VALUE"""),45645.0)</f>
        <v>45645</v>
      </c>
      <c r="E128" s="147">
        <f>IFERROR(__xludf.DUMMYFUNCTION("""COMPUTED_VALUE"""),45652.0)</f>
        <v>45652</v>
      </c>
      <c r="F128" s="147">
        <f>IFERROR(__xludf.DUMMYFUNCTION("""COMPUTED_VALUE"""),45673.0)</f>
        <v>45673</v>
      </c>
      <c r="G128" s="146" t="str">
        <f>IFERROR(__xludf.DUMMYFUNCTION("""COMPUTED_VALUE"""),"BRG12")</f>
        <v>BRG12</v>
      </c>
      <c r="H128" s="148">
        <f>IFERROR(__xludf.DUMMYFUNCTION("""COMPUTED_VALUE"""),1733.0)</f>
        <v>1733</v>
      </c>
      <c r="I128" s="148">
        <f>IFERROR(__xludf.DUMMYFUNCTION("""COMPUTED_VALUE"""),1751.0)</f>
        <v>1751</v>
      </c>
      <c r="J128" s="146">
        <f>IFERROR(__xludf.DUMMYFUNCTION("""COMPUTED_VALUE"""),10.0)</f>
        <v>10</v>
      </c>
      <c r="K128" s="146">
        <f>IFERROR(__xludf.DUMMYFUNCTION("""COMPUTED_VALUE"""),10.0)</f>
        <v>10</v>
      </c>
      <c r="L128" s="146"/>
      <c r="M128" s="146"/>
      <c r="N128" s="146"/>
      <c r="O128" s="146"/>
      <c r="P128" s="146">
        <f>IFERROR(__xludf.DUMMYFUNCTION("""COMPUTED_VALUE"""),92.0)</f>
        <v>92</v>
      </c>
      <c r="Q128" s="146"/>
      <c r="R128" s="146"/>
      <c r="T128" s="131" t="str">
        <f>IFERROR(__xludf.DUMMYFUNCTION("""COMPUTED_VALUE"""),"Y")</f>
        <v>Y</v>
      </c>
      <c r="U128" s="131" t="str">
        <f>IFERROR(__xludf.DUMMYFUNCTION("""COMPUTED_VALUE"""),"4")</f>
        <v>4</v>
      </c>
      <c r="V128" s="131"/>
      <c r="W128" s="144">
        <f>IFERROR(__xludf.DUMMYFUNCTION("""COMPUTED_VALUE"""),45647.0)</f>
        <v>45647</v>
      </c>
      <c r="X128" s="144">
        <f>IFERROR(__xludf.DUMMYFUNCTION("""COMPUTED_VALUE"""),45654.0)</f>
        <v>45654</v>
      </c>
      <c r="Y128" s="144">
        <f>IFERROR(__xludf.DUMMYFUNCTION("""COMPUTED_VALUE"""),45675.0)</f>
        <v>45675</v>
      </c>
      <c r="Z128" s="131" t="str">
        <f>IFERROR(__xludf.DUMMYFUNCTION("""COMPUTED_VALUE"""),"BRG12")</f>
        <v>BRG12</v>
      </c>
      <c r="AA128" s="131">
        <f>IFERROR(__xludf.DUMMYFUNCTION("""COMPUTED_VALUE"""),1753.0)</f>
        <v>1753</v>
      </c>
      <c r="AB128" s="131">
        <f>IFERROR(__xludf.DUMMYFUNCTION("""COMPUTED_VALUE"""),1801.0)</f>
        <v>1801</v>
      </c>
      <c r="AC128" s="131">
        <f>IFERROR(__xludf.DUMMYFUNCTION("""COMPUTED_VALUE"""),25.0)</f>
        <v>25</v>
      </c>
      <c r="AD128" s="131">
        <f>IFERROR(__xludf.DUMMYFUNCTION("""COMPUTED_VALUE"""),25.0)</f>
        <v>25</v>
      </c>
      <c r="AE128" s="131">
        <f>IFERROR(__xludf.DUMMYFUNCTION("""COMPUTED_VALUE"""),1668.0)</f>
        <v>1668</v>
      </c>
      <c r="AF128" s="131">
        <f>IFERROR(__xludf.DUMMYFUNCTION("""COMPUTED_VALUE"""),1682.0)</f>
        <v>1682</v>
      </c>
      <c r="AG128" s="131">
        <f>IFERROR(__xludf.DUMMYFUNCTION("""COMPUTED_VALUE"""),8.0)</f>
        <v>8</v>
      </c>
      <c r="AH128" s="131">
        <f>IFERROR(__xludf.DUMMYFUNCTION("""COMPUTED_VALUE"""),8.0)</f>
        <v>8</v>
      </c>
      <c r="AI128" s="131">
        <f>IFERROR(__xludf.DUMMYFUNCTION("""COMPUTED_VALUE"""),93.0)</f>
        <v>93</v>
      </c>
      <c r="AJ128" s="131"/>
      <c r="AK128" s="131"/>
    </row>
    <row r="129">
      <c r="A129" s="145" t="str">
        <f>IFERROR(__xludf.DUMMYFUNCTION("""COMPUTED_VALUE"""),"Y")</f>
        <v>Y</v>
      </c>
      <c r="B129" s="146" t="str">
        <f>IFERROR(__xludf.DUMMYFUNCTION("""COMPUTED_VALUE"""),"4")</f>
        <v>4</v>
      </c>
      <c r="C129" s="146"/>
      <c r="D129" s="147">
        <f>IFERROR(__xludf.DUMMYFUNCTION("""COMPUTED_VALUE"""),45647.0)</f>
        <v>45647</v>
      </c>
      <c r="E129" s="147">
        <f>IFERROR(__xludf.DUMMYFUNCTION("""COMPUTED_VALUE"""),45654.0)</f>
        <v>45654</v>
      </c>
      <c r="F129" s="147">
        <f>IFERROR(__xludf.DUMMYFUNCTION("""COMPUTED_VALUE"""),45675.0)</f>
        <v>45675</v>
      </c>
      <c r="G129" s="146" t="str">
        <f>IFERROR(__xludf.DUMMYFUNCTION("""COMPUTED_VALUE"""),"BRG12")</f>
        <v>BRG12</v>
      </c>
      <c r="H129" s="148">
        <f>IFERROR(__xludf.DUMMYFUNCTION("""COMPUTED_VALUE"""),1753.0)</f>
        <v>1753</v>
      </c>
      <c r="I129" s="148">
        <f>IFERROR(__xludf.DUMMYFUNCTION("""COMPUTED_VALUE"""),1801.0)</f>
        <v>1801</v>
      </c>
      <c r="J129" s="146">
        <f>IFERROR(__xludf.DUMMYFUNCTION("""COMPUTED_VALUE"""),25.0)</f>
        <v>25</v>
      </c>
      <c r="K129" s="146">
        <f>IFERROR(__xludf.DUMMYFUNCTION("""COMPUTED_VALUE"""),25.0)</f>
        <v>25</v>
      </c>
      <c r="L129" s="146">
        <f>IFERROR(__xludf.DUMMYFUNCTION("""COMPUTED_VALUE"""),1668.0)</f>
        <v>1668</v>
      </c>
      <c r="M129" s="146">
        <f>IFERROR(__xludf.DUMMYFUNCTION("""COMPUTED_VALUE"""),1682.0)</f>
        <v>1682</v>
      </c>
      <c r="N129" s="146">
        <f>IFERROR(__xludf.DUMMYFUNCTION("""COMPUTED_VALUE"""),8.0)</f>
        <v>8</v>
      </c>
      <c r="O129" s="146">
        <f>IFERROR(__xludf.DUMMYFUNCTION("""COMPUTED_VALUE"""),8.0)</f>
        <v>8</v>
      </c>
      <c r="P129" s="146">
        <f>IFERROR(__xludf.DUMMYFUNCTION("""COMPUTED_VALUE"""),93.0)</f>
        <v>93</v>
      </c>
      <c r="Q129" s="146"/>
      <c r="R129" s="146"/>
      <c r="T129" s="131" t="str">
        <f>IFERROR(__xludf.DUMMYFUNCTION("""COMPUTED_VALUE"""),"Y")</f>
        <v>Y</v>
      </c>
      <c r="U129" s="131" t="str">
        <f>IFERROR(__xludf.DUMMYFUNCTION("""COMPUTED_VALUE"""),"4")</f>
        <v>4</v>
      </c>
      <c r="V129" s="131"/>
      <c r="W129" s="144">
        <f>IFERROR(__xludf.DUMMYFUNCTION("""COMPUTED_VALUE"""),45648.0)</f>
        <v>45648</v>
      </c>
      <c r="X129" s="144">
        <f>IFERROR(__xludf.DUMMYFUNCTION("""COMPUTED_VALUE"""),45655.0)</f>
        <v>45655</v>
      </c>
      <c r="Y129" s="144">
        <f>IFERROR(__xludf.DUMMYFUNCTION("""COMPUTED_VALUE"""),45676.0)</f>
        <v>45676</v>
      </c>
      <c r="Z129" s="131" t="str">
        <f>IFERROR(__xludf.DUMMYFUNCTION("""COMPUTED_VALUE"""),"D40-4L-1")</f>
        <v>D40-4L-1</v>
      </c>
      <c r="AA129" s="131">
        <f>IFERROR(__xludf.DUMMYFUNCTION("""COMPUTED_VALUE"""),7.0)</f>
        <v>7</v>
      </c>
      <c r="AB129" s="131">
        <f>IFERROR(__xludf.DUMMYFUNCTION("""COMPUTED_VALUE"""),129.0)</f>
        <v>129</v>
      </c>
      <c r="AC129" s="131">
        <f>IFERROR(__xludf.DUMMYFUNCTION("""COMPUTED_VALUE"""),62.0)</f>
        <v>62</v>
      </c>
      <c r="AD129" s="131">
        <f>IFERROR(__xludf.DUMMYFUNCTION("""COMPUTED_VALUE"""),62.0)</f>
        <v>62</v>
      </c>
      <c r="AE129" s="131">
        <f>IFERROR(__xludf.DUMMYFUNCTION("""COMPUTED_VALUE"""),132.0)</f>
        <v>132</v>
      </c>
      <c r="AF129" s="131">
        <f>IFERROR(__xludf.DUMMYFUNCTION("""COMPUTED_VALUE"""),154.0)</f>
        <v>154</v>
      </c>
      <c r="AG129" s="131">
        <f>IFERROR(__xludf.DUMMYFUNCTION("""COMPUTED_VALUE"""),12.0)</f>
        <v>12</v>
      </c>
      <c r="AH129" s="131">
        <f>IFERROR(__xludf.DUMMYFUNCTION("""COMPUTED_VALUE"""),12.0)</f>
        <v>12</v>
      </c>
      <c r="AI129" s="131">
        <f>IFERROR(__xludf.DUMMYFUNCTION("""COMPUTED_VALUE"""),95.0)</f>
        <v>95</v>
      </c>
      <c r="AJ129" s="131"/>
      <c r="AK129" s="131"/>
    </row>
    <row r="130">
      <c r="A130" s="145" t="str">
        <f>IFERROR(__xludf.DUMMYFUNCTION("""COMPUTED_VALUE"""),"Y")</f>
        <v>Y</v>
      </c>
      <c r="B130" s="146" t="str">
        <f>IFERROR(__xludf.DUMMYFUNCTION("""COMPUTED_VALUE"""),"4")</f>
        <v>4</v>
      </c>
      <c r="C130" s="146"/>
      <c r="D130" s="147">
        <f>IFERROR(__xludf.DUMMYFUNCTION("""COMPUTED_VALUE"""),45648.0)</f>
        <v>45648</v>
      </c>
      <c r="E130" s="147">
        <f>IFERROR(__xludf.DUMMYFUNCTION("""COMPUTED_VALUE"""),45655.0)</f>
        <v>45655</v>
      </c>
      <c r="F130" s="147">
        <f>IFERROR(__xludf.DUMMYFUNCTION("""COMPUTED_VALUE"""),45676.0)</f>
        <v>45676</v>
      </c>
      <c r="G130" s="146" t="str">
        <f>IFERROR(__xludf.DUMMYFUNCTION("""COMPUTED_VALUE"""),"D40-4L-1")</f>
        <v>D40-4L-1</v>
      </c>
      <c r="H130" s="148">
        <f>IFERROR(__xludf.DUMMYFUNCTION("""COMPUTED_VALUE"""),7.0)</f>
        <v>7</v>
      </c>
      <c r="I130" s="148">
        <f>IFERROR(__xludf.DUMMYFUNCTION("""COMPUTED_VALUE"""),129.0)</f>
        <v>129</v>
      </c>
      <c r="J130" s="146">
        <f>IFERROR(__xludf.DUMMYFUNCTION("""COMPUTED_VALUE"""),62.0)</f>
        <v>62</v>
      </c>
      <c r="K130" s="146">
        <f>IFERROR(__xludf.DUMMYFUNCTION("""COMPUTED_VALUE"""),62.0)</f>
        <v>62</v>
      </c>
      <c r="L130" s="146">
        <f>IFERROR(__xludf.DUMMYFUNCTION("""COMPUTED_VALUE"""),132.0)</f>
        <v>132</v>
      </c>
      <c r="M130" s="146">
        <f>IFERROR(__xludf.DUMMYFUNCTION("""COMPUTED_VALUE"""),154.0)</f>
        <v>154</v>
      </c>
      <c r="N130" s="146">
        <f>IFERROR(__xludf.DUMMYFUNCTION("""COMPUTED_VALUE"""),12.0)</f>
        <v>12</v>
      </c>
      <c r="O130" s="146">
        <f>IFERROR(__xludf.DUMMYFUNCTION("""COMPUTED_VALUE"""),12.0)</f>
        <v>12</v>
      </c>
      <c r="P130" s="146">
        <f>IFERROR(__xludf.DUMMYFUNCTION("""COMPUTED_VALUE"""),95.0)</f>
        <v>95</v>
      </c>
      <c r="Q130" s="146"/>
      <c r="R130" s="146"/>
      <c r="T130" s="131" t="str">
        <f>IFERROR(__xludf.DUMMYFUNCTION("""COMPUTED_VALUE"""),"Y")</f>
        <v>Y</v>
      </c>
      <c r="U130" s="131" t="str">
        <f>IFERROR(__xludf.DUMMYFUNCTION("""COMPUTED_VALUE"""),"4")</f>
        <v>4</v>
      </c>
      <c r="V130" s="131"/>
      <c r="W130" s="144">
        <f>IFERROR(__xludf.DUMMYFUNCTION("""COMPUTED_VALUE"""),45648.0)</f>
        <v>45648</v>
      </c>
      <c r="X130" s="144">
        <f>IFERROR(__xludf.DUMMYFUNCTION("""COMPUTED_VALUE"""),45655.0)</f>
        <v>45655</v>
      </c>
      <c r="Y130" s="144">
        <f>IFERROR(__xludf.DUMMYFUNCTION("""COMPUTED_VALUE"""),45676.0)</f>
        <v>45676</v>
      </c>
      <c r="Z130" s="131" t="str">
        <f>IFERROR(__xludf.DUMMYFUNCTION("""COMPUTED_VALUE"""),"BRG12")</f>
        <v>BRG12</v>
      </c>
      <c r="AA130" s="131">
        <f>IFERROR(__xludf.DUMMYFUNCTION("""COMPUTED_VALUE"""),1803.0)</f>
        <v>1803</v>
      </c>
      <c r="AB130" s="131">
        <f>IFERROR(__xludf.DUMMYFUNCTION("""COMPUTED_VALUE"""),1841.0)</f>
        <v>1841</v>
      </c>
      <c r="AC130" s="131">
        <f>IFERROR(__xludf.DUMMYFUNCTION("""COMPUTED_VALUE"""),20.0)</f>
        <v>20</v>
      </c>
      <c r="AD130" s="131">
        <f>IFERROR(__xludf.DUMMYFUNCTION("""COMPUTED_VALUE"""),20.0)</f>
        <v>20</v>
      </c>
      <c r="AE130" s="131">
        <f>IFERROR(__xludf.DUMMYFUNCTION("""COMPUTED_VALUE"""),1684.0)</f>
        <v>1684</v>
      </c>
      <c r="AF130" s="131">
        <f>IFERROR(__xludf.DUMMYFUNCTION("""COMPUTED_VALUE"""),1694.0)</f>
        <v>1694</v>
      </c>
      <c r="AG130" s="131">
        <f>IFERROR(__xludf.DUMMYFUNCTION("""COMPUTED_VALUE"""),6.0)</f>
        <v>6</v>
      </c>
      <c r="AH130" s="131">
        <f>IFERROR(__xludf.DUMMYFUNCTION("""COMPUTED_VALUE"""),6.0)</f>
        <v>6</v>
      </c>
      <c r="AI130" s="131">
        <f>IFERROR(__xludf.DUMMYFUNCTION("""COMPUTED_VALUE"""),94.0)</f>
        <v>94</v>
      </c>
      <c r="AJ130" s="131"/>
      <c r="AK130" s="131"/>
    </row>
    <row r="131">
      <c r="A131" s="145" t="str">
        <f>IFERROR(__xludf.DUMMYFUNCTION("""COMPUTED_VALUE"""),"Y")</f>
        <v>Y</v>
      </c>
      <c r="B131" s="146" t="str">
        <f>IFERROR(__xludf.DUMMYFUNCTION("""COMPUTED_VALUE"""),"4")</f>
        <v>4</v>
      </c>
      <c r="C131" s="146"/>
      <c r="D131" s="147">
        <f>IFERROR(__xludf.DUMMYFUNCTION("""COMPUTED_VALUE"""),45648.0)</f>
        <v>45648</v>
      </c>
      <c r="E131" s="147">
        <f>IFERROR(__xludf.DUMMYFUNCTION("""COMPUTED_VALUE"""),45655.0)</f>
        <v>45655</v>
      </c>
      <c r="F131" s="147">
        <f>IFERROR(__xludf.DUMMYFUNCTION("""COMPUTED_VALUE"""),45676.0)</f>
        <v>45676</v>
      </c>
      <c r="G131" s="146" t="str">
        <f>IFERROR(__xludf.DUMMYFUNCTION("""COMPUTED_VALUE"""),"BRG12")</f>
        <v>BRG12</v>
      </c>
      <c r="H131" s="148">
        <f>IFERROR(__xludf.DUMMYFUNCTION("""COMPUTED_VALUE"""),1803.0)</f>
        <v>1803</v>
      </c>
      <c r="I131" s="148">
        <f>IFERROR(__xludf.DUMMYFUNCTION("""COMPUTED_VALUE"""),1841.0)</f>
        <v>1841</v>
      </c>
      <c r="J131" s="146">
        <f>IFERROR(__xludf.DUMMYFUNCTION("""COMPUTED_VALUE"""),20.0)</f>
        <v>20</v>
      </c>
      <c r="K131" s="146">
        <f>IFERROR(__xludf.DUMMYFUNCTION("""COMPUTED_VALUE"""),20.0)</f>
        <v>20</v>
      </c>
      <c r="L131" s="146">
        <f>IFERROR(__xludf.DUMMYFUNCTION("""COMPUTED_VALUE"""),1684.0)</f>
        <v>1684</v>
      </c>
      <c r="M131" s="146">
        <f>IFERROR(__xludf.DUMMYFUNCTION("""COMPUTED_VALUE"""),1694.0)</f>
        <v>1694</v>
      </c>
      <c r="N131" s="146">
        <f>IFERROR(__xludf.DUMMYFUNCTION("""COMPUTED_VALUE"""),6.0)</f>
        <v>6</v>
      </c>
      <c r="O131" s="146">
        <f>IFERROR(__xludf.DUMMYFUNCTION("""COMPUTED_VALUE"""),6.0)</f>
        <v>6</v>
      </c>
      <c r="P131" s="146">
        <f>IFERROR(__xludf.DUMMYFUNCTION("""COMPUTED_VALUE"""),94.0)</f>
        <v>94</v>
      </c>
      <c r="Q131" s="146"/>
      <c r="R131" s="146"/>
      <c r="T131" s="131" t="str">
        <f>IFERROR(__xludf.DUMMYFUNCTION("""COMPUTED_VALUE"""),"Y")</f>
        <v>Y</v>
      </c>
      <c r="U131" s="131" t="str">
        <f>IFERROR(__xludf.DUMMYFUNCTION("""COMPUTED_VALUE"""),"4")</f>
        <v>4</v>
      </c>
      <c r="V131" s="131"/>
      <c r="W131" s="144">
        <f>IFERROR(__xludf.DUMMYFUNCTION("""COMPUTED_VALUE"""),45649.0)</f>
        <v>45649</v>
      </c>
      <c r="X131" s="144">
        <f>IFERROR(__xludf.DUMMYFUNCTION("""COMPUTED_VALUE"""),45656.0)</f>
        <v>45656</v>
      </c>
      <c r="Y131" s="144">
        <f>IFERROR(__xludf.DUMMYFUNCTION("""COMPUTED_VALUE"""),45677.0)</f>
        <v>45677</v>
      </c>
      <c r="Z131" s="131" t="str">
        <f>IFERROR(__xludf.DUMMYFUNCTION("""COMPUTED_VALUE"""),"D40-4L-1")</f>
        <v>D40-4L-1</v>
      </c>
      <c r="AA131" s="131">
        <f>IFERROR(__xludf.DUMMYFUNCTION("""COMPUTED_VALUE"""),131.0)</f>
        <v>131</v>
      </c>
      <c r="AB131" s="131">
        <f>IFERROR(__xludf.DUMMYFUNCTION("""COMPUTED_VALUE"""),155.0)</f>
        <v>155</v>
      </c>
      <c r="AC131" s="131">
        <f>IFERROR(__xludf.DUMMYFUNCTION("""COMPUTED_VALUE"""),13.0)</f>
        <v>13</v>
      </c>
      <c r="AD131" s="131">
        <f>IFERROR(__xludf.DUMMYFUNCTION("""COMPUTED_VALUE"""),13.0)</f>
        <v>13</v>
      </c>
      <c r="AE131" s="131"/>
      <c r="AF131" s="131"/>
      <c r="AG131" s="131"/>
      <c r="AH131" s="131"/>
      <c r="AI131" s="131">
        <f>IFERROR(__xludf.DUMMYFUNCTION("""COMPUTED_VALUE"""),97.0)</f>
        <v>97</v>
      </c>
      <c r="AJ131" s="131"/>
      <c r="AK131" s="131"/>
    </row>
    <row r="132">
      <c r="A132" s="145" t="str">
        <f>IFERROR(__xludf.DUMMYFUNCTION("""COMPUTED_VALUE"""),"Y")</f>
        <v>Y</v>
      </c>
      <c r="B132" s="146" t="str">
        <f>IFERROR(__xludf.DUMMYFUNCTION("""COMPUTED_VALUE"""),"4")</f>
        <v>4</v>
      </c>
      <c r="C132" s="146"/>
      <c r="D132" s="147">
        <f>IFERROR(__xludf.DUMMYFUNCTION("""COMPUTED_VALUE"""),45649.0)</f>
        <v>45649</v>
      </c>
      <c r="E132" s="147">
        <f>IFERROR(__xludf.DUMMYFUNCTION("""COMPUTED_VALUE"""),45656.0)</f>
        <v>45656</v>
      </c>
      <c r="F132" s="147">
        <f>IFERROR(__xludf.DUMMYFUNCTION("""COMPUTED_VALUE"""),45677.0)</f>
        <v>45677</v>
      </c>
      <c r="G132" s="146" t="str">
        <f>IFERROR(__xludf.DUMMYFUNCTION("""COMPUTED_VALUE"""),"D40-4L-1")</f>
        <v>D40-4L-1</v>
      </c>
      <c r="H132" s="148">
        <f>IFERROR(__xludf.DUMMYFUNCTION("""COMPUTED_VALUE"""),131.0)</f>
        <v>131</v>
      </c>
      <c r="I132" s="148">
        <f>IFERROR(__xludf.DUMMYFUNCTION("""COMPUTED_VALUE"""),155.0)</f>
        <v>155</v>
      </c>
      <c r="J132" s="146">
        <f>IFERROR(__xludf.DUMMYFUNCTION("""COMPUTED_VALUE"""),13.0)</f>
        <v>13</v>
      </c>
      <c r="K132" s="146">
        <f>IFERROR(__xludf.DUMMYFUNCTION("""COMPUTED_VALUE"""),13.0)</f>
        <v>13</v>
      </c>
      <c r="L132" s="146"/>
      <c r="M132" s="146"/>
      <c r="N132" s="146"/>
      <c r="O132" s="146"/>
      <c r="P132" s="146">
        <f>IFERROR(__xludf.DUMMYFUNCTION("""COMPUTED_VALUE"""),97.0)</f>
        <v>97</v>
      </c>
      <c r="Q132" s="146"/>
      <c r="R132" s="146"/>
      <c r="T132" s="131" t="str">
        <f>IFERROR(__xludf.DUMMYFUNCTION("""COMPUTED_VALUE"""),"Y")</f>
        <v>Y</v>
      </c>
      <c r="U132" s="131" t="str">
        <f>IFERROR(__xludf.DUMMYFUNCTION("""COMPUTED_VALUE"""),"4")</f>
        <v>4</v>
      </c>
      <c r="V132" s="131"/>
      <c r="W132" s="144">
        <f>IFERROR(__xludf.DUMMYFUNCTION("""COMPUTED_VALUE"""),45649.0)</f>
        <v>45649</v>
      </c>
      <c r="X132" s="144">
        <f>IFERROR(__xludf.DUMMYFUNCTION("""COMPUTED_VALUE"""),45656.0)</f>
        <v>45656</v>
      </c>
      <c r="Y132" s="144">
        <f>IFERROR(__xludf.DUMMYFUNCTION("""COMPUTED_VALUE"""),45677.0)</f>
        <v>45677</v>
      </c>
      <c r="Z132" s="131" t="str">
        <f>IFERROR(__xludf.DUMMYFUNCTION("""COMPUTED_VALUE"""),"D40-4L-1")</f>
        <v>D40-4L-1</v>
      </c>
      <c r="AA132" s="131">
        <f>IFERROR(__xludf.DUMMYFUNCTION("""COMPUTED_VALUE"""),185.0)</f>
        <v>185</v>
      </c>
      <c r="AB132" s="131">
        <f>IFERROR(__xludf.DUMMYFUNCTION("""COMPUTED_VALUE"""),345.0)</f>
        <v>345</v>
      </c>
      <c r="AC132" s="131">
        <f>IFERROR(__xludf.DUMMYFUNCTION("""COMPUTED_VALUE"""),81.0)</f>
        <v>81</v>
      </c>
      <c r="AD132" s="131">
        <f>IFERROR(__xludf.DUMMYFUNCTION("""COMPUTED_VALUE"""),81.0)</f>
        <v>81</v>
      </c>
      <c r="AE132" s="131"/>
      <c r="AF132" s="131"/>
      <c r="AG132" s="131"/>
      <c r="AH132" s="131"/>
      <c r="AI132" s="131">
        <f>IFERROR(__xludf.DUMMYFUNCTION("""COMPUTED_VALUE"""),97.0)</f>
        <v>97</v>
      </c>
      <c r="AJ132" s="131"/>
      <c r="AK132" s="131"/>
    </row>
    <row r="133">
      <c r="A133" s="145" t="str">
        <f>IFERROR(__xludf.DUMMYFUNCTION("""COMPUTED_VALUE"""),"Y")</f>
        <v>Y</v>
      </c>
      <c r="B133" s="146" t="str">
        <f>IFERROR(__xludf.DUMMYFUNCTION("""COMPUTED_VALUE"""),"4")</f>
        <v>4</v>
      </c>
      <c r="C133" s="146"/>
      <c r="D133" s="147">
        <f>IFERROR(__xludf.DUMMYFUNCTION("""COMPUTED_VALUE"""),45649.0)</f>
        <v>45649</v>
      </c>
      <c r="E133" s="147">
        <f>IFERROR(__xludf.DUMMYFUNCTION("""COMPUTED_VALUE"""),45656.0)</f>
        <v>45656</v>
      </c>
      <c r="F133" s="147">
        <f>IFERROR(__xludf.DUMMYFUNCTION("""COMPUTED_VALUE"""),45677.0)</f>
        <v>45677</v>
      </c>
      <c r="G133" s="146" t="str">
        <f>IFERROR(__xludf.DUMMYFUNCTION("""COMPUTED_VALUE"""),"D40-4L-1")</f>
        <v>D40-4L-1</v>
      </c>
      <c r="H133" s="148">
        <f>IFERROR(__xludf.DUMMYFUNCTION("""COMPUTED_VALUE"""),185.0)</f>
        <v>185</v>
      </c>
      <c r="I133" s="148">
        <f>IFERROR(__xludf.DUMMYFUNCTION("""COMPUTED_VALUE"""),345.0)</f>
        <v>345</v>
      </c>
      <c r="J133" s="146">
        <f>IFERROR(__xludf.DUMMYFUNCTION("""COMPUTED_VALUE"""),81.0)</f>
        <v>81</v>
      </c>
      <c r="K133" s="146">
        <f>IFERROR(__xludf.DUMMYFUNCTION("""COMPUTED_VALUE"""),81.0)</f>
        <v>81</v>
      </c>
      <c r="L133" s="146"/>
      <c r="M133" s="146"/>
      <c r="N133" s="146"/>
      <c r="O133" s="146"/>
      <c r="P133" s="146">
        <f>IFERROR(__xludf.DUMMYFUNCTION("""COMPUTED_VALUE"""),97.0)</f>
        <v>97</v>
      </c>
      <c r="Q133" s="146"/>
      <c r="R133" s="146"/>
      <c r="T133" s="131" t="str">
        <f>IFERROR(__xludf.DUMMYFUNCTION("""COMPUTED_VALUE"""),"Y")</f>
        <v>Y</v>
      </c>
      <c r="U133" s="131" t="str">
        <f>IFERROR(__xludf.DUMMYFUNCTION("""COMPUTED_VALUE"""),"4")</f>
        <v>4</v>
      </c>
      <c r="V133" s="131"/>
      <c r="W133" s="144">
        <f>IFERROR(__xludf.DUMMYFUNCTION("""COMPUTED_VALUE"""),45649.0)</f>
        <v>45649</v>
      </c>
      <c r="X133" s="144">
        <f>IFERROR(__xludf.DUMMYFUNCTION("""COMPUTED_VALUE"""),45656.0)</f>
        <v>45656</v>
      </c>
      <c r="Y133" s="144">
        <f>IFERROR(__xludf.DUMMYFUNCTION("""COMPUTED_VALUE"""),45677.0)</f>
        <v>45677</v>
      </c>
      <c r="Z133" s="131" t="str">
        <f>IFERROR(__xludf.DUMMYFUNCTION("""COMPUTED_VALUE"""),"BRG12")</f>
        <v>BRG12</v>
      </c>
      <c r="AA133" s="131"/>
      <c r="AB133" s="131"/>
      <c r="AC133" s="131"/>
      <c r="AD133" s="131"/>
      <c r="AE133" s="131">
        <f>IFERROR(__xludf.DUMMYFUNCTION("""COMPUTED_VALUE"""),1696.0)</f>
        <v>1696</v>
      </c>
      <c r="AF133" s="131">
        <f>IFERROR(__xludf.DUMMYFUNCTION("""COMPUTED_VALUE"""),1764.0)</f>
        <v>1764</v>
      </c>
      <c r="AG133" s="131">
        <f>IFERROR(__xludf.DUMMYFUNCTION("""COMPUTED_VALUE"""),35.0)</f>
        <v>35</v>
      </c>
      <c r="AH133" s="131">
        <f>IFERROR(__xludf.DUMMYFUNCTION("""COMPUTED_VALUE"""),35.0)</f>
        <v>35</v>
      </c>
      <c r="AI133" s="131">
        <f>IFERROR(__xludf.DUMMYFUNCTION("""COMPUTED_VALUE"""),96.0)</f>
        <v>96</v>
      </c>
      <c r="AJ133" s="131"/>
      <c r="AK133" s="131"/>
    </row>
    <row r="134">
      <c r="A134" s="145" t="str">
        <f>IFERROR(__xludf.DUMMYFUNCTION("""COMPUTED_VALUE"""),"Y")</f>
        <v>Y</v>
      </c>
      <c r="B134" s="146" t="str">
        <f>IFERROR(__xludf.DUMMYFUNCTION("""COMPUTED_VALUE"""),"4")</f>
        <v>4</v>
      </c>
      <c r="C134" s="146"/>
      <c r="D134" s="147">
        <f>IFERROR(__xludf.DUMMYFUNCTION("""COMPUTED_VALUE"""),45649.0)</f>
        <v>45649</v>
      </c>
      <c r="E134" s="147">
        <f>IFERROR(__xludf.DUMMYFUNCTION("""COMPUTED_VALUE"""),45656.0)</f>
        <v>45656</v>
      </c>
      <c r="F134" s="147">
        <f>IFERROR(__xludf.DUMMYFUNCTION("""COMPUTED_VALUE"""),45677.0)</f>
        <v>45677</v>
      </c>
      <c r="G134" s="146" t="str">
        <f>IFERROR(__xludf.DUMMYFUNCTION("""COMPUTED_VALUE"""),"BRG12")</f>
        <v>BRG12</v>
      </c>
      <c r="H134" s="148"/>
      <c r="I134" s="148"/>
      <c r="J134" s="146"/>
      <c r="K134" s="146"/>
      <c r="L134" s="146">
        <f>IFERROR(__xludf.DUMMYFUNCTION("""COMPUTED_VALUE"""),1696.0)</f>
        <v>1696</v>
      </c>
      <c r="M134" s="146">
        <f>IFERROR(__xludf.DUMMYFUNCTION("""COMPUTED_VALUE"""),1764.0)</f>
        <v>1764</v>
      </c>
      <c r="N134" s="146">
        <f>IFERROR(__xludf.DUMMYFUNCTION("""COMPUTED_VALUE"""),35.0)</f>
        <v>35</v>
      </c>
      <c r="O134" s="146">
        <f>IFERROR(__xludf.DUMMYFUNCTION("""COMPUTED_VALUE"""),35.0)</f>
        <v>35</v>
      </c>
      <c r="P134" s="146">
        <f>IFERROR(__xludf.DUMMYFUNCTION("""COMPUTED_VALUE"""),96.0)</f>
        <v>96</v>
      </c>
      <c r="Q134" s="146"/>
      <c r="R134" s="146"/>
      <c r="T134" s="131" t="str">
        <f>IFERROR(__xludf.DUMMYFUNCTION("""COMPUTED_VALUE"""),"Y")</f>
        <v>Y</v>
      </c>
      <c r="U134" s="131" t="str">
        <f>IFERROR(__xludf.DUMMYFUNCTION("""COMPUTED_VALUE"""),"4")</f>
        <v>4</v>
      </c>
      <c r="V134" s="131"/>
      <c r="W134" s="144">
        <f>IFERROR(__xludf.DUMMYFUNCTION("""COMPUTED_VALUE"""),45650.0)</f>
        <v>45650</v>
      </c>
      <c r="X134" s="144">
        <f>IFERROR(__xludf.DUMMYFUNCTION("""COMPUTED_VALUE"""),45657.0)</f>
        <v>45657</v>
      </c>
      <c r="Y134" s="144">
        <f>IFERROR(__xludf.DUMMYFUNCTION("""COMPUTED_VALUE"""),45678.0)</f>
        <v>45678</v>
      </c>
      <c r="Z134" s="131" t="str">
        <f>IFERROR(__xludf.DUMMYFUNCTION("""COMPUTED_VALUE"""),"D40-4L-1")</f>
        <v>D40-4L-1</v>
      </c>
      <c r="AA134" s="131">
        <f>IFERROR(__xludf.DUMMYFUNCTION("""COMPUTED_VALUE"""),347.0)</f>
        <v>347</v>
      </c>
      <c r="AB134" s="131">
        <f>IFERROR(__xludf.DUMMYFUNCTION("""COMPUTED_VALUE"""),421.0)</f>
        <v>421</v>
      </c>
      <c r="AC134" s="131">
        <f>IFERROR(__xludf.DUMMYFUNCTION("""COMPUTED_VALUE"""),38.0)</f>
        <v>38</v>
      </c>
      <c r="AD134" s="131">
        <f>IFERROR(__xludf.DUMMYFUNCTION("""COMPUTED_VALUE"""),38.0)</f>
        <v>38</v>
      </c>
      <c r="AE134" s="131">
        <f>IFERROR(__xludf.DUMMYFUNCTION("""COMPUTED_VALUE"""),186.0)</f>
        <v>186</v>
      </c>
      <c r="AF134" s="131">
        <f>IFERROR(__xludf.DUMMYFUNCTION("""COMPUTED_VALUE"""),192.0)</f>
        <v>192</v>
      </c>
      <c r="AG134" s="131">
        <f>IFERROR(__xludf.DUMMYFUNCTION("""COMPUTED_VALUE"""),4.0)</f>
        <v>4</v>
      </c>
      <c r="AH134" s="131">
        <f>IFERROR(__xludf.DUMMYFUNCTION("""COMPUTED_VALUE"""),4.0)</f>
        <v>4</v>
      </c>
      <c r="AI134" s="131">
        <f>IFERROR(__xludf.DUMMYFUNCTION("""COMPUTED_VALUE"""),99.0)</f>
        <v>99</v>
      </c>
      <c r="AJ134" s="131" t="str">
        <f>IFERROR(__xludf.DUMMYFUNCTION("""COMPUTED_VALUE"""),"S15,G15")</f>
        <v>S15,G15</v>
      </c>
      <c r="AK134" s="131"/>
    </row>
    <row r="135">
      <c r="A135" s="145" t="str">
        <f>IFERROR(__xludf.DUMMYFUNCTION("""COMPUTED_VALUE"""),"Y")</f>
        <v>Y</v>
      </c>
      <c r="B135" s="146" t="str">
        <f>IFERROR(__xludf.DUMMYFUNCTION("""COMPUTED_VALUE"""),"4")</f>
        <v>4</v>
      </c>
      <c r="C135" s="146"/>
      <c r="D135" s="147">
        <f>IFERROR(__xludf.DUMMYFUNCTION("""COMPUTED_VALUE"""),45650.0)</f>
        <v>45650</v>
      </c>
      <c r="E135" s="147">
        <f>IFERROR(__xludf.DUMMYFUNCTION("""COMPUTED_VALUE"""),45657.0)</f>
        <v>45657</v>
      </c>
      <c r="F135" s="147">
        <f>IFERROR(__xludf.DUMMYFUNCTION("""COMPUTED_VALUE"""),45678.0)</f>
        <v>45678</v>
      </c>
      <c r="G135" s="146" t="str">
        <f>IFERROR(__xludf.DUMMYFUNCTION("""COMPUTED_VALUE"""),"D40-4L-1")</f>
        <v>D40-4L-1</v>
      </c>
      <c r="H135" s="148">
        <f>IFERROR(__xludf.DUMMYFUNCTION("""COMPUTED_VALUE"""),347.0)</f>
        <v>347</v>
      </c>
      <c r="I135" s="148">
        <f>IFERROR(__xludf.DUMMYFUNCTION("""COMPUTED_VALUE"""),421.0)</f>
        <v>421</v>
      </c>
      <c r="J135" s="146">
        <f>IFERROR(__xludf.DUMMYFUNCTION("""COMPUTED_VALUE"""),38.0)</f>
        <v>38</v>
      </c>
      <c r="K135" s="146">
        <f>IFERROR(__xludf.DUMMYFUNCTION("""COMPUTED_VALUE"""),38.0)</f>
        <v>38</v>
      </c>
      <c r="L135" s="146">
        <f>IFERROR(__xludf.DUMMYFUNCTION("""COMPUTED_VALUE"""),186.0)</f>
        <v>186</v>
      </c>
      <c r="M135" s="146">
        <f>IFERROR(__xludf.DUMMYFUNCTION("""COMPUTED_VALUE"""),192.0)</f>
        <v>192</v>
      </c>
      <c r="N135" s="146">
        <f>IFERROR(__xludf.DUMMYFUNCTION("""COMPUTED_VALUE"""),4.0)</f>
        <v>4</v>
      </c>
      <c r="O135" s="146">
        <f>IFERROR(__xludf.DUMMYFUNCTION("""COMPUTED_VALUE"""),4.0)</f>
        <v>4</v>
      </c>
      <c r="P135" s="146">
        <f>IFERROR(__xludf.DUMMYFUNCTION("""COMPUTED_VALUE"""),99.0)</f>
        <v>99</v>
      </c>
      <c r="Q135" s="146" t="str">
        <f>IFERROR(__xludf.DUMMYFUNCTION("""COMPUTED_VALUE"""),"S15,G15")</f>
        <v>S15,G15</v>
      </c>
      <c r="R135" s="146"/>
      <c r="T135" s="131" t="str">
        <f>IFERROR(__xludf.DUMMYFUNCTION("""COMPUTED_VALUE"""),"Y")</f>
        <v>Y</v>
      </c>
      <c r="U135" s="131" t="str">
        <f>IFERROR(__xludf.DUMMYFUNCTION("""COMPUTED_VALUE"""),"4")</f>
        <v>4</v>
      </c>
      <c r="V135" s="131"/>
      <c r="W135" s="144">
        <f>IFERROR(__xludf.DUMMYFUNCTION("""COMPUTED_VALUE"""),45650.0)</f>
        <v>45650</v>
      </c>
      <c r="X135" s="144">
        <f>IFERROR(__xludf.DUMMYFUNCTION("""COMPUTED_VALUE"""),45657.0)</f>
        <v>45657</v>
      </c>
      <c r="Y135" s="144">
        <f>IFERROR(__xludf.DUMMYFUNCTION("""COMPUTED_VALUE"""),45678.0)</f>
        <v>45678</v>
      </c>
      <c r="Z135" s="131" t="str">
        <f>IFERROR(__xludf.DUMMYFUNCTION("""COMPUTED_VALUE"""),"D40-4L-1")</f>
        <v>D40-4L-1</v>
      </c>
      <c r="AA135" s="131"/>
      <c r="AB135" s="131"/>
      <c r="AC135" s="131"/>
      <c r="AD135" s="131"/>
      <c r="AE135" s="131">
        <f>IFERROR(__xludf.DUMMYFUNCTION("""COMPUTED_VALUE"""),196.0)</f>
        <v>196</v>
      </c>
      <c r="AF135" s="131">
        <f>IFERROR(__xludf.DUMMYFUNCTION("""COMPUTED_VALUE"""),242.0)</f>
        <v>242</v>
      </c>
      <c r="AG135" s="131">
        <f>IFERROR(__xludf.DUMMYFUNCTION("""COMPUTED_VALUE"""),24.0)</f>
        <v>24</v>
      </c>
      <c r="AH135" s="131">
        <f>IFERROR(__xludf.DUMMYFUNCTION("""COMPUTED_VALUE"""),24.0)</f>
        <v>24</v>
      </c>
      <c r="AI135" s="131">
        <f>IFERROR(__xludf.DUMMYFUNCTION("""COMPUTED_VALUE"""),99.0)</f>
        <v>99</v>
      </c>
      <c r="AJ135" s="131" t="str">
        <f>IFERROR(__xludf.DUMMYFUNCTION("""COMPUTED_VALUE"""),"S15,G15")</f>
        <v>S15,G15</v>
      </c>
      <c r="AK135" s="131"/>
    </row>
    <row r="136">
      <c r="A136" s="145" t="str">
        <f>IFERROR(__xludf.DUMMYFUNCTION("""COMPUTED_VALUE"""),"Y")</f>
        <v>Y</v>
      </c>
      <c r="B136" s="146" t="str">
        <f>IFERROR(__xludf.DUMMYFUNCTION("""COMPUTED_VALUE"""),"4")</f>
        <v>4</v>
      </c>
      <c r="C136" s="146"/>
      <c r="D136" s="147">
        <f>IFERROR(__xludf.DUMMYFUNCTION("""COMPUTED_VALUE"""),45650.0)</f>
        <v>45650</v>
      </c>
      <c r="E136" s="147">
        <f>IFERROR(__xludf.DUMMYFUNCTION("""COMPUTED_VALUE"""),45657.0)</f>
        <v>45657</v>
      </c>
      <c r="F136" s="147">
        <f>IFERROR(__xludf.DUMMYFUNCTION("""COMPUTED_VALUE"""),45678.0)</f>
        <v>45678</v>
      </c>
      <c r="G136" s="146" t="str">
        <f>IFERROR(__xludf.DUMMYFUNCTION("""COMPUTED_VALUE"""),"D40-4L-1")</f>
        <v>D40-4L-1</v>
      </c>
      <c r="H136" s="148"/>
      <c r="I136" s="148"/>
      <c r="J136" s="146"/>
      <c r="K136" s="146"/>
      <c r="L136" s="146">
        <f>IFERROR(__xludf.DUMMYFUNCTION("""COMPUTED_VALUE"""),196.0)</f>
        <v>196</v>
      </c>
      <c r="M136" s="146">
        <f>IFERROR(__xludf.DUMMYFUNCTION("""COMPUTED_VALUE"""),242.0)</f>
        <v>242</v>
      </c>
      <c r="N136" s="146">
        <f>IFERROR(__xludf.DUMMYFUNCTION("""COMPUTED_VALUE"""),24.0)</f>
        <v>24</v>
      </c>
      <c r="O136" s="146">
        <f>IFERROR(__xludf.DUMMYFUNCTION("""COMPUTED_VALUE"""),24.0)</f>
        <v>24</v>
      </c>
      <c r="P136" s="146">
        <f>IFERROR(__xludf.DUMMYFUNCTION("""COMPUTED_VALUE"""),99.0)</f>
        <v>99</v>
      </c>
      <c r="Q136" s="146" t="str">
        <f>IFERROR(__xludf.DUMMYFUNCTION("""COMPUTED_VALUE"""),"S15,G15")</f>
        <v>S15,G15</v>
      </c>
      <c r="R136" s="146"/>
      <c r="T136" s="131" t="str">
        <f>IFERROR(__xludf.DUMMYFUNCTION("""COMPUTED_VALUE"""),"Y")</f>
        <v>Y</v>
      </c>
      <c r="U136" s="131" t="str">
        <f>IFERROR(__xludf.DUMMYFUNCTION("""COMPUTED_VALUE"""),"4")</f>
        <v>4</v>
      </c>
      <c r="V136" s="131"/>
      <c r="W136" s="144">
        <f>IFERROR(__xludf.DUMMYFUNCTION("""COMPUTED_VALUE"""),45650.0)</f>
        <v>45650</v>
      </c>
      <c r="X136" s="144">
        <f>IFERROR(__xludf.DUMMYFUNCTION("""COMPUTED_VALUE"""),45657.0)</f>
        <v>45657</v>
      </c>
      <c r="Y136" s="144">
        <f>IFERROR(__xludf.DUMMYFUNCTION("""COMPUTED_VALUE"""),45678.0)</f>
        <v>45678</v>
      </c>
      <c r="Z136" s="131" t="str">
        <f>IFERROR(__xludf.DUMMYFUNCTION("""COMPUTED_VALUE"""),"D40-4L-1")</f>
        <v>D40-4L-1</v>
      </c>
      <c r="AA136" s="131"/>
      <c r="AB136" s="131"/>
      <c r="AC136" s="131"/>
      <c r="AD136" s="131"/>
      <c r="AE136" s="131">
        <f>IFERROR(__xludf.DUMMYFUNCTION("""COMPUTED_VALUE"""),246.0)</f>
        <v>246</v>
      </c>
      <c r="AF136" s="131">
        <f>IFERROR(__xludf.DUMMYFUNCTION("""COMPUTED_VALUE"""),274.0)</f>
        <v>274</v>
      </c>
      <c r="AG136" s="131">
        <f>IFERROR(__xludf.DUMMYFUNCTION("""COMPUTED_VALUE"""),15.0)</f>
        <v>15</v>
      </c>
      <c r="AH136" s="131">
        <f>IFERROR(__xludf.DUMMYFUNCTION("""COMPUTED_VALUE"""),15.0)</f>
        <v>15</v>
      </c>
      <c r="AI136" s="131">
        <f>IFERROR(__xludf.DUMMYFUNCTION("""COMPUTED_VALUE"""),99.0)</f>
        <v>99</v>
      </c>
      <c r="AJ136" s="131" t="str">
        <f>IFERROR(__xludf.DUMMYFUNCTION("""COMPUTED_VALUE"""),"S15,G15")</f>
        <v>S15,G15</v>
      </c>
      <c r="AK136" s="131"/>
    </row>
    <row r="137">
      <c r="A137" s="145" t="str">
        <f>IFERROR(__xludf.DUMMYFUNCTION("""COMPUTED_VALUE"""),"Y")</f>
        <v>Y</v>
      </c>
      <c r="B137" s="146" t="str">
        <f>IFERROR(__xludf.DUMMYFUNCTION("""COMPUTED_VALUE"""),"4")</f>
        <v>4</v>
      </c>
      <c r="C137" s="146"/>
      <c r="D137" s="147">
        <f>IFERROR(__xludf.DUMMYFUNCTION("""COMPUTED_VALUE"""),45650.0)</f>
        <v>45650</v>
      </c>
      <c r="E137" s="147">
        <f>IFERROR(__xludf.DUMMYFUNCTION("""COMPUTED_VALUE"""),45657.0)</f>
        <v>45657</v>
      </c>
      <c r="F137" s="147">
        <f>IFERROR(__xludf.DUMMYFUNCTION("""COMPUTED_VALUE"""),45678.0)</f>
        <v>45678</v>
      </c>
      <c r="G137" s="146" t="str">
        <f>IFERROR(__xludf.DUMMYFUNCTION("""COMPUTED_VALUE"""),"D40-4L-1")</f>
        <v>D40-4L-1</v>
      </c>
      <c r="H137" s="148"/>
      <c r="I137" s="148"/>
      <c r="J137" s="146"/>
      <c r="K137" s="146"/>
      <c r="L137" s="146">
        <f>IFERROR(__xludf.DUMMYFUNCTION("""COMPUTED_VALUE"""),246.0)</f>
        <v>246</v>
      </c>
      <c r="M137" s="146">
        <f>IFERROR(__xludf.DUMMYFUNCTION("""COMPUTED_VALUE"""),274.0)</f>
        <v>274</v>
      </c>
      <c r="N137" s="146">
        <f>IFERROR(__xludf.DUMMYFUNCTION("""COMPUTED_VALUE"""),15.0)</f>
        <v>15</v>
      </c>
      <c r="O137" s="146">
        <f>IFERROR(__xludf.DUMMYFUNCTION("""COMPUTED_VALUE"""),15.0)</f>
        <v>15</v>
      </c>
      <c r="P137" s="146">
        <f>IFERROR(__xludf.DUMMYFUNCTION("""COMPUTED_VALUE"""),99.0)</f>
        <v>99</v>
      </c>
      <c r="Q137" s="146" t="str">
        <f>IFERROR(__xludf.DUMMYFUNCTION("""COMPUTED_VALUE"""),"S15,G15")</f>
        <v>S15,G15</v>
      </c>
      <c r="R137" s="146"/>
      <c r="T137" s="131" t="str">
        <f>IFERROR(__xludf.DUMMYFUNCTION("""COMPUTED_VALUE"""),"Y")</f>
        <v>Y</v>
      </c>
      <c r="U137" s="131" t="str">
        <f>IFERROR(__xludf.DUMMYFUNCTION("""COMPUTED_VALUE"""),"4")</f>
        <v>4</v>
      </c>
      <c r="V137" s="131"/>
      <c r="W137" s="144">
        <f>IFERROR(__xludf.DUMMYFUNCTION("""COMPUTED_VALUE"""),45650.0)</f>
        <v>45650</v>
      </c>
      <c r="X137" s="144">
        <f>IFERROR(__xludf.DUMMYFUNCTION("""COMPUTED_VALUE"""),45657.0)</f>
        <v>45657</v>
      </c>
      <c r="Y137" s="144">
        <f>IFERROR(__xludf.DUMMYFUNCTION("""COMPUTED_VALUE"""),45678.0)</f>
        <v>45678</v>
      </c>
      <c r="Z137" s="131" t="str">
        <f>IFERROR(__xludf.DUMMYFUNCTION("""COMPUTED_VALUE"""),"D40-4L-1")</f>
        <v>D40-4L-1</v>
      </c>
      <c r="AA137" s="131"/>
      <c r="AB137" s="131"/>
      <c r="AC137" s="131"/>
      <c r="AD137" s="131"/>
      <c r="AE137" s="131">
        <f>IFERROR(__xludf.DUMMYFUNCTION("""COMPUTED_VALUE"""),276.0)</f>
        <v>276</v>
      </c>
      <c r="AF137" s="131">
        <f>IFERROR(__xludf.DUMMYFUNCTION("""COMPUTED_VALUE"""),326.0)</f>
        <v>326</v>
      </c>
      <c r="AG137" s="131">
        <f>IFERROR(__xludf.DUMMYFUNCTION("""COMPUTED_VALUE"""),26.0)</f>
        <v>26</v>
      </c>
      <c r="AH137" s="131">
        <f>IFERROR(__xludf.DUMMYFUNCTION("""COMPUTED_VALUE"""),26.0)</f>
        <v>26</v>
      </c>
      <c r="AI137" s="131">
        <f>IFERROR(__xludf.DUMMYFUNCTION("""COMPUTED_VALUE"""),99.0)</f>
        <v>99</v>
      </c>
      <c r="AJ137" s="131" t="str">
        <f>IFERROR(__xludf.DUMMYFUNCTION("""COMPUTED_VALUE"""),"S15,G15")</f>
        <v>S15,G15</v>
      </c>
      <c r="AK137" s="131"/>
    </row>
    <row r="138">
      <c r="A138" s="145" t="str">
        <f>IFERROR(__xludf.DUMMYFUNCTION("""COMPUTED_VALUE"""),"Y")</f>
        <v>Y</v>
      </c>
      <c r="B138" s="146" t="str">
        <f>IFERROR(__xludf.DUMMYFUNCTION("""COMPUTED_VALUE"""),"4")</f>
        <v>4</v>
      </c>
      <c r="C138" s="146"/>
      <c r="D138" s="147">
        <f>IFERROR(__xludf.DUMMYFUNCTION("""COMPUTED_VALUE"""),45650.0)</f>
        <v>45650</v>
      </c>
      <c r="E138" s="147">
        <f>IFERROR(__xludf.DUMMYFUNCTION("""COMPUTED_VALUE"""),45657.0)</f>
        <v>45657</v>
      </c>
      <c r="F138" s="147">
        <f>IFERROR(__xludf.DUMMYFUNCTION("""COMPUTED_VALUE"""),45678.0)</f>
        <v>45678</v>
      </c>
      <c r="G138" s="146" t="str">
        <f>IFERROR(__xludf.DUMMYFUNCTION("""COMPUTED_VALUE"""),"D40-4L-1")</f>
        <v>D40-4L-1</v>
      </c>
      <c r="H138" s="148"/>
      <c r="I138" s="148"/>
      <c r="J138" s="146"/>
      <c r="K138" s="146"/>
      <c r="L138" s="146">
        <f>IFERROR(__xludf.DUMMYFUNCTION("""COMPUTED_VALUE"""),276.0)</f>
        <v>276</v>
      </c>
      <c r="M138" s="146">
        <f>IFERROR(__xludf.DUMMYFUNCTION("""COMPUTED_VALUE"""),326.0)</f>
        <v>326</v>
      </c>
      <c r="N138" s="146">
        <f>IFERROR(__xludf.DUMMYFUNCTION("""COMPUTED_VALUE"""),26.0)</f>
        <v>26</v>
      </c>
      <c r="O138" s="146">
        <f>IFERROR(__xludf.DUMMYFUNCTION("""COMPUTED_VALUE"""),26.0)</f>
        <v>26</v>
      </c>
      <c r="P138" s="146">
        <f>IFERROR(__xludf.DUMMYFUNCTION("""COMPUTED_VALUE"""),99.0)</f>
        <v>99</v>
      </c>
      <c r="Q138" s="146" t="str">
        <f>IFERROR(__xludf.DUMMYFUNCTION("""COMPUTED_VALUE"""),"S15,G15")</f>
        <v>S15,G15</v>
      </c>
      <c r="R138" s="146"/>
      <c r="T138" s="131" t="str">
        <f>IFERROR(__xludf.DUMMYFUNCTION("""COMPUTED_VALUE"""),"Y")</f>
        <v>Y</v>
      </c>
      <c r="U138" s="131" t="str">
        <f>IFERROR(__xludf.DUMMYFUNCTION("""COMPUTED_VALUE"""),"4")</f>
        <v>4</v>
      </c>
      <c r="V138" s="131"/>
      <c r="W138" s="144">
        <f>IFERROR(__xludf.DUMMYFUNCTION("""COMPUTED_VALUE"""),45650.0)</f>
        <v>45650</v>
      </c>
      <c r="X138" s="144">
        <f>IFERROR(__xludf.DUMMYFUNCTION("""COMPUTED_VALUE"""),45657.0)</f>
        <v>45657</v>
      </c>
      <c r="Y138" s="144">
        <f>IFERROR(__xludf.DUMMYFUNCTION("""COMPUTED_VALUE"""),45678.0)</f>
        <v>45678</v>
      </c>
      <c r="Z138" s="131" t="str">
        <f>IFERROR(__xludf.DUMMYFUNCTION("""COMPUTED_VALUE"""),"BRG12")</f>
        <v>BRG12</v>
      </c>
      <c r="AA138" s="131">
        <f>IFERROR(__xludf.DUMMYFUNCTION("""COMPUTED_VALUE"""),1843.0)</f>
        <v>1843</v>
      </c>
      <c r="AB138" s="131">
        <f>IFERROR(__xludf.DUMMYFUNCTION("""COMPUTED_VALUE"""),1913.0)</f>
        <v>1913</v>
      </c>
      <c r="AC138" s="131">
        <f>IFERROR(__xludf.DUMMYFUNCTION("""COMPUTED_VALUE"""),36.0)</f>
        <v>36</v>
      </c>
      <c r="AD138" s="131">
        <f>IFERROR(__xludf.DUMMYFUNCTION("""COMPUTED_VALUE"""),36.0)</f>
        <v>36</v>
      </c>
      <c r="AE138" s="131"/>
      <c r="AF138" s="131"/>
      <c r="AG138" s="131"/>
      <c r="AH138" s="131"/>
      <c r="AI138" s="131">
        <f>IFERROR(__xludf.DUMMYFUNCTION("""COMPUTED_VALUE"""),98.0)</f>
        <v>98</v>
      </c>
      <c r="AJ138" s="131"/>
      <c r="AK138" s="131"/>
    </row>
    <row r="139">
      <c r="A139" s="145" t="str">
        <f>IFERROR(__xludf.DUMMYFUNCTION("""COMPUTED_VALUE"""),"Y")</f>
        <v>Y</v>
      </c>
      <c r="B139" s="146" t="str">
        <f>IFERROR(__xludf.DUMMYFUNCTION("""COMPUTED_VALUE"""),"4")</f>
        <v>4</v>
      </c>
      <c r="C139" s="146"/>
      <c r="D139" s="147">
        <f>IFERROR(__xludf.DUMMYFUNCTION("""COMPUTED_VALUE"""),45650.0)</f>
        <v>45650</v>
      </c>
      <c r="E139" s="147">
        <f>IFERROR(__xludf.DUMMYFUNCTION("""COMPUTED_VALUE"""),45657.0)</f>
        <v>45657</v>
      </c>
      <c r="F139" s="147">
        <f>IFERROR(__xludf.DUMMYFUNCTION("""COMPUTED_VALUE"""),45678.0)</f>
        <v>45678</v>
      </c>
      <c r="G139" s="146" t="str">
        <f>IFERROR(__xludf.DUMMYFUNCTION("""COMPUTED_VALUE"""),"BRG12")</f>
        <v>BRG12</v>
      </c>
      <c r="H139" s="148">
        <f>IFERROR(__xludf.DUMMYFUNCTION("""COMPUTED_VALUE"""),1843.0)</f>
        <v>1843</v>
      </c>
      <c r="I139" s="148">
        <f>IFERROR(__xludf.DUMMYFUNCTION("""COMPUTED_VALUE"""),1913.0)</f>
        <v>1913</v>
      </c>
      <c r="J139" s="146">
        <f>IFERROR(__xludf.DUMMYFUNCTION("""COMPUTED_VALUE"""),36.0)</f>
        <v>36</v>
      </c>
      <c r="K139" s="146">
        <f>IFERROR(__xludf.DUMMYFUNCTION("""COMPUTED_VALUE"""),36.0)</f>
        <v>36</v>
      </c>
      <c r="L139" s="146"/>
      <c r="M139" s="146"/>
      <c r="N139" s="146"/>
      <c r="O139" s="146"/>
      <c r="P139" s="146">
        <f>IFERROR(__xludf.DUMMYFUNCTION("""COMPUTED_VALUE"""),98.0)</f>
        <v>98</v>
      </c>
      <c r="Q139" s="146"/>
      <c r="R139" s="146"/>
      <c r="T139" s="131" t="str">
        <f>IFERROR(__xludf.DUMMYFUNCTION("""COMPUTED_VALUE"""),"Y")</f>
        <v>Y</v>
      </c>
      <c r="U139" s="131" t="str">
        <f>IFERROR(__xludf.DUMMYFUNCTION("""COMPUTED_VALUE"""),"4")</f>
        <v>4</v>
      </c>
      <c r="V139" s="131"/>
      <c r="W139" s="144">
        <f>IFERROR(__xludf.DUMMYFUNCTION("""COMPUTED_VALUE"""),45652.0)</f>
        <v>45652</v>
      </c>
      <c r="X139" s="144">
        <f>IFERROR(__xludf.DUMMYFUNCTION("""COMPUTED_VALUE"""),45659.0)</f>
        <v>45659</v>
      </c>
      <c r="Y139" s="144">
        <f>IFERROR(__xludf.DUMMYFUNCTION("""COMPUTED_VALUE"""),45680.0)</f>
        <v>45680</v>
      </c>
      <c r="Z139" s="131" t="str">
        <f>IFERROR(__xludf.DUMMYFUNCTION("""COMPUTED_VALUE"""),"D40-4L-1")</f>
        <v>D40-4L-1</v>
      </c>
      <c r="AA139" s="131"/>
      <c r="AB139" s="131"/>
      <c r="AC139" s="131"/>
      <c r="AD139" s="131"/>
      <c r="AE139" s="131">
        <f>IFERROR(__xludf.DUMMYFUNCTION("""COMPUTED_VALUE"""),328.0)</f>
        <v>328</v>
      </c>
      <c r="AF139" s="131">
        <f>IFERROR(__xludf.DUMMYFUNCTION("""COMPUTED_VALUE"""),342.0)</f>
        <v>342</v>
      </c>
      <c r="AG139" s="131">
        <f>IFERROR(__xludf.DUMMYFUNCTION("""COMPUTED_VALUE"""),8.0)</f>
        <v>8</v>
      </c>
      <c r="AH139" s="131">
        <f>IFERROR(__xludf.DUMMYFUNCTION("""COMPUTED_VALUE"""),8.0)</f>
        <v>8</v>
      </c>
      <c r="AI139" s="131">
        <f>IFERROR(__xludf.DUMMYFUNCTION("""COMPUTED_VALUE"""),101.0)</f>
        <v>101</v>
      </c>
      <c r="AJ139" s="131" t="str">
        <f>IFERROR(__xludf.DUMMYFUNCTION("""COMPUTED_VALUE"""),"S15,G16")</f>
        <v>S15,G16</v>
      </c>
      <c r="AK139" s="131"/>
    </row>
    <row r="140">
      <c r="A140" s="145" t="str">
        <f>IFERROR(__xludf.DUMMYFUNCTION("""COMPUTED_VALUE"""),"Y")</f>
        <v>Y</v>
      </c>
      <c r="B140" s="146" t="str">
        <f>IFERROR(__xludf.DUMMYFUNCTION("""COMPUTED_VALUE"""),"4")</f>
        <v>4</v>
      </c>
      <c r="C140" s="146"/>
      <c r="D140" s="147">
        <f>IFERROR(__xludf.DUMMYFUNCTION("""COMPUTED_VALUE"""),45652.0)</f>
        <v>45652</v>
      </c>
      <c r="E140" s="147">
        <f>IFERROR(__xludf.DUMMYFUNCTION("""COMPUTED_VALUE"""),45659.0)</f>
        <v>45659</v>
      </c>
      <c r="F140" s="147">
        <f>IFERROR(__xludf.DUMMYFUNCTION("""COMPUTED_VALUE"""),45680.0)</f>
        <v>45680</v>
      </c>
      <c r="G140" s="146" t="str">
        <f>IFERROR(__xludf.DUMMYFUNCTION("""COMPUTED_VALUE"""),"D40-4L-1")</f>
        <v>D40-4L-1</v>
      </c>
      <c r="H140" s="148"/>
      <c r="I140" s="148"/>
      <c r="J140" s="146"/>
      <c r="K140" s="146"/>
      <c r="L140" s="146">
        <f>IFERROR(__xludf.DUMMYFUNCTION("""COMPUTED_VALUE"""),328.0)</f>
        <v>328</v>
      </c>
      <c r="M140" s="146">
        <f>IFERROR(__xludf.DUMMYFUNCTION("""COMPUTED_VALUE"""),342.0)</f>
        <v>342</v>
      </c>
      <c r="N140" s="146">
        <f>IFERROR(__xludf.DUMMYFUNCTION("""COMPUTED_VALUE"""),8.0)</f>
        <v>8</v>
      </c>
      <c r="O140" s="146">
        <f>IFERROR(__xludf.DUMMYFUNCTION("""COMPUTED_VALUE"""),8.0)</f>
        <v>8</v>
      </c>
      <c r="P140" s="146">
        <f>IFERROR(__xludf.DUMMYFUNCTION("""COMPUTED_VALUE"""),101.0)</f>
        <v>101</v>
      </c>
      <c r="Q140" s="146" t="str">
        <f>IFERROR(__xludf.DUMMYFUNCTION("""COMPUTED_VALUE"""),"S15,G16")</f>
        <v>S15,G16</v>
      </c>
      <c r="R140" s="146"/>
      <c r="T140" s="131" t="str">
        <f>IFERROR(__xludf.DUMMYFUNCTION("""COMPUTED_VALUE"""),"Y")</f>
        <v>Y</v>
      </c>
      <c r="U140" s="131" t="str">
        <f>IFERROR(__xludf.DUMMYFUNCTION("""COMPUTED_VALUE"""),"4")</f>
        <v>4</v>
      </c>
      <c r="V140" s="131"/>
      <c r="W140" s="144">
        <f>IFERROR(__xludf.DUMMYFUNCTION("""COMPUTED_VALUE"""),45652.0)</f>
        <v>45652</v>
      </c>
      <c r="X140" s="144">
        <f>IFERROR(__xludf.DUMMYFUNCTION("""COMPUTED_VALUE"""),45659.0)</f>
        <v>45659</v>
      </c>
      <c r="Y140" s="144">
        <f>IFERROR(__xludf.DUMMYFUNCTION("""COMPUTED_VALUE"""),45680.0)</f>
        <v>45680</v>
      </c>
      <c r="Z140" s="131" t="str">
        <f>IFERROR(__xludf.DUMMYFUNCTION("""COMPUTED_VALUE"""),"D40-4L-1")</f>
        <v>D40-4L-1</v>
      </c>
      <c r="AA140" s="131"/>
      <c r="AB140" s="131"/>
      <c r="AC140" s="131"/>
      <c r="AD140" s="131"/>
      <c r="AE140" s="131">
        <f>IFERROR(__xludf.DUMMYFUNCTION("""COMPUTED_VALUE"""),346.0)</f>
        <v>346</v>
      </c>
      <c r="AF140" s="131">
        <f>IFERROR(__xludf.DUMMYFUNCTION("""COMPUTED_VALUE"""),412.0)</f>
        <v>412</v>
      </c>
      <c r="AG140" s="131">
        <f>IFERROR(__xludf.DUMMYFUNCTION("""COMPUTED_VALUE"""),34.0)</f>
        <v>34</v>
      </c>
      <c r="AH140" s="131">
        <f>IFERROR(__xludf.DUMMYFUNCTION("""COMPUTED_VALUE"""),34.0)</f>
        <v>34</v>
      </c>
      <c r="AI140" s="131">
        <f>IFERROR(__xludf.DUMMYFUNCTION("""COMPUTED_VALUE"""),101.0)</f>
        <v>101</v>
      </c>
      <c r="AJ140" s="131" t="str">
        <f>IFERROR(__xludf.DUMMYFUNCTION("""COMPUTED_VALUE"""),"S15,G16")</f>
        <v>S15,G16</v>
      </c>
      <c r="AK140" s="131"/>
    </row>
    <row r="141">
      <c r="A141" s="145" t="str">
        <f>IFERROR(__xludf.DUMMYFUNCTION("""COMPUTED_VALUE"""),"Y")</f>
        <v>Y</v>
      </c>
      <c r="B141" s="146" t="str">
        <f>IFERROR(__xludf.DUMMYFUNCTION("""COMPUTED_VALUE"""),"4")</f>
        <v>4</v>
      </c>
      <c r="C141" s="146"/>
      <c r="D141" s="147">
        <f>IFERROR(__xludf.DUMMYFUNCTION("""COMPUTED_VALUE"""),45652.0)</f>
        <v>45652</v>
      </c>
      <c r="E141" s="147">
        <f>IFERROR(__xludf.DUMMYFUNCTION("""COMPUTED_VALUE"""),45659.0)</f>
        <v>45659</v>
      </c>
      <c r="F141" s="147">
        <f>IFERROR(__xludf.DUMMYFUNCTION("""COMPUTED_VALUE"""),45680.0)</f>
        <v>45680</v>
      </c>
      <c r="G141" s="146" t="str">
        <f>IFERROR(__xludf.DUMMYFUNCTION("""COMPUTED_VALUE"""),"D40-4L-1")</f>
        <v>D40-4L-1</v>
      </c>
      <c r="H141" s="148"/>
      <c r="I141" s="148"/>
      <c r="J141" s="146"/>
      <c r="K141" s="146"/>
      <c r="L141" s="146">
        <f>IFERROR(__xludf.DUMMYFUNCTION("""COMPUTED_VALUE"""),346.0)</f>
        <v>346</v>
      </c>
      <c r="M141" s="146">
        <f>IFERROR(__xludf.DUMMYFUNCTION("""COMPUTED_VALUE"""),412.0)</f>
        <v>412</v>
      </c>
      <c r="N141" s="146">
        <f>IFERROR(__xludf.DUMMYFUNCTION("""COMPUTED_VALUE"""),34.0)</f>
        <v>34</v>
      </c>
      <c r="O141" s="146">
        <f>IFERROR(__xludf.DUMMYFUNCTION("""COMPUTED_VALUE"""),34.0)</f>
        <v>34</v>
      </c>
      <c r="P141" s="146">
        <f>IFERROR(__xludf.DUMMYFUNCTION("""COMPUTED_VALUE"""),101.0)</f>
        <v>101</v>
      </c>
      <c r="Q141" s="146" t="str">
        <f>IFERROR(__xludf.DUMMYFUNCTION("""COMPUTED_VALUE"""),"S15,G16")</f>
        <v>S15,G16</v>
      </c>
      <c r="R141" s="146"/>
      <c r="T141" s="131" t="str">
        <f>IFERROR(__xludf.DUMMYFUNCTION("""COMPUTED_VALUE"""),"Y")</f>
        <v>Y</v>
      </c>
      <c r="U141" s="131" t="str">
        <f>IFERROR(__xludf.DUMMYFUNCTION("""COMPUTED_VALUE"""),"4")</f>
        <v>4</v>
      </c>
      <c r="V141" s="131"/>
      <c r="W141" s="144">
        <f>IFERROR(__xludf.DUMMYFUNCTION("""COMPUTED_VALUE"""),45652.0)</f>
        <v>45652</v>
      </c>
      <c r="X141" s="144">
        <f>IFERROR(__xludf.DUMMYFUNCTION("""COMPUTED_VALUE"""),45659.0)</f>
        <v>45659</v>
      </c>
      <c r="Y141" s="144">
        <f>IFERROR(__xludf.DUMMYFUNCTION("""COMPUTED_VALUE"""),45680.0)</f>
        <v>45680</v>
      </c>
      <c r="Z141" s="131" t="str">
        <f>IFERROR(__xludf.DUMMYFUNCTION("""COMPUTED_VALUE"""),"D40-4L-1")</f>
        <v>D40-4L-1</v>
      </c>
      <c r="AA141" s="131"/>
      <c r="AB141" s="131"/>
      <c r="AC141" s="131"/>
      <c r="AD141" s="131"/>
      <c r="AE141" s="131">
        <f>IFERROR(__xludf.DUMMYFUNCTION("""COMPUTED_VALUE"""),416.0)</f>
        <v>416</v>
      </c>
      <c r="AF141" s="131">
        <f>IFERROR(__xludf.DUMMYFUNCTION("""COMPUTED_VALUE"""),420.0)</f>
        <v>420</v>
      </c>
      <c r="AG141" s="131">
        <f>IFERROR(__xludf.DUMMYFUNCTION("""COMPUTED_VALUE"""),3.0)</f>
        <v>3</v>
      </c>
      <c r="AH141" s="131">
        <f>IFERROR(__xludf.DUMMYFUNCTION("""COMPUTED_VALUE"""),3.0)</f>
        <v>3</v>
      </c>
      <c r="AI141" s="131">
        <f>IFERROR(__xludf.DUMMYFUNCTION("""COMPUTED_VALUE"""),101.0)</f>
        <v>101</v>
      </c>
      <c r="AJ141" s="131" t="str">
        <f>IFERROR(__xludf.DUMMYFUNCTION("""COMPUTED_VALUE"""),"S15,G16")</f>
        <v>S15,G16</v>
      </c>
      <c r="AK141" s="131"/>
    </row>
    <row r="142">
      <c r="A142" s="145" t="str">
        <f>IFERROR(__xludf.DUMMYFUNCTION("""COMPUTED_VALUE"""),"Y")</f>
        <v>Y</v>
      </c>
      <c r="B142" s="146" t="str">
        <f>IFERROR(__xludf.DUMMYFUNCTION("""COMPUTED_VALUE"""),"4")</f>
        <v>4</v>
      </c>
      <c r="C142" s="146"/>
      <c r="D142" s="147">
        <f>IFERROR(__xludf.DUMMYFUNCTION("""COMPUTED_VALUE"""),45652.0)</f>
        <v>45652</v>
      </c>
      <c r="E142" s="147">
        <f>IFERROR(__xludf.DUMMYFUNCTION("""COMPUTED_VALUE"""),45659.0)</f>
        <v>45659</v>
      </c>
      <c r="F142" s="147">
        <f>IFERROR(__xludf.DUMMYFUNCTION("""COMPUTED_VALUE"""),45680.0)</f>
        <v>45680</v>
      </c>
      <c r="G142" s="146" t="str">
        <f>IFERROR(__xludf.DUMMYFUNCTION("""COMPUTED_VALUE"""),"D40-4L-1")</f>
        <v>D40-4L-1</v>
      </c>
      <c r="H142" s="148"/>
      <c r="I142" s="148"/>
      <c r="J142" s="146"/>
      <c r="K142" s="146"/>
      <c r="L142" s="146">
        <f>IFERROR(__xludf.DUMMYFUNCTION("""COMPUTED_VALUE"""),416.0)</f>
        <v>416</v>
      </c>
      <c r="M142" s="146">
        <f>IFERROR(__xludf.DUMMYFUNCTION("""COMPUTED_VALUE"""),420.0)</f>
        <v>420</v>
      </c>
      <c r="N142" s="146">
        <f>IFERROR(__xludf.DUMMYFUNCTION("""COMPUTED_VALUE"""),3.0)</f>
        <v>3</v>
      </c>
      <c r="O142" s="146">
        <f>IFERROR(__xludf.DUMMYFUNCTION("""COMPUTED_VALUE"""),3.0)</f>
        <v>3</v>
      </c>
      <c r="P142" s="146">
        <f>IFERROR(__xludf.DUMMYFUNCTION("""COMPUTED_VALUE"""),101.0)</f>
        <v>101</v>
      </c>
      <c r="Q142" s="146" t="str">
        <f>IFERROR(__xludf.DUMMYFUNCTION("""COMPUTED_VALUE"""),"S15,G16")</f>
        <v>S15,G16</v>
      </c>
      <c r="R142" s="146"/>
      <c r="T142" s="131" t="str">
        <f>IFERROR(__xludf.DUMMYFUNCTION("""COMPUTED_VALUE"""),"Y")</f>
        <v>Y</v>
      </c>
      <c r="U142" s="131" t="str">
        <f>IFERROR(__xludf.DUMMYFUNCTION("""COMPUTED_VALUE"""),"4")</f>
        <v>4</v>
      </c>
      <c r="V142" s="131"/>
      <c r="W142" s="144">
        <f>IFERROR(__xludf.DUMMYFUNCTION("""COMPUTED_VALUE"""),45652.0)</f>
        <v>45652</v>
      </c>
      <c r="X142" s="144">
        <f>IFERROR(__xludf.DUMMYFUNCTION("""COMPUTED_VALUE"""),45659.0)</f>
        <v>45659</v>
      </c>
      <c r="Y142" s="144">
        <f>IFERROR(__xludf.DUMMYFUNCTION("""COMPUTED_VALUE"""),45680.0)</f>
        <v>45680</v>
      </c>
      <c r="Z142" s="131" t="str">
        <f>IFERROR(__xludf.DUMMYFUNCTION("""COMPUTED_VALUE"""),"BRG12")</f>
        <v>BRG12</v>
      </c>
      <c r="AA142" s="131"/>
      <c r="AB142" s="131"/>
      <c r="AC142" s="131"/>
      <c r="AD142" s="131"/>
      <c r="AE142" s="131"/>
      <c r="AF142" s="131"/>
      <c r="AG142" s="131"/>
      <c r="AH142" s="131"/>
      <c r="AI142" s="131"/>
      <c r="AJ142" s="131"/>
      <c r="AK142" s="131"/>
    </row>
    <row r="143">
      <c r="A143" s="145" t="str">
        <f>IFERROR(__xludf.DUMMYFUNCTION("""COMPUTED_VALUE"""),"Y")</f>
        <v>Y</v>
      </c>
      <c r="B143" s="146" t="str">
        <f>IFERROR(__xludf.DUMMYFUNCTION("""COMPUTED_VALUE"""),"4")</f>
        <v>4</v>
      </c>
      <c r="C143" s="146"/>
      <c r="D143" s="147">
        <f>IFERROR(__xludf.DUMMYFUNCTION("""COMPUTED_VALUE"""),45652.0)</f>
        <v>45652</v>
      </c>
      <c r="E143" s="147">
        <f>IFERROR(__xludf.DUMMYFUNCTION("""COMPUTED_VALUE"""),45659.0)</f>
        <v>45659</v>
      </c>
      <c r="F143" s="147">
        <f>IFERROR(__xludf.DUMMYFUNCTION("""COMPUTED_VALUE"""),45680.0)</f>
        <v>45680</v>
      </c>
      <c r="G143" s="146" t="str">
        <f>IFERROR(__xludf.DUMMYFUNCTION("""COMPUTED_VALUE"""),"BRG12")</f>
        <v>BRG12</v>
      </c>
      <c r="H143" s="148"/>
      <c r="I143" s="148"/>
      <c r="J143" s="146"/>
      <c r="K143" s="146"/>
      <c r="L143" s="146"/>
      <c r="M143" s="146"/>
      <c r="N143" s="146"/>
      <c r="O143" s="146"/>
      <c r="P143" s="146"/>
      <c r="Q143" s="146"/>
      <c r="R143" s="146"/>
      <c r="T143" s="131" t="str">
        <f>IFERROR(__xludf.DUMMYFUNCTION("""COMPUTED_VALUE"""),"Y")</f>
        <v>Y</v>
      </c>
      <c r="U143" s="131" t="str">
        <f>IFERROR(__xludf.DUMMYFUNCTION("""COMPUTED_VALUE"""),"4")</f>
        <v>4</v>
      </c>
      <c r="V143" s="131"/>
      <c r="W143" s="144">
        <f>IFERROR(__xludf.DUMMYFUNCTION("""COMPUTED_VALUE"""),45652.0)</f>
        <v>45652</v>
      </c>
      <c r="X143" s="144">
        <f>IFERROR(__xludf.DUMMYFUNCTION("""COMPUTED_VALUE"""),45659.0)</f>
        <v>45659</v>
      </c>
      <c r="Y143" s="144">
        <f>IFERROR(__xludf.DUMMYFUNCTION("""COMPUTED_VALUE"""),45680.0)</f>
        <v>45680</v>
      </c>
      <c r="Z143" s="131" t="str">
        <f>IFERROR(__xludf.DUMMYFUNCTION("""COMPUTED_VALUE"""),"BRG12")</f>
        <v>BRG12</v>
      </c>
      <c r="AA143" s="131"/>
      <c r="AB143" s="131"/>
      <c r="AC143" s="131"/>
      <c r="AD143" s="131"/>
      <c r="AE143" s="131">
        <f>IFERROR(__xludf.DUMMYFUNCTION("""COMPUTED_VALUE"""),1766.0)</f>
        <v>1766</v>
      </c>
      <c r="AF143" s="131">
        <f>IFERROR(__xludf.DUMMYFUNCTION("""COMPUTED_VALUE"""),1836.0)</f>
        <v>1836</v>
      </c>
      <c r="AG143" s="131">
        <f>IFERROR(__xludf.DUMMYFUNCTION("""COMPUTED_VALUE"""),36.0)</f>
        <v>36</v>
      </c>
      <c r="AH143" s="131">
        <f>IFERROR(__xludf.DUMMYFUNCTION("""COMPUTED_VALUE"""),36.0)</f>
        <v>36</v>
      </c>
      <c r="AI143" s="131">
        <f>IFERROR(__xludf.DUMMYFUNCTION("""COMPUTED_VALUE"""),100.0)</f>
        <v>100</v>
      </c>
      <c r="AJ143" s="131" t="str">
        <f>IFERROR(__xludf.DUMMYFUNCTION("""COMPUTED_VALUE"""),"S15,G16")</f>
        <v>S15,G16</v>
      </c>
      <c r="AK143" s="131"/>
    </row>
    <row r="144">
      <c r="A144" s="145" t="str">
        <f>IFERROR(__xludf.DUMMYFUNCTION("""COMPUTED_VALUE"""),"Y")</f>
        <v>Y</v>
      </c>
      <c r="B144" s="146" t="str">
        <f>IFERROR(__xludf.DUMMYFUNCTION("""COMPUTED_VALUE"""),"4")</f>
        <v>4</v>
      </c>
      <c r="C144" s="146"/>
      <c r="D144" s="147">
        <f>IFERROR(__xludf.DUMMYFUNCTION("""COMPUTED_VALUE"""),45652.0)</f>
        <v>45652</v>
      </c>
      <c r="E144" s="147">
        <f>IFERROR(__xludf.DUMMYFUNCTION("""COMPUTED_VALUE"""),45659.0)</f>
        <v>45659</v>
      </c>
      <c r="F144" s="147">
        <f>IFERROR(__xludf.DUMMYFUNCTION("""COMPUTED_VALUE"""),45680.0)</f>
        <v>45680</v>
      </c>
      <c r="G144" s="146" t="str">
        <f>IFERROR(__xludf.DUMMYFUNCTION("""COMPUTED_VALUE"""),"BRG12")</f>
        <v>BRG12</v>
      </c>
      <c r="H144" s="148"/>
      <c r="I144" s="148"/>
      <c r="J144" s="146"/>
      <c r="K144" s="146"/>
      <c r="L144" s="146">
        <f>IFERROR(__xludf.DUMMYFUNCTION("""COMPUTED_VALUE"""),1766.0)</f>
        <v>1766</v>
      </c>
      <c r="M144" s="146">
        <f>IFERROR(__xludf.DUMMYFUNCTION("""COMPUTED_VALUE"""),1836.0)</f>
        <v>1836</v>
      </c>
      <c r="N144" s="146">
        <f>IFERROR(__xludf.DUMMYFUNCTION("""COMPUTED_VALUE"""),36.0)</f>
        <v>36</v>
      </c>
      <c r="O144" s="146">
        <f>IFERROR(__xludf.DUMMYFUNCTION("""COMPUTED_VALUE"""),36.0)</f>
        <v>36</v>
      </c>
      <c r="P144" s="146">
        <f>IFERROR(__xludf.DUMMYFUNCTION("""COMPUTED_VALUE"""),100.0)</f>
        <v>100</v>
      </c>
      <c r="Q144" s="146" t="str">
        <f>IFERROR(__xludf.DUMMYFUNCTION("""COMPUTED_VALUE"""),"S15,G16")</f>
        <v>S15,G16</v>
      </c>
      <c r="R144" s="146"/>
      <c r="T144" s="131" t="str">
        <f>IFERROR(__xludf.DUMMYFUNCTION("""COMPUTED_VALUE"""),"Y")</f>
        <v>Y</v>
      </c>
      <c r="U144" s="131" t="str">
        <f>IFERROR(__xludf.DUMMYFUNCTION("""COMPUTED_VALUE"""),"4")</f>
        <v>4</v>
      </c>
      <c r="V144" s="131"/>
      <c r="W144" s="144">
        <f>IFERROR(__xludf.DUMMYFUNCTION("""COMPUTED_VALUE"""),45654.0)</f>
        <v>45654</v>
      </c>
      <c r="X144" s="144">
        <f>IFERROR(__xludf.DUMMYFUNCTION("""COMPUTED_VALUE"""),45661.0)</f>
        <v>45661</v>
      </c>
      <c r="Y144" s="144">
        <f>IFERROR(__xludf.DUMMYFUNCTION("""COMPUTED_VALUE"""),45682.0)</f>
        <v>45682</v>
      </c>
      <c r="Z144" s="131" t="str">
        <f>IFERROR(__xludf.DUMMYFUNCTION("""COMPUTED_VALUE"""),"D37-1R")</f>
        <v>D37-1R</v>
      </c>
      <c r="AA144" s="131"/>
      <c r="AB144" s="131"/>
      <c r="AC144" s="131"/>
      <c r="AD144" s="131"/>
      <c r="AE144" s="131"/>
      <c r="AF144" s="131"/>
      <c r="AG144" s="131"/>
      <c r="AH144" s="131"/>
      <c r="AI144" s="131">
        <f>IFERROR(__xludf.DUMMYFUNCTION("""COMPUTED_VALUE"""),103.0)</f>
        <v>103</v>
      </c>
      <c r="AJ144" s="131" t="str">
        <f>IFERROR(__xludf.DUMMYFUNCTION("""COMPUTED_VALUE"""),"S16,G17")</f>
        <v>S16,G17</v>
      </c>
      <c r="AK144" s="131"/>
    </row>
    <row r="145">
      <c r="A145" s="145" t="str">
        <f>IFERROR(__xludf.DUMMYFUNCTION("""COMPUTED_VALUE"""),"Y")</f>
        <v>Y</v>
      </c>
      <c r="B145" s="146" t="str">
        <f>IFERROR(__xludf.DUMMYFUNCTION("""COMPUTED_VALUE"""),"4")</f>
        <v>4</v>
      </c>
      <c r="C145" s="146"/>
      <c r="D145" s="147">
        <f>IFERROR(__xludf.DUMMYFUNCTION("""COMPUTED_VALUE"""),45654.0)</f>
        <v>45654</v>
      </c>
      <c r="E145" s="147">
        <f>IFERROR(__xludf.DUMMYFUNCTION("""COMPUTED_VALUE"""),45661.0)</f>
        <v>45661</v>
      </c>
      <c r="F145" s="147">
        <f>IFERROR(__xludf.DUMMYFUNCTION("""COMPUTED_VALUE"""),45682.0)</f>
        <v>45682</v>
      </c>
      <c r="G145" s="146" t="str">
        <f>IFERROR(__xludf.DUMMYFUNCTION("""COMPUTED_VALUE"""),"D37-1R")</f>
        <v>D37-1R</v>
      </c>
      <c r="H145" s="148"/>
      <c r="I145" s="148"/>
      <c r="J145" s="146"/>
      <c r="K145" s="146"/>
      <c r="L145" s="146"/>
      <c r="M145" s="146"/>
      <c r="N145" s="146"/>
      <c r="O145" s="146"/>
      <c r="P145" s="146">
        <f>IFERROR(__xludf.DUMMYFUNCTION("""COMPUTED_VALUE"""),103.0)</f>
        <v>103</v>
      </c>
      <c r="Q145" s="146" t="str">
        <f>IFERROR(__xludf.DUMMYFUNCTION("""COMPUTED_VALUE"""),"S16,G17")</f>
        <v>S16,G17</v>
      </c>
      <c r="R145" s="146"/>
      <c r="T145" s="131" t="str">
        <f>IFERROR(__xludf.DUMMYFUNCTION("""COMPUTED_VALUE"""),"Y")</f>
        <v>Y</v>
      </c>
      <c r="U145" s="131" t="str">
        <f>IFERROR(__xludf.DUMMYFUNCTION("""COMPUTED_VALUE"""),"4")</f>
        <v>4</v>
      </c>
      <c r="V145" s="131"/>
      <c r="W145" s="144">
        <f>IFERROR(__xludf.DUMMYFUNCTION("""COMPUTED_VALUE"""),45654.0)</f>
        <v>45654</v>
      </c>
      <c r="X145" s="144">
        <f>IFERROR(__xludf.DUMMYFUNCTION("""COMPUTED_VALUE"""),45661.0)</f>
        <v>45661</v>
      </c>
      <c r="Y145" s="144">
        <f>IFERROR(__xludf.DUMMYFUNCTION("""COMPUTED_VALUE"""),45682.0)</f>
        <v>45682</v>
      </c>
      <c r="Z145" s="131" t="str">
        <f>IFERROR(__xludf.DUMMYFUNCTION("""COMPUTED_VALUE"""),"D35-3R")</f>
        <v>D35-3R</v>
      </c>
      <c r="AA145" s="131"/>
      <c r="AB145" s="131"/>
      <c r="AC145" s="131"/>
      <c r="AD145" s="131"/>
      <c r="AE145" s="131">
        <f>IFERROR(__xludf.DUMMYFUNCTION("""COMPUTED_VALUE"""),4.0)</f>
        <v>4</v>
      </c>
      <c r="AF145" s="131">
        <f>IFERROR(__xludf.DUMMYFUNCTION("""COMPUTED_VALUE"""),54.0)</f>
        <v>54</v>
      </c>
      <c r="AG145" s="131">
        <f>IFERROR(__xludf.DUMMYFUNCTION("""COMPUTED_VALUE"""),26.0)</f>
        <v>26</v>
      </c>
      <c r="AH145" s="131">
        <f>IFERROR(__xludf.DUMMYFUNCTION("""COMPUTED_VALUE"""),26.0)</f>
        <v>26</v>
      </c>
      <c r="AI145" s="131">
        <f>IFERROR(__xludf.DUMMYFUNCTION("""COMPUTED_VALUE"""),104.0)</f>
        <v>104</v>
      </c>
      <c r="AJ145" s="131" t="str">
        <f>IFERROR(__xludf.DUMMYFUNCTION("""COMPUTED_VALUE"""),"S16,G17")</f>
        <v>S16,G17</v>
      </c>
      <c r="AK145" s="131">
        <f>IFERROR(__xludf.DUMMYFUNCTION("""COMPUTED_VALUE"""),12.38)</f>
        <v>12.38</v>
      </c>
    </row>
    <row r="146">
      <c r="A146" s="145" t="str">
        <f>IFERROR(__xludf.DUMMYFUNCTION("""COMPUTED_VALUE"""),"Y")</f>
        <v>Y</v>
      </c>
      <c r="B146" s="146" t="str">
        <f>IFERROR(__xludf.DUMMYFUNCTION("""COMPUTED_VALUE"""),"4")</f>
        <v>4</v>
      </c>
      <c r="C146" s="146"/>
      <c r="D146" s="147">
        <f>IFERROR(__xludf.DUMMYFUNCTION("""COMPUTED_VALUE"""),45654.0)</f>
        <v>45654</v>
      </c>
      <c r="E146" s="147">
        <f>IFERROR(__xludf.DUMMYFUNCTION("""COMPUTED_VALUE"""),45661.0)</f>
        <v>45661</v>
      </c>
      <c r="F146" s="147">
        <f>IFERROR(__xludf.DUMMYFUNCTION("""COMPUTED_VALUE"""),45682.0)</f>
        <v>45682</v>
      </c>
      <c r="G146" s="146" t="str">
        <f>IFERROR(__xludf.DUMMYFUNCTION("""COMPUTED_VALUE"""),"D35-3R")</f>
        <v>D35-3R</v>
      </c>
      <c r="H146" s="148"/>
      <c r="I146" s="148"/>
      <c r="J146" s="146"/>
      <c r="K146" s="146"/>
      <c r="L146" s="146">
        <f>IFERROR(__xludf.DUMMYFUNCTION("""COMPUTED_VALUE"""),4.0)</f>
        <v>4</v>
      </c>
      <c r="M146" s="146">
        <f>IFERROR(__xludf.DUMMYFUNCTION("""COMPUTED_VALUE"""),54.0)</f>
        <v>54</v>
      </c>
      <c r="N146" s="146">
        <f>IFERROR(__xludf.DUMMYFUNCTION("""COMPUTED_VALUE"""),26.0)</f>
        <v>26</v>
      </c>
      <c r="O146" s="146">
        <f>IFERROR(__xludf.DUMMYFUNCTION("""COMPUTED_VALUE"""),26.0)</f>
        <v>26</v>
      </c>
      <c r="P146" s="146">
        <f>IFERROR(__xludf.DUMMYFUNCTION("""COMPUTED_VALUE"""),104.0)</f>
        <v>104</v>
      </c>
      <c r="Q146" s="146" t="str">
        <f>IFERROR(__xludf.DUMMYFUNCTION("""COMPUTED_VALUE"""),"S16,G17")</f>
        <v>S16,G17</v>
      </c>
      <c r="R146" s="146">
        <f>IFERROR(__xludf.DUMMYFUNCTION("""COMPUTED_VALUE"""),12.38)</f>
        <v>12.38</v>
      </c>
      <c r="T146" s="131" t="str">
        <f>IFERROR(__xludf.DUMMYFUNCTION("""COMPUTED_VALUE"""),"Y")</f>
        <v>Y</v>
      </c>
      <c r="U146" s="131" t="str">
        <f>IFERROR(__xludf.DUMMYFUNCTION("""COMPUTED_VALUE"""),"4")</f>
        <v>4</v>
      </c>
      <c r="V146" s="131"/>
      <c r="W146" s="144">
        <f>IFERROR(__xludf.DUMMYFUNCTION("""COMPUTED_VALUE"""),45654.0)</f>
        <v>45654</v>
      </c>
      <c r="X146" s="144">
        <f>IFERROR(__xludf.DUMMYFUNCTION("""COMPUTED_VALUE"""),45661.0)</f>
        <v>45661</v>
      </c>
      <c r="Y146" s="144">
        <f>IFERROR(__xludf.DUMMYFUNCTION("""COMPUTED_VALUE"""),45682.0)</f>
        <v>45682</v>
      </c>
      <c r="Z146" s="131" t="str">
        <f>IFERROR(__xludf.DUMMYFUNCTION("""COMPUTED_VALUE"""),"D35-2R")</f>
        <v>D35-2R</v>
      </c>
      <c r="AA146" s="131"/>
      <c r="AB146" s="131"/>
      <c r="AC146" s="131"/>
      <c r="AD146" s="131"/>
      <c r="AE146" s="131">
        <f>IFERROR(__xludf.DUMMYFUNCTION("""COMPUTED_VALUE"""),6.0)</f>
        <v>6</v>
      </c>
      <c r="AF146" s="131">
        <f>IFERROR(__xludf.DUMMYFUNCTION("""COMPUTED_VALUE"""),34.0)</f>
        <v>34</v>
      </c>
      <c r="AG146" s="131">
        <f>IFERROR(__xludf.DUMMYFUNCTION("""COMPUTED_VALUE"""),15.0)</f>
        <v>15</v>
      </c>
      <c r="AH146" s="131">
        <f>IFERROR(__xludf.DUMMYFUNCTION("""COMPUTED_VALUE"""),15.0)</f>
        <v>15</v>
      </c>
      <c r="AI146" s="131">
        <f>IFERROR(__xludf.DUMMYFUNCTION("""COMPUTED_VALUE"""),104.0)</f>
        <v>104</v>
      </c>
      <c r="AJ146" s="131" t="str">
        <f>IFERROR(__xludf.DUMMYFUNCTION("""COMPUTED_VALUE"""),"S16,G17")</f>
        <v>S16,G17</v>
      </c>
      <c r="AK146" s="131">
        <f>IFERROR(__xludf.DUMMYFUNCTION("""COMPUTED_VALUE"""),12.38)</f>
        <v>12.38</v>
      </c>
    </row>
    <row r="147">
      <c r="A147" s="145" t="str">
        <f>IFERROR(__xludf.DUMMYFUNCTION("""COMPUTED_VALUE"""),"Y")</f>
        <v>Y</v>
      </c>
      <c r="B147" s="146" t="str">
        <f>IFERROR(__xludf.DUMMYFUNCTION("""COMPUTED_VALUE"""),"4")</f>
        <v>4</v>
      </c>
      <c r="C147" s="146"/>
      <c r="D147" s="147">
        <f>IFERROR(__xludf.DUMMYFUNCTION("""COMPUTED_VALUE"""),45654.0)</f>
        <v>45654</v>
      </c>
      <c r="E147" s="147">
        <f>IFERROR(__xludf.DUMMYFUNCTION("""COMPUTED_VALUE"""),45661.0)</f>
        <v>45661</v>
      </c>
      <c r="F147" s="147">
        <f>IFERROR(__xludf.DUMMYFUNCTION("""COMPUTED_VALUE"""),45682.0)</f>
        <v>45682</v>
      </c>
      <c r="G147" s="146" t="str">
        <f>IFERROR(__xludf.DUMMYFUNCTION("""COMPUTED_VALUE"""),"D35-2R")</f>
        <v>D35-2R</v>
      </c>
      <c r="H147" s="148"/>
      <c r="I147" s="148"/>
      <c r="J147" s="146"/>
      <c r="K147" s="146"/>
      <c r="L147" s="146">
        <f>IFERROR(__xludf.DUMMYFUNCTION("""COMPUTED_VALUE"""),6.0)</f>
        <v>6</v>
      </c>
      <c r="M147" s="146">
        <f>IFERROR(__xludf.DUMMYFUNCTION("""COMPUTED_VALUE"""),34.0)</f>
        <v>34</v>
      </c>
      <c r="N147" s="146">
        <f>IFERROR(__xludf.DUMMYFUNCTION("""COMPUTED_VALUE"""),15.0)</f>
        <v>15</v>
      </c>
      <c r="O147" s="146">
        <f>IFERROR(__xludf.DUMMYFUNCTION("""COMPUTED_VALUE"""),15.0)</f>
        <v>15</v>
      </c>
      <c r="P147" s="146">
        <f>IFERROR(__xludf.DUMMYFUNCTION("""COMPUTED_VALUE"""),104.0)</f>
        <v>104</v>
      </c>
      <c r="Q147" s="146" t="str">
        <f>IFERROR(__xludf.DUMMYFUNCTION("""COMPUTED_VALUE"""),"S16,G17")</f>
        <v>S16,G17</v>
      </c>
      <c r="R147" s="146">
        <f>IFERROR(__xludf.DUMMYFUNCTION("""COMPUTED_VALUE"""),12.38)</f>
        <v>12.38</v>
      </c>
      <c r="T147" s="131" t="str">
        <f>IFERROR(__xludf.DUMMYFUNCTION("""COMPUTED_VALUE"""),"Y")</f>
        <v>Y</v>
      </c>
      <c r="U147" s="131" t="str">
        <f>IFERROR(__xludf.DUMMYFUNCTION("""COMPUTED_VALUE"""),"4")</f>
        <v>4</v>
      </c>
      <c r="V147" s="131"/>
      <c r="W147" s="144">
        <f>IFERROR(__xludf.DUMMYFUNCTION("""COMPUTED_VALUE"""),45654.0)</f>
        <v>45654</v>
      </c>
      <c r="X147" s="144">
        <f>IFERROR(__xludf.DUMMYFUNCTION("""COMPUTED_VALUE"""),45661.0)</f>
        <v>45661</v>
      </c>
      <c r="Y147" s="144">
        <f>IFERROR(__xludf.DUMMYFUNCTION("""COMPUTED_VALUE"""),45682.0)</f>
        <v>45682</v>
      </c>
      <c r="Z147" s="131" t="str">
        <f>IFERROR(__xludf.DUMMYFUNCTION("""COMPUTED_VALUE"""),"BRG12")</f>
        <v>BRG12</v>
      </c>
      <c r="AA147" s="131">
        <f>IFERROR(__xludf.DUMMYFUNCTION("""COMPUTED_VALUE"""),1915.0)</f>
        <v>1915</v>
      </c>
      <c r="AB147" s="131">
        <f>IFERROR(__xludf.DUMMYFUNCTION("""COMPUTED_VALUE"""),1939.0)</f>
        <v>1939</v>
      </c>
      <c r="AC147" s="131">
        <f>IFERROR(__xludf.DUMMYFUNCTION("""COMPUTED_VALUE"""),13.0)</f>
        <v>13</v>
      </c>
      <c r="AD147" s="131">
        <f>IFERROR(__xludf.DUMMYFUNCTION("""COMPUTED_VALUE"""),13.0)</f>
        <v>13</v>
      </c>
      <c r="AE147" s="131">
        <f>IFERROR(__xludf.DUMMYFUNCTION("""COMPUTED_VALUE"""),1838.0)</f>
        <v>1838</v>
      </c>
      <c r="AF147" s="131">
        <f>IFERROR(__xludf.DUMMYFUNCTION("""COMPUTED_VALUE"""),1876.0)</f>
        <v>1876</v>
      </c>
      <c r="AG147" s="131">
        <f>IFERROR(__xludf.DUMMYFUNCTION("""COMPUTED_VALUE"""),20.0)</f>
        <v>20</v>
      </c>
      <c r="AH147" s="131">
        <f>IFERROR(__xludf.DUMMYFUNCTION("""COMPUTED_VALUE"""),20.0)</f>
        <v>20</v>
      </c>
      <c r="AI147" s="131">
        <f>IFERROR(__xludf.DUMMYFUNCTION("""COMPUTED_VALUE"""),102.0)</f>
        <v>102</v>
      </c>
      <c r="AJ147" s="131" t="str">
        <f>IFERROR(__xludf.DUMMYFUNCTION("""COMPUTED_VALUE"""),"S15,G17")</f>
        <v>S15,G17</v>
      </c>
      <c r="AK147" s="131"/>
    </row>
    <row r="148">
      <c r="A148" s="145" t="str">
        <f>IFERROR(__xludf.DUMMYFUNCTION("""COMPUTED_VALUE"""),"Y")</f>
        <v>Y</v>
      </c>
      <c r="B148" s="146" t="str">
        <f>IFERROR(__xludf.DUMMYFUNCTION("""COMPUTED_VALUE"""),"4")</f>
        <v>4</v>
      </c>
      <c r="C148" s="146"/>
      <c r="D148" s="147">
        <f>IFERROR(__xludf.DUMMYFUNCTION("""COMPUTED_VALUE"""),45654.0)</f>
        <v>45654</v>
      </c>
      <c r="E148" s="147">
        <f>IFERROR(__xludf.DUMMYFUNCTION("""COMPUTED_VALUE"""),45661.0)</f>
        <v>45661</v>
      </c>
      <c r="F148" s="147">
        <f>IFERROR(__xludf.DUMMYFUNCTION("""COMPUTED_VALUE"""),45682.0)</f>
        <v>45682</v>
      </c>
      <c r="G148" s="146" t="str">
        <f>IFERROR(__xludf.DUMMYFUNCTION("""COMPUTED_VALUE"""),"BRG12")</f>
        <v>BRG12</v>
      </c>
      <c r="H148" s="148">
        <f>IFERROR(__xludf.DUMMYFUNCTION("""COMPUTED_VALUE"""),1915.0)</f>
        <v>1915</v>
      </c>
      <c r="I148" s="148">
        <f>IFERROR(__xludf.DUMMYFUNCTION("""COMPUTED_VALUE"""),1939.0)</f>
        <v>1939</v>
      </c>
      <c r="J148" s="146">
        <f>IFERROR(__xludf.DUMMYFUNCTION("""COMPUTED_VALUE"""),13.0)</f>
        <v>13</v>
      </c>
      <c r="K148" s="146">
        <f>IFERROR(__xludf.DUMMYFUNCTION("""COMPUTED_VALUE"""),13.0)</f>
        <v>13</v>
      </c>
      <c r="L148" s="146">
        <f>IFERROR(__xludf.DUMMYFUNCTION("""COMPUTED_VALUE"""),1838.0)</f>
        <v>1838</v>
      </c>
      <c r="M148" s="146">
        <f>IFERROR(__xludf.DUMMYFUNCTION("""COMPUTED_VALUE"""),1876.0)</f>
        <v>1876</v>
      </c>
      <c r="N148" s="146">
        <f>IFERROR(__xludf.DUMMYFUNCTION("""COMPUTED_VALUE"""),20.0)</f>
        <v>20</v>
      </c>
      <c r="O148" s="146">
        <f>IFERROR(__xludf.DUMMYFUNCTION("""COMPUTED_VALUE"""),20.0)</f>
        <v>20</v>
      </c>
      <c r="P148" s="146">
        <f>IFERROR(__xludf.DUMMYFUNCTION("""COMPUTED_VALUE"""),102.0)</f>
        <v>102</v>
      </c>
      <c r="Q148" s="146" t="str">
        <f>IFERROR(__xludf.DUMMYFUNCTION("""COMPUTED_VALUE"""),"S15,G17")</f>
        <v>S15,G17</v>
      </c>
      <c r="R148" s="146"/>
      <c r="T148" s="131" t="str">
        <f>IFERROR(__xludf.DUMMYFUNCTION("""COMPUTED_VALUE"""),"Y")</f>
        <v>Y</v>
      </c>
      <c r="U148" s="131" t="str">
        <f>IFERROR(__xludf.DUMMYFUNCTION("""COMPUTED_VALUE"""),"4")</f>
        <v>4</v>
      </c>
      <c r="V148" s="131"/>
      <c r="W148" s="144">
        <f>IFERROR(__xludf.DUMMYFUNCTION("""COMPUTED_VALUE"""),45654.0)</f>
        <v>45654</v>
      </c>
      <c r="X148" s="144">
        <f>IFERROR(__xludf.DUMMYFUNCTION("""COMPUTED_VALUE"""),45661.0)</f>
        <v>45661</v>
      </c>
      <c r="Y148" s="144">
        <f>IFERROR(__xludf.DUMMYFUNCTION("""COMPUTED_VALUE"""),45682.0)</f>
        <v>45682</v>
      </c>
      <c r="Z148" s="131" t="str">
        <f>IFERROR(__xludf.DUMMYFUNCTION("""COMPUTED_VALUE"""),"DC34")</f>
        <v>DC34</v>
      </c>
      <c r="AA148" s="131">
        <f>IFERROR(__xludf.DUMMYFUNCTION("""COMPUTED_VALUE"""),9.0)</f>
        <v>9</v>
      </c>
      <c r="AB148" s="131">
        <f>IFERROR(__xludf.DUMMYFUNCTION("""COMPUTED_VALUE"""),121.0)</f>
        <v>121</v>
      </c>
      <c r="AC148" s="131">
        <f>IFERROR(__xludf.DUMMYFUNCTION("""COMPUTED_VALUE"""),57.0)</f>
        <v>57</v>
      </c>
      <c r="AD148" s="131">
        <f>IFERROR(__xludf.DUMMYFUNCTION("""COMPUTED_VALUE"""),57.0)</f>
        <v>57</v>
      </c>
      <c r="AE148" s="131"/>
      <c r="AF148" s="131"/>
      <c r="AG148" s="131"/>
      <c r="AH148" s="131"/>
      <c r="AI148" s="131">
        <f>IFERROR(__xludf.DUMMYFUNCTION("""COMPUTED_VALUE"""),105.0)</f>
        <v>105</v>
      </c>
      <c r="AJ148" s="131" t="str">
        <f>IFERROR(__xludf.DUMMYFUNCTION("""COMPUTED_VALUE"""),"S16,G17")</f>
        <v>S16,G17</v>
      </c>
      <c r="AK148" s="131">
        <f>IFERROR(__xludf.DUMMYFUNCTION("""COMPUTED_VALUE"""),37.05)</f>
        <v>37.05</v>
      </c>
    </row>
    <row r="149">
      <c r="A149" s="145" t="str">
        <f>IFERROR(__xludf.DUMMYFUNCTION("""COMPUTED_VALUE"""),"Y")</f>
        <v>Y</v>
      </c>
      <c r="B149" s="146" t="str">
        <f>IFERROR(__xludf.DUMMYFUNCTION("""COMPUTED_VALUE"""),"4")</f>
        <v>4</v>
      </c>
      <c r="C149" s="146"/>
      <c r="D149" s="147">
        <f>IFERROR(__xludf.DUMMYFUNCTION("""COMPUTED_VALUE"""),45654.0)</f>
        <v>45654</v>
      </c>
      <c r="E149" s="147">
        <f>IFERROR(__xludf.DUMMYFUNCTION("""COMPUTED_VALUE"""),45661.0)</f>
        <v>45661</v>
      </c>
      <c r="F149" s="147">
        <f>IFERROR(__xludf.DUMMYFUNCTION("""COMPUTED_VALUE"""),45682.0)</f>
        <v>45682</v>
      </c>
      <c r="G149" s="146" t="str">
        <f>IFERROR(__xludf.DUMMYFUNCTION("""COMPUTED_VALUE"""),"DC34")</f>
        <v>DC34</v>
      </c>
      <c r="H149" s="148">
        <f>IFERROR(__xludf.DUMMYFUNCTION("""COMPUTED_VALUE"""),9.0)</f>
        <v>9</v>
      </c>
      <c r="I149" s="148">
        <f>IFERROR(__xludf.DUMMYFUNCTION("""COMPUTED_VALUE"""),121.0)</f>
        <v>121</v>
      </c>
      <c r="J149" s="146">
        <f>IFERROR(__xludf.DUMMYFUNCTION("""COMPUTED_VALUE"""),57.0)</f>
        <v>57</v>
      </c>
      <c r="K149" s="146">
        <f>IFERROR(__xludf.DUMMYFUNCTION("""COMPUTED_VALUE"""),57.0)</f>
        <v>57</v>
      </c>
      <c r="L149" s="146"/>
      <c r="M149" s="146"/>
      <c r="N149" s="146"/>
      <c r="O149" s="146"/>
      <c r="P149" s="146">
        <f>IFERROR(__xludf.DUMMYFUNCTION("""COMPUTED_VALUE"""),105.0)</f>
        <v>105</v>
      </c>
      <c r="Q149" s="146" t="str">
        <f>IFERROR(__xludf.DUMMYFUNCTION("""COMPUTED_VALUE"""),"S16,G17")</f>
        <v>S16,G17</v>
      </c>
      <c r="R149" s="146">
        <f>IFERROR(__xludf.DUMMYFUNCTION("""COMPUTED_VALUE"""),37.05)</f>
        <v>37.05</v>
      </c>
      <c r="T149" s="131" t="str">
        <f>IFERROR(__xludf.DUMMYFUNCTION("""COMPUTED_VALUE"""),"Y")</f>
        <v>Y</v>
      </c>
      <c r="U149" s="131" t="str">
        <f>IFERROR(__xludf.DUMMYFUNCTION("""COMPUTED_VALUE"""),"4")</f>
        <v>4</v>
      </c>
      <c r="V149" s="131"/>
      <c r="W149" s="144">
        <f>IFERROR(__xludf.DUMMYFUNCTION("""COMPUTED_VALUE"""),45655.0)</f>
        <v>45655</v>
      </c>
      <c r="X149" s="144">
        <f>IFERROR(__xludf.DUMMYFUNCTION("""COMPUTED_VALUE"""),45662.0)</f>
        <v>45662</v>
      </c>
      <c r="Y149" s="144">
        <f>IFERROR(__xludf.DUMMYFUNCTION("""COMPUTED_VALUE"""),45683.0)</f>
        <v>45683</v>
      </c>
      <c r="Z149" s="131" t="str">
        <f>IFERROR(__xludf.DUMMYFUNCTION("""COMPUTED_VALUE"""),"D37-1R")</f>
        <v>D37-1R</v>
      </c>
      <c r="AA149" s="131"/>
      <c r="AB149" s="131"/>
      <c r="AC149" s="131"/>
      <c r="AD149" s="131"/>
      <c r="AE149" s="131">
        <f>IFERROR(__xludf.DUMMYFUNCTION("""COMPUTED_VALUE"""),214.0)</f>
        <v>214</v>
      </c>
      <c r="AF149" s="131">
        <f>IFERROR(__xludf.DUMMYFUNCTION("""COMPUTED_VALUE"""),302.0)</f>
        <v>302</v>
      </c>
      <c r="AG149" s="131">
        <f>IFERROR(__xludf.DUMMYFUNCTION("""COMPUTED_VALUE"""),45.0)</f>
        <v>45</v>
      </c>
      <c r="AH149" s="131">
        <f>IFERROR(__xludf.DUMMYFUNCTION("""COMPUTED_VALUE"""),45.0)</f>
        <v>45</v>
      </c>
      <c r="AI149" s="131">
        <f>IFERROR(__xludf.DUMMYFUNCTION("""COMPUTED_VALUE"""),107.0)</f>
        <v>107</v>
      </c>
      <c r="AJ149" s="131" t="str">
        <f>IFERROR(__xludf.DUMMYFUNCTION("""COMPUTED_VALUE"""),"S16,G17")</f>
        <v>S16,G17</v>
      </c>
      <c r="AK149" s="131"/>
    </row>
    <row r="150">
      <c r="A150" s="145" t="str">
        <f>IFERROR(__xludf.DUMMYFUNCTION("""COMPUTED_VALUE"""),"Y")</f>
        <v>Y</v>
      </c>
      <c r="B150" s="146" t="str">
        <f>IFERROR(__xludf.DUMMYFUNCTION("""COMPUTED_VALUE"""),"4")</f>
        <v>4</v>
      </c>
      <c r="C150" s="146"/>
      <c r="D150" s="147">
        <f>IFERROR(__xludf.DUMMYFUNCTION("""COMPUTED_VALUE"""),45655.0)</f>
        <v>45655</v>
      </c>
      <c r="E150" s="147">
        <f>IFERROR(__xludf.DUMMYFUNCTION("""COMPUTED_VALUE"""),45662.0)</f>
        <v>45662</v>
      </c>
      <c r="F150" s="147">
        <f>IFERROR(__xludf.DUMMYFUNCTION("""COMPUTED_VALUE"""),45683.0)</f>
        <v>45683</v>
      </c>
      <c r="G150" s="146" t="str">
        <f>IFERROR(__xludf.DUMMYFUNCTION("""COMPUTED_VALUE"""),"D37-1R")</f>
        <v>D37-1R</v>
      </c>
      <c r="H150" s="148"/>
      <c r="I150" s="148"/>
      <c r="J150" s="146"/>
      <c r="K150" s="146"/>
      <c r="L150" s="146">
        <f>IFERROR(__xludf.DUMMYFUNCTION("""COMPUTED_VALUE"""),214.0)</f>
        <v>214</v>
      </c>
      <c r="M150" s="146">
        <f>IFERROR(__xludf.DUMMYFUNCTION("""COMPUTED_VALUE"""),302.0)</f>
        <v>302</v>
      </c>
      <c r="N150" s="146">
        <f>IFERROR(__xludf.DUMMYFUNCTION("""COMPUTED_VALUE"""),45.0)</f>
        <v>45</v>
      </c>
      <c r="O150" s="146">
        <f>IFERROR(__xludf.DUMMYFUNCTION("""COMPUTED_VALUE"""),45.0)</f>
        <v>45</v>
      </c>
      <c r="P150" s="146">
        <f>IFERROR(__xludf.DUMMYFUNCTION("""COMPUTED_VALUE"""),107.0)</f>
        <v>107</v>
      </c>
      <c r="Q150" s="146" t="str">
        <f>IFERROR(__xludf.DUMMYFUNCTION("""COMPUTED_VALUE"""),"S16,G17")</f>
        <v>S16,G17</v>
      </c>
      <c r="R150" s="146"/>
      <c r="T150" s="131" t="str">
        <f>IFERROR(__xludf.DUMMYFUNCTION("""COMPUTED_VALUE"""),"Y")</f>
        <v>Y</v>
      </c>
      <c r="U150" s="131" t="str">
        <f>IFERROR(__xludf.DUMMYFUNCTION("""COMPUTED_VALUE"""),"4")</f>
        <v>4</v>
      </c>
      <c r="V150" s="131"/>
      <c r="W150" s="144">
        <f>IFERROR(__xludf.DUMMYFUNCTION("""COMPUTED_VALUE"""),45655.0)</f>
        <v>45655</v>
      </c>
      <c r="X150" s="144">
        <f>IFERROR(__xludf.DUMMYFUNCTION("""COMPUTED_VALUE"""),45662.0)</f>
        <v>45662</v>
      </c>
      <c r="Y150" s="144">
        <f>IFERROR(__xludf.DUMMYFUNCTION("""COMPUTED_VALUE"""),45683.0)</f>
        <v>45683</v>
      </c>
      <c r="Z150" s="131" t="str">
        <f>IFERROR(__xludf.DUMMYFUNCTION("""COMPUTED_VALUE"""),"D41-5L")</f>
        <v>D41-5L</v>
      </c>
      <c r="AA150" s="131"/>
      <c r="AB150" s="131"/>
      <c r="AC150" s="131"/>
      <c r="AD150" s="131"/>
      <c r="AE150" s="131">
        <f>IFERROR(__xludf.DUMMYFUNCTION("""COMPUTED_VALUE"""),2.0)</f>
        <v>2</v>
      </c>
      <c r="AF150" s="131">
        <f>IFERROR(__xludf.DUMMYFUNCTION("""COMPUTED_VALUE"""),138.0)</f>
        <v>138</v>
      </c>
      <c r="AG150" s="131">
        <f>IFERROR(__xludf.DUMMYFUNCTION("""COMPUTED_VALUE"""),69.0)</f>
        <v>69</v>
      </c>
      <c r="AH150" s="131">
        <f>IFERROR(__xludf.DUMMYFUNCTION("""COMPUTED_VALUE"""),69.0)</f>
        <v>69</v>
      </c>
      <c r="AI150" s="131">
        <f>IFERROR(__xludf.DUMMYFUNCTION("""COMPUTED_VALUE"""),108.0)</f>
        <v>108</v>
      </c>
      <c r="AJ150" s="131" t="str">
        <f>IFERROR(__xludf.DUMMYFUNCTION("""COMPUTED_VALUE"""),"S16,G17")</f>
        <v>S16,G17</v>
      </c>
      <c r="AK150" s="131"/>
    </row>
    <row r="151">
      <c r="A151" s="145" t="str">
        <f>IFERROR(__xludf.DUMMYFUNCTION("""COMPUTED_VALUE"""),"Y")</f>
        <v>Y</v>
      </c>
      <c r="B151" s="146" t="str">
        <f>IFERROR(__xludf.DUMMYFUNCTION("""COMPUTED_VALUE"""),"4")</f>
        <v>4</v>
      </c>
      <c r="C151" s="146"/>
      <c r="D151" s="147">
        <f>IFERROR(__xludf.DUMMYFUNCTION("""COMPUTED_VALUE"""),45655.0)</f>
        <v>45655</v>
      </c>
      <c r="E151" s="147">
        <f>IFERROR(__xludf.DUMMYFUNCTION("""COMPUTED_VALUE"""),45662.0)</f>
        <v>45662</v>
      </c>
      <c r="F151" s="147">
        <f>IFERROR(__xludf.DUMMYFUNCTION("""COMPUTED_VALUE"""),45683.0)</f>
        <v>45683</v>
      </c>
      <c r="G151" s="146" t="str">
        <f>IFERROR(__xludf.DUMMYFUNCTION("""COMPUTED_VALUE"""),"D41-5L")</f>
        <v>D41-5L</v>
      </c>
      <c r="H151" s="148"/>
      <c r="I151" s="148"/>
      <c r="J151" s="146"/>
      <c r="K151" s="146"/>
      <c r="L151" s="146">
        <f>IFERROR(__xludf.DUMMYFUNCTION("""COMPUTED_VALUE"""),2.0)</f>
        <v>2</v>
      </c>
      <c r="M151" s="146">
        <f>IFERROR(__xludf.DUMMYFUNCTION("""COMPUTED_VALUE"""),138.0)</f>
        <v>138</v>
      </c>
      <c r="N151" s="146">
        <f>IFERROR(__xludf.DUMMYFUNCTION("""COMPUTED_VALUE"""),69.0)</f>
        <v>69</v>
      </c>
      <c r="O151" s="146">
        <f>IFERROR(__xludf.DUMMYFUNCTION("""COMPUTED_VALUE"""),69.0)</f>
        <v>69</v>
      </c>
      <c r="P151" s="146">
        <f>IFERROR(__xludf.DUMMYFUNCTION("""COMPUTED_VALUE"""),108.0)</f>
        <v>108</v>
      </c>
      <c r="Q151" s="146" t="str">
        <f>IFERROR(__xludf.DUMMYFUNCTION("""COMPUTED_VALUE"""),"S16,G17")</f>
        <v>S16,G17</v>
      </c>
      <c r="R151" s="146"/>
      <c r="T151" s="131" t="str">
        <f>IFERROR(__xludf.DUMMYFUNCTION("""COMPUTED_VALUE"""),"Y")</f>
        <v>Y</v>
      </c>
      <c r="U151" s="131" t="str">
        <f>IFERROR(__xludf.DUMMYFUNCTION("""COMPUTED_VALUE"""),"4")</f>
        <v>4</v>
      </c>
      <c r="V151" s="131"/>
      <c r="W151" s="144">
        <f>IFERROR(__xludf.DUMMYFUNCTION("""COMPUTED_VALUE"""),45655.0)</f>
        <v>45655</v>
      </c>
      <c r="X151" s="144">
        <f>IFERROR(__xludf.DUMMYFUNCTION("""COMPUTED_VALUE"""),45662.0)</f>
        <v>45662</v>
      </c>
      <c r="Y151" s="144">
        <f>IFERROR(__xludf.DUMMYFUNCTION("""COMPUTED_VALUE"""),45683.0)</f>
        <v>45683</v>
      </c>
      <c r="Z151" s="131" t="str">
        <f>IFERROR(__xludf.DUMMYFUNCTION("""COMPUTED_VALUE"""),"D35-3R")</f>
        <v>D35-3R</v>
      </c>
      <c r="AA151" s="131">
        <f>IFERROR(__xludf.DUMMYFUNCTION("""COMPUTED_VALUE"""),5.0)</f>
        <v>5</v>
      </c>
      <c r="AB151" s="131">
        <f>IFERROR(__xludf.DUMMYFUNCTION("""COMPUTED_VALUE"""),53.0)</f>
        <v>53</v>
      </c>
      <c r="AC151" s="131">
        <f>IFERROR(__xludf.DUMMYFUNCTION("""COMPUTED_VALUE"""),25.0)</f>
        <v>25</v>
      </c>
      <c r="AD151" s="131">
        <f>IFERROR(__xludf.DUMMYFUNCTION("""COMPUTED_VALUE"""),25.0)</f>
        <v>25</v>
      </c>
      <c r="AE151" s="131">
        <f>IFERROR(__xludf.DUMMYFUNCTION("""COMPUTED_VALUE"""),56.0)</f>
        <v>56</v>
      </c>
      <c r="AF151" s="131">
        <f>IFERROR(__xludf.DUMMYFUNCTION("""COMPUTED_VALUE"""),78.0)</f>
        <v>78</v>
      </c>
      <c r="AG151" s="131">
        <f>IFERROR(__xludf.DUMMYFUNCTION("""COMPUTED_VALUE"""),12.0)</f>
        <v>12</v>
      </c>
      <c r="AH151" s="131">
        <f>IFERROR(__xludf.DUMMYFUNCTION("""COMPUTED_VALUE"""),12.0)</f>
        <v>12</v>
      </c>
      <c r="AI151" s="131">
        <f>IFERROR(__xludf.DUMMYFUNCTION("""COMPUTED_VALUE"""),109.0)</f>
        <v>109</v>
      </c>
      <c r="AJ151" s="131" t="str">
        <f>IFERROR(__xludf.DUMMYFUNCTION("""COMPUTED_VALUE"""),"S16,G17")</f>
        <v>S16,G17</v>
      </c>
      <c r="AK151" s="131"/>
    </row>
    <row r="152">
      <c r="A152" s="145" t="str">
        <f>IFERROR(__xludf.DUMMYFUNCTION("""COMPUTED_VALUE"""),"Y")</f>
        <v>Y</v>
      </c>
      <c r="B152" s="146" t="str">
        <f>IFERROR(__xludf.DUMMYFUNCTION("""COMPUTED_VALUE"""),"4")</f>
        <v>4</v>
      </c>
      <c r="C152" s="146"/>
      <c r="D152" s="147">
        <f>IFERROR(__xludf.DUMMYFUNCTION("""COMPUTED_VALUE"""),45655.0)</f>
        <v>45655</v>
      </c>
      <c r="E152" s="147">
        <f>IFERROR(__xludf.DUMMYFUNCTION("""COMPUTED_VALUE"""),45662.0)</f>
        <v>45662</v>
      </c>
      <c r="F152" s="147">
        <f>IFERROR(__xludf.DUMMYFUNCTION("""COMPUTED_VALUE"""),45683.0)</f>
        <v>45683</v>
      </c>
      <c r="G152" s="146" t="str">
        <f>IFERROR(__xludf.DUMMYFUNCTION("""COMPUTED_VALUE"""),"D35-3R")</f>
        <v>D35-3R</v>
      </c>
      <c r="H152" s="148">
        <f>IFERROR(__xludf.DUMMYFUNCTION("""COMPUTED_VALUE"""),5.0)</f>
        <v>5</v>
      </c>
      <c r="I152" s="148">
        <f>IFERROR(__xludf.DUMMYFUNCTION("""COMPUTED_VALUE"""),53.0)</f>
        <v>53</v>
      </c>
      <c r="J152" s="146">
        <f>IFERROR(__xludf.DUMMYFUNCTION("""COMPUTED_VALUE"""),25.0)</f>
        <v>25</v>
      </c>
      <c r="K152" s="146">
        <f>IFERROR(__xludf.DUMMYFUNCTION("""COMPUTED_VALUE"""),25.0)</f>
        <v>25</v>
      </c>
      <c r="L152" s="146">
        <f>IFERROR(__xludf.DUMMYFUNCTION("""COMPUTED_VALUE"""),56.0)</f>
        <v>56</v>
      </c>
      <c r="M152" s="146">
        <f>IFERROR(__xludf.DUMMYFUNCTION("""COMPUTED_VALUE"""),78.0)</f>
        <v>78</v>
      </c>
      <c r="N152" s="146">
        <f>IFERROR(__xludf.DUMMYFUNCTION("""COMPUTED_VALUE"""),12.0)</f>
        <v>12</v>
      </c>
      <c r="O152" s="146">
        <f>IFERROR(__xludf.DUMMYFUNCTION("""COMPUTED_VALUE"""),12.0)</f>
        <v>12</v>
      </c>
      <c r="P152" s="146">
        <f>IFERROR(__xludf.DUMMYFUNCTION("""COMPUTED_VALUE"""),109.0)</f>
        <v>109</v>
      </c>
      <c r="Q152" s="146" t="str">
        <f>IFERROR(__xludf.DUMMYFUNCTION("""COMPUTED_VALUE"""),"S16,G17")</f>
        <v>S16,G17</v>
      </c>
      <c r="R152" s="146"/>
      <c r="T152" s="131" t="str">
        <f>IFERROR(__xludf.DUMMYFUNCTION("""COMPUTED_VALUE"""),"Y")</f>
        <v>Y</v>
      </c>
      <c r="U152" s="131" t="str">
        <f>IFERROR(__xludf.DUMMYFUNCTION("""COMPUTED_VALUE"""),"4")</f>
        <v>4</v>
      </c>
      <c r="V152" s="131"/>
      <c r="W152" s="144">
        <f>IFERROR(__xludf.DUMMYFUNCTION("""COMPUTED_VALUE"""),45655.0)</f>
        <v>45655</v>
      </c>
      <c r="X152" s="144">
        <f>IFERROR(__xludf.DUMMYFUNCTION("""COMPUTED_VALUE"""),45662.0)</f>
        <v>45662</v>
      </c>
      <c r="Y152" s="144">
        <f>IFERROR(__xludf.DUMMYFUNCTION("""COMPUTED_VALUE"""),45683.0)</f>
        <v>45683</v>
      </c>
      <c r="Z152" s="131" t="str">
        <f>IFERROR(__xludf.DUMMYFUNCTION("""COMPUTED_VALUE"""),"D35-2R")</f>
        <v>D35-2R</v>
      </c>
      <c r="AA152" s="131"/>
      <c r="AB152" s="131"/>
      <c r="AC152" s="131"/>
      <c r="AD152" s="131"/>
      <c r="AE152" s="131">
        <f>IFERROR(__xludf.DUMMYFUNCTION("""COMPUTED_VALUE"""),36.0)</f>
        <v>36</v>
      </c>
      <c r="AF152" s="131">
        <f>IFERROR(__xludf.DUMMYFUNCTION("""COMPUTED_VALUE"""),122.0)</f>
        <v>122</v>
      </c>
      <c r="AG152" s="131">
        <f>IFERROR(__xludf.DUMMYFUNCTION("""COMPUTED_VALUE"""),44.0)</f>
        <v>44</v>
      </c>
      <c r="AH152" s="131">
        <f>IFERROR(__xludf.DUMMYFUNCTION("""COMPUTED_VALUE"""),44.0)</f>
        <v>44</v>
      </c>
      <c r="AI152" s="131">
        <f>IFERROR(__xludf.DUMMYFUNCTION("""COMPUTED_VALUE"""),109.0)</f>
        <v>109</v>
      </c>
      <c r="AJ152" s="131" t="str">
        <f>IFERROR(__xludf.DUMMYFUNCTION("""COMPUTED_VALUE"""),"S16,G17")</f>
        <v>S16,G17</v>
      </c>
      <c r="AK152" s="131"/>
    </row>
    <row r="153">
      <c r="A153" s="145" t="str">
        <f>IFERROR(__xludf.DUMMYFUNCTION("""COMPUTED_VALUE"""),"Y")</f>
        <v>Y</v>
      </c>
      <c r="B153" s="146" t="str">
        <f>IFERROR(__xludf.DUMMYFUNCTION("""COMPUTED_VALUE"""),"4")</f>
        <v>4</v>
      </c>
      <c r="C153" s="146"/>
      <c r="D153" s="147">
        <f>IFERROR(__xludf.DUMMYFUNCTION("""COMPUTED_VALUE"""),45655.0)</f>
        <v>45655</v>
      </c>
      <c r="E153" s="147">
        <f>IFERROR(__xludf.DUMMYFUNCTION("""COMPUTED_VALUE"""),45662.0)</f>
        <v>45662</v>
      </c>
      <c r="F153" s="147">
        <f>IFERROR(__xludf.DUMMYFUNCTION("""COMPUTED_VALUE"""),45683.0)</f>
        <v>45683</v>
      </c>
      <c r="G153" s="146" t="str">
        <f>IFERROR(__xludf.DUMMYFUNCTION("""COMPUTED_VALUE"""),"D35-2R")</f>
        <v>D35-2R</v>
      </c>
      <c r="H153" s="148"/>
      <c r="I153" s="148"/>
      <c r="J153" s="146"/>
      <c r="K153" s="146"/>
      <c r="L153" s="146">
        <f>IFERROR(__xludf.DUMMYFUNCTION("""COMPUTED_VALUE"""),36.0)</f>
        <v>36</v>
      </c>
      <c r="M153" s="146">
        <f>IFERROR(__xludf.DUMMYFUNCTION("""COMPUTED_VALUE"""),122.0)</f>
        <v>122</v>
      </c>
      <c r="N153" s="146">
        <f>IFERROR(__xludf.DUMMYFUNCTION("""COMPUTED_VALUE"""),44.0)</f>
        <v>44</v>
      </c>
      <c r="O153" s="146">
        <f>IFERROR(__xludf.DUMMYFUNCTION("""COMPUTED_VALUE"""),44.0)</f>
        <v>44</v>
      </c>
      <c r="P153" s="146">
        <f>IFERROR(__xludf.DUMMYFUNCTION("""COMPUTED_VALUE"""),109.0)</f>
        <v>109</v>
      </c>
      <c r="Q153" s="146" t="str">
        <f>IFERROR(__xludf.DUMMYFUNCTION("""COMPUTED_VALUE"""),"S16,G17")</f>
        <v>S16,G17</v>
      </c>
      <c r="R153" s="146"/>
      <c r="T153" s="131" t="str">
        <f>IFERROR(__xludf.DUMMYFUNCTION("""COMPUTED_VALUE"""),"Y")</f>
        <v>Y</v>
      </c>
      <c r="U153" s="131" t="str">
        <f>IFERROR(__xludf.DUMMYFUNCTION("""COMPUTED_VALUE"""),"4")</f>
        <v>4</v>
      </c>
      <c r="V153" s="131"/>
      <c r="W153" s="144">
        <f>IFERROR(__xludf.DUMMYFUNCTION("""COMPUTED_VALUE"""),45655.0)</f>
        <v>45655</v>
      </c>
      <c r="X153" s="144">
        <f>IFERROR(__xludf.DUMMYFUNCTION("""COMPUTED_VALUE"""),45662.0)</f>
        <v>45662</v>
      </c>
      <c r="Y153" s="144">
        <f>IFERROR(__xludf.DUMMYFUNCTION("""COMPUTED_VALUE"""),45683.0)</f>
        <v>45683</v>
      </c>
      <c r="Z153" s="131" t="str">
        <f>IFERROR(__xludf.DUMMYFUNCTION("""COMPUTED_VALUE"""),"BRG12")</f>
        <v>BRG12</v>
      </c>
      <c r="AA153" s="131">
        <f>IFERROR(__xludf.DUMMYFUNCTION("""COMPUTED_VALUE"""),1941.0)</f>
        <v>1941</v>
      </c>
      <c r="AB153" s="131">
        <f>IFERROR(__xludf.DUMMYFUNCTION("""COMPUTED_VALUE"""),1965.0)</f>
        <v>1965</v>
      </c>
      <c r="AC153" s="131">
        <f>IFERROR(__xludf.DUMMYFUNCTION("""COMPUTED_VALUE"""),13.0)</f>
        <v>13</v>
      </c>
      <c r="AD153" s="131">
        <f>IFERROR(__xludf.DUMMYFUNCTION("""COMPUTED_VALUE"""),13.0)</f>
        <v>13</v>
      </c>
      <c r="AE153" s="131">
        <f>IFERROR(__xludf.DUMMYFUNCTION("""COMPUTED_VALUE"""),1878.0)</f>
        <v>1878</v>
      </c>
      <c r="AF153" s="131">
        <f>IFERROR(__xludf.DUMMYFUNCTION("""COMPUTED_VALUE"""),1924.0)</f>
        <v>1924</v>
      </c>
      <c r="AG153" s="131">
        <f>IFERROR(__xludf.DUMMYFUNCTION("""COMPUTED_VALUE"""),24.0)</f>
        <v>24</v>
      </c>
      <c r="AH153" s="131">
        <f>IFERROR(__xludf.DUMMYFUNCTION("""COMPUTED_VALUE"""),24.0)</f>
        <v>24</v>
      </c>
      <c r="AI153" s="131">
        <f>IFERROR(__xludf.DUMMYFUNCTION("""COMPUTED_VALUE"""),106.0)</f>
        <v>106</v>
      </c>
      <c r="AJ153" s="131" t="str">
        <f>IFERROR(__xludf.DUMMYFUNCTION("""COMPUTED_VALUE"""),"S16,G17")</f>
        <v>S16,G17</v>
      </c>
      <c r="AK153" s="131"/>
    </row>
    <row r="154">
      <c r="A154" s="145" t="str">
        <f>IFERROR(__xludf.DUMMYFUNCTION("""COMPUTED_VALUE"""),"Y")</f>
        <v>Y</v>
      </c>
      <c r="B154" s="146" t="str">
        <f>IFERROR(__xludf.DUMMYFUNCTION("""COMPUTED_VALUE"""),"4")</f>
        <v>4</v>
      </c>
      <c r="C154" s="146"/>
      <c r="D154" s="147">
        <f>IFERROR(__xludf.DUMMYFUNCTION("""COMPUTED_VALUE"""),45655.0)</f>
        <v>45655</v>
      </c>
      <c r="E154" s="147">
        <f>IFERROR(__xludf.DUMMYFUNCTION("""COMPUTED_VALUE"""),45662.0)</f>
        <v>45662</v>
      </c>
      <c r="F154" s="147">
        <f>IFERROR(__xludf.DUMMYFUNCTION("""COMPUTED_VALUE"""),45683.0)</f>
        <v>45683</v>
      </c>
      <c r="G154" s="146" t="str">
        <f>IFERROR(__xludf.DUMMYFUNCTION("""COMPUTED_VALUE"""),"BRG12")</f>
        <v>BRG12</v>
      </c>
      <c r="H154" s="148">
        <f>IFERROR(__xludf.DUMMYFUNCTION("""COMPUTED_VALUE"""),1941.0)</f>
        <v>1941</v>
      </c>
      <c r="I154" s="148">
        <f>IFERROR(__xludf.DUMMYFUNCTION("""COMPUTED_VALUE"""),1965.0)</f>
        <v>1965</v>
      </c>
      <c r="J154" s="146">
        <f>IFERROR(__xludf.DUMMYFUNCTION("""COMPUTED_VALUE"""),13.0)</f>
        <v>13</v>
      </c>
      <c r="K154" s="146">
        <f>IFERROR(__xludf.DUMMYFUNCTION("""COMPUTED_VALUE"""),13.0)</f>
        <v>13</v>
      </c>
      <c r="L154" s="146">
        <f>IFERROR(__xludf.DUMMYFUNCTION("""COMPUTED_VALUE"""),1878.0)</f>
        <v>1878</v>
      </c>
      <c r="M154" s="146">
        <f>IFERROR(__xludf.DUMMYFUNCTION("""COMPUTED_VALUE"""),1924.0)</f>
        <v>1924</v>
      </c>
      <c r="N154" s="146">
        <f>IFERROR(__xludf.DUMMYFUNCTION("""COMPUTED_VALUE"""),24.0)</f>
        <v>24</v>
      </c>
      <c r="O154" s="146">
        <f>IFERROR(__xludf.DUMMYFUNCTION("""COMPUTED_VALUE"""),24.0)</f>
        <v>24</v>
      </c>
      <c r="P154" s="146">
        <f>IFERROR(__xludf.DUMMYFUNCTION("""COMPUTED_VALUE"""),106.0)</f>
        <v>106</v>
      </c>
      <c r="Q154" s="146" t="str">
        <f>IFERROR(__xludf.DUMMYFUNCTION("""COMPUTED_VALUE"""),"S16,G17")</f>
        <v>S16,G17</v>
      </c>
      <c r="R154" s="146"/>
      <c r="T154" s="131" t="str">
        <f>IFERROR(__xludf.DUMMYFUNCTION("""COMPUTED_VALUE"""),"Y")</f>
        <v>Y</v>
      </c>
      <c r="U154" s="131" t="str">
        <f>IFERROR(__xludf.DUMMYFUNCTION("""COMPUTED_VALUE"""),"4")</f>
        <v>4</v>
      </c>
      <c r="V154" s="131"/>
      <c r="W154" s="144">
        <f>IFERROR(__xludf.DUMMYFUNCTION("""COMPUTED_VALUE"""),45656.0)</f>
        <v>45656</v>
      </c>
      <c r="X154" s="144">
        <f>IFERROR(__xludf.DUMMYFUNCTION("""COMPUTED_VALUE"""),45663.0)</f>
        <v>45663</v>
      </c>
      <c r="Y154" s="144">
        <f>IFERROR(__xludf.DUMMYFUNCTION("""COMPUTED_VALUE"""),45684.0)</f>
        <v>45684</v>
      </c>
      <c r="Z154" s="131" t="str">
        <f>IFERROR(__xludf.DUMMYFUNCTION("""COMPUTED_VALUE"""),"D41-5L")</f>
        <v>D41-5L</v>
      </c>
      <c r="AA154" s="131">
        <f>IFERROR(__xludf.DUMMYFUNCTION("""COMPUTED_VALUE"""),1.0)</f>
        <v>1</v>
      </c>
      <c r="AB154" s="131">
        <f>IFERROR(__xludf.DUMMYFUNCTION("""COMPUTED_VALUE"""),81.0)</f>
        <v>81</v>
      </c>
      <c r="AC154" s="131">
        <f>IFERROR(__xludf.DUMMYFUNCTION("""COMPUTED_VALUE"""),41.0)</f>
        <v>41</v>
      </c>
      <c r="AD154" s="131">
        <f>IFERROR(__xludf.DUMMYFUNCTION("""COMPUTED_VALUE"""),41.0)</f>
        <v>41</v>
      </c>
      <c r="AE154" s="131">
        <f>IFERROR(__xludf.DUMMYFUNCTION("""COMPUTED_VALUE"""),140.0)</f>
        <v>140</v>
      </c>
      <c r="AF154" s="131">
        <f>IFERROR(__xludf.DUMMYFUNCTION("""COMPUTED_VALUE"""),282.0)</f>
        <v>282</v>
      </c>
      <c r="AG154" s="131">
        <f>IFERROR(__xludf.DUMMYFUNCTION("""COMPUTED_VALUE"""),72.0)</f>
        <v>72</v>
      </c>
      <c r="AH154" s="131">
        <f>IFERROR(__xludf.DUMMYFUNCTION("""COMPUTED_VALUE"""),72.0)</f>
        <v>72</v>
      </c>
      <c r="AI154" s="131">
        <f>IFERROR(__xludf.DUMMYFUNCTION("""COMPUTED_VALUE"""),111.0)</f>
        <v>111</v>
      </c>
      <c r="AJ154" s="131"/>
      <c r="AK154" s="131"/>
    </row>
    <row r="155">
      <c r="A155" s="145" t="str">
        <f>IFERROR(__xludf.DUMMYFUNCTION("""COMPUTED_VALUE"""),"Y")</f>
        <v>Y</v>
      </c>
      <c r="B155" s="146" t="str">
        <f>IFERROR(__xludf.DUMMYFUNCTION("""COMPUTED_VALUE"""),"4")</f>
        <v>4</v>
      </c>
      <c r="C155" s="146"/>
      <c r="D155" s="147">
        <f>IFERROR(__xludf.DUMMYFUNCTION("""COMPUTED_VALUE"""),45656.0)</f>
        <v>45656</v>
      </c>
      <c r="E155" s="147">
        <f>IFERROR(__xludf.DUMMYFUNCTION("""COMPUTED_VALUE"""),45663.0)</f>
        <v>45663</v>
      </c>
      <c r="F155" s="147">
        <f>IFERROR(__xludf.DUMMYFUNCTION("""COMPUTED_VALUE"""),45684.0)</f>
        <v>45684</v>
      </c>
      <c r="G155" s="146" t="str">
        <f>IFERROR(__xludf.DUMMYFUNCTION("""COMPUTED_VALUE"""),"D41-5L")</f>
        <v>D41-5L</v>
      </c>
      <c r="H155" s="148">
        <f>IFERROR(__xludf.DUMMYFUNCTION("""COMPUTED_VALUE"""),1.0)</f>
        <v>1</v>
      </c>
      <c r="I155" s="148">
        <f>IFERROR(__xludf.DUMMYFUNCTION("""COMPUTED_VALUE"""),81.0)</f>
        <v>81</v>
      </c>
      <c r="J155" s="146">
        <f>IFERROR(__xludf.DUMMYFUNCTION("""COMPUTED_VALUE"""),41.0)</f>
        <v>41</v>
      </c>
      <c r="K155" s="146">
        <f>IFERROR(__xludf.DUMMYFUNCTION("""COMPUTED_VALUE"""),41.0)</f>
        <v>41</v>
      </c>
      <c r="L155" s="146">
        <f>IFERROR(__xludf.DUMMYFUNCTION("""COMPUTED_VALUE"""),140.0)</f>
        <v>140</v>
      </c>
      <c r="M155" s="146">
        <f>IFERROR(__xludf.DUMMYFUNCTION("""COMPUTED_VALUE"""),282.0)</f>
        <v>282</v>
      </c>
      <c r="N155" s="146">
        <f>IFERROR(__xludf.DUMMYFUNCTION("""COMPUTED_VALUE"""),72.0)</f>
        <v>72</v>
      </c>
      <c r="O155" s="146">
        <f>IFERROR(__xludf.DUMMYFUNCTION("""COMPUTED_VALUE"""),72.0)</f>
        <v>72</v>
      </c>
      <c r="P155" s="146">
        <f>IFERROR(__xludf.DUMMYFUNCTION("""COMPUTED_VALUE"""),111.0)</f>
        <v>111</v>
      </c>
      <c r="Q155" s="146"/>
      <c r="R155" s="146"/>
      <c r="T155" s="131" t="str">
        <f>IFERROR(__xludf.DUMMYFUNCTION("""COMPUTED_VALUE"""),"Y")</f>
        <v>Y</v>
      </c>
      <c r="U155" s="131" t="str">
        <f>IFERROR(__xludf.DUMMYFUNCTION("""COMPUTED_VALUE"""),"4")</f>
        <v>4</v>
      </c>
      <c r="V155" s="131"/>
      <c r="W155" s="144">
        <f>IFERROR(__xludf.DUMMYFUNCTION("""COMPUTED_VALUE"""),45656.0)</f>
        <v>45656</v>
      </c>
      <c r="X155" s="144">
        <f>IFERROR(__xludf.DUMMYFUNCTION("""COMPUTED_VALUE"""),45663.0)</f>
        <v>45663</v>
      </c>
      <c r="Y155" s="144">
        <f>IFERROR(__xludf.DUMMYFUNCTION("""COMPUTED_VALUE"""),45684.0)</f>
        <v>45684</v>
      </c>
      <c r="Z155" s="131" t="str">
        <f>IFERROR(__xludf.DUMMYFUNCTION("""COMPUTED_VALUE"""),"D35-2R")</f>
        <v>D35-2R</v>
      </c>
      <c r="AA155" s="131">
        <f>IFERROR(__xludf.DUMMYFUNCTION("""COMPUTED_VALUE"""),7.0)</f>
        <v>7</v>
      </c>
      <c r="AB155" s="131">
        <f>IFERROR(__xludf.DUMMYFUNCTION("""COMPUTED_VALUE"""),9.0)</f>
        <v>9</v>
      </c>
      <c r="AC155" s="131">
        <f>IFERROR(__xludf.DUMMYFUNCTION("""COMPUTED_VALUE"""),2.0)</f>
        <v>2</v>
      </c>
      <c r="AD155" s="131">
        <f>IFERROR(__xludf.DUMMYFUNCTION("""COMPUTED_VALUE"""),2.0)</f>
        <v>2</v>
      </c>
      <c r="AE155" s="131">
        <f>IFERROR(__xludf.DUMMYFUNCTION("""COMPUTED_VALUE"""),124.0)</f>
        <v>124</v>
      </c>
      <c r="AF155" s="131">
        <f>IFERROR(__xludf.DUMMYFUNCTION("""COMPUTED_VALUE"""),128.0)</f>
        <v>128</v>
      </c>
      <c r="AG155" s="131">
        <f>IFERROR(__xludf.DUMMYFUNCTION("""COMPUTED_VALUE"""),3.0)</f>
        <v>3</v>
      </c>
      <c r="AH155" s="131">
        <f>IFERROR(__xludf.DUMMYFUNCTION("""COMPUTED_VALUE"""),3.0)</f>
        <v>3</v>
      </c>
      <c r="AI155" s="131">
        <f>IFERROR(__xludf.DUMMYFUNCTION("""COMPUTED_VALUE"""),112.0)</f>
        <v>112</v>
      </c>
      <c r="AJ155" s="131" t="str">
        <f>IFERROR(__xludf.DUMMYFUNCTION("""COMPUTED_VALUE"""),"S17,G18")</f>
        <v>S17,G18</v>
      </c>
      <c r="AK155" s="131">
        <f>IFERROR(__xludf.DUMMYFUNCTION("""COMPUTED_VALUE"""),17.51)</f>
        <v>17.51</v>
      </c>
    </row>
    <row r="156">
      <c r="A156" s="145" t="str">
        <f>IFERROR(__xludf.DUMMYFUNCTION("""COMPUTED_VALUE"""),"Y")</f>
        <v>Y</v>
      </c>
      <c r="B156" s="146" t="str">
        <f>IFERROR(__xludf.DUMMYFUNCTION("""COMPUTED_VALUE"""),"4")</f>
        <v>4</v>
      </c>
      <c r="C156" s="146"/>
      <c r="D156" s="147">
        <f>IFERROR(__xludf.DUMMYFUNCTION("""COMPUTED_VALUE"""),45656.0)</f>
        <v>45656</v>
      </c>
      <c r="E156" s="147">
        <f>IFERROR(__xludf.DUMMYFUNCTION("""COMPUTED_VALUE"""),45663.0)</f>
        <v>45663</v>
      </c>
      <c r="F156" s="147">
        <f>IFERROR(__xludf.DUMMYFUNCTION("""COMPUTED_VALUE"""),45684.0)</f>
        <v>45684</v>
      </c>
      <c r="G156" s="146" t="str">
        <f>IFERROR(__xludf.DUMMYFUNCTION("""COMPUTED_VALUE"""),"D35-2R")</f>
        <v>D35-2R</v>
      </c>
      <c r="H156" s="148">
        <f>IFERROR(__xludf.DUMMYFUNCTION("""COMPUTED_VALUE"""),7.0)</f>
        <v>7</v>
      </c>
      <c r="I156" s="148">
        <f>IFERROR(__xludf.DUMMYFUNCTION("""COMPUTED_VALUE"""),9.0)</f>
        <v>9</v>
      </c>
      <c r="J156" s="146">
        <f>IFERROR(__xludf.DUMMYFUNCTION("""COMPUTED_VALUE"""),2.0)</f>
        <v>2</v>
      </c>
      <c r="K156" s="146">
        <f>IFERROR(__xludf.DUMMYFUNCTION("""COMPUTED_VALUE"""),2.0)</f>
        <v>2</v>
      </c>
      <c r="L156" s="146">
        <f>IFERROR(__xludf.DUMMYFUNCTION("""COMPUTED_VALUE"""),124.0)</f>
        <v>124</v>
      </c>
      <c r="M156" s="146">
        <f>IFERROR(__xludf.DUMMYFUNCTION("""COMPUTED_VALUE"""),128.0)</f>
        <v>128</v>
      </c>
      <c r="N156" s="146">
        <f>IFERROR(__xludf.DUMMYFUNCTION("""COMPUTED_VALUE"""),3.0)</f>
        <v>3</v>
      </c>
      <c r="O156" s="146">
        <f>IFERROR(__xludf.DUMMYFUNCTION("""COMPUTED_VALUE"""),3.0)</f>
        <v>3</v>
      </c>
      <c r="P156" s="146">
        <f>IFERROR(__xludf.DUMMYFUNCTION("""COMPUTED_VALUE"""),112.0)</f>
        <v>112</v>
      </c>
      <c r="Q156" s="146" t="str">
        <f>IFERROR(__xludf.DUMMYFUNCTION("""COMPUTED_VALUE"""),"S17,G18")</f>
        <v>S17,G18</v>
      </c>
      <c r="R156" s="146">
        <f>IFERROR(__xludf.DUMMYFUNCTION("""COMPUTED_VALUE"""),17.51)</f>
        <v>17.51</v>
      </c>
      <c r="T156" s="131" t="str">
        <f>IFERROR(__xludf.DUMMYFUNCTION("""COMPUTED_VALUE"""),"Y")</f>
        <v>Y</v>
      </c>
      <c r="U156" s="131" t="str">
        <f>IFERROR(__xludf.DUMMYFUNCTION("""COMPUTED_VALUE"""),"4")</f>
        <v>4</v>
      </c>
      <c r="V156" s="131"/>
      <c r="W156" s="144">
        <f>IFERROR(__xludf.DUMMYFUNCTION("""COMPUTED_VALUE"""),45656.0)</f>
        <v>45656</v>
      </c>
      <c r="X156" s="144">
        <f>IFERROR(__xludf.DUMMYFUNCTION("""COMPUTED_VALUE"""),45663.0)</f>
        <v>45663</v>
      </c>
      <c r="Y156" s="144">
        <f>IFERROR(__xludf.DUMMYFUNCTION("""COMPUTED_VALUE"""),45684.0)</f>
        <v>45684</v>
      </c>
      <c r="Z156" s="131" t="str">
        <f>IFERROR(__xludf.DUMMYFUNCTION("""COMPUTED_VALUE"""),"D35-2R")</f>
        <v>D35-2R</v>
      </c>
      <c r="AA156" s="131">
        <f>IFERROR(__xludf.DUMMYFUNCTION("""COMPUTED_VALUE"""),13.0)</f>
        <v>13</v>
      </c>
      <c r="AB156" s="131">
        <f>IFERROR(__xludf.DUMMYFUNCTION("""COMPUTED_VALUE"""),59.0)</f>
        <v>59</v>
      </c>
      <c r="AC156" s="131">
        <f>IFERROR(__xludf.DUMMYFUNCTION("""COMPUTED_VALUE"""),24.0)</f>
        <v>24</v>
      </c>
      <c r="AD156" s="131">
        <f>IFERROR(__xludf.DUMMYFUNCTION("""COMPUTED_VALUE"""),24.0)</f>
        <v>24</v>
      </c>
      <c r="AE156" s="131"/>
      <c r="AF156" s="131"/>
      <c r="AG156" s="131"/>
      <c r="AH156" s="131"/>
      <c r="AI156" s="131">
        <f>IFERROR(__xludf.DUMMYFUNCTION("""COMPUTED_VALUE"""),112.0)</f>
        <v>112</v>
      </c>
      <c r="AJ156" s="131" t="str">
        <f>IFERROR(__xludf.DUMMYFUNCTION("""COMPUTED_VALUE"""),"S17,G18")</f>
        <v>S17,G18</v>
      </c>
      <c r="AK156" s="131">
        <f>IFERROR(__xludf.DUMMYFUNCTION("""COMPUTED_VALUE"""),17.51)</f>
        <v>17.51</v>
      </c>
    </row>
    <row r="157">
      <c r="A157" s="145" t="str">
        <f>IFERROR(__xludf.DUMMYFUNCTION("""COMPUTED_VALUE"""),"Y")</f>
        <v>Y</v>
      </c>
      <c r="B157" s="146" t="str">
        <f>IFERROR(__xludf.DUMMYFUNCTION("""COMPUTED_VALUE"""),"4")</f>
        <v>4</v>
      </c>
      <c r="C157" s="146"/>
      <c r="D157" s="147">
        <f>IFERROR(__xludf.DUMMYFUNCTION("""COMPUTED_VALUE"""),45656.0)</f>
        <v>45656</v>
      </c>
      <c r="E157" s="147">
        <f>IFERROR(__xludf.DUMMYFUNCTION("""COMPUTED_VALUE"""),45663.0)</f>
        <v>45663</v>
      </c>
      <c r="F157" s="147">
        <f>IFERROR(__xludf.DUMMYFUNCTION("""COMPUTED_VALUE"""),45684.0)</f>
        <v>45684</v>
      </c>
      <c r="G157" s="146" t="str">
        <f>IFERROR(__xludf.DUMMYFUNCTION("""COMPUTED_VALUE"""),"D35-2R")</f>
        <v>D35-2R</v>
      </c>
      <c r="H157" s="148">
        <f>IFERROR(__xludf.DUMMYFUNCTION("""COMPUTED_VALUE"""),13.0)</f>
        <v>13</v>
      </c>
      <c r="I157" s="148">
        <f>IFERROR(__xludf.DUMMYFUNCTION("""COMPUTED_VALUE"""),59.0)</f>
        <v>59</v>
      </c>
      <c r="J157" s="146">
        <f>IFERROR(__xludf.DUMMYFUNCTION("""COMPUTED_VALUE"""),24.0)</f>
        <v>24</v>
      </c>
      <c r="K157" s="146">
        <f>IFERROR(__xludf.DUMMYFUNCTION("""COMPUTED_VALUE"""),24.0)</f>
        <v>24</v>
      </c>
      <c r="L157" s="146"/>
      <c r="M157" s="146"/>
      <c r="N157" s="146"/>
      <c r="O157" s="146"/>
      <c r="P157" s="146">
        <f>IFERROR(__xludf.DUMMYFUNCTION("""COMPUTED_VALUE"""),112.0)</f>
        <v>112</v>
      </c>
      <c r="Q157" s="146" t="str">
        <f>IFERROR(__xludf.DUMMYFUNCTION("""COMPUTED_VALUE"""),"S17,G18")</f>
        <v>S17,G18</v>
      </c>
      <c r="R157" s="146">
        <f>IFERROR(__xludf.DUMMYFUNCTION("""COMPUTED_VALUE"""),17.51)</f>
        <v>17.51</v>
      </c>
      <c r="T157" s="131" t="str">
        <f>IFERROR(__xludf.DUMMYFUNCTION("""COMPUTED_VALUE"""),"Y")</f>
        <v>Y</v>
      </c>
      <c r="U157" s="131" t="str">
        <f>IFERROR(__xludf.DUMMYFUNCTION("""COMPUTED_VALUE"""),"4")</f>
        <v>4</v>
      </c>
      <c r="V157" s="131"/>
      <c r="W157" s="144">
        <f>IFERROR(__xludf.DUMMYFUNCTION("""COMPUTED_VALUE"""),45656.0)</f>
        <v>45656</v>
      </c>
      <c r="X157" s="144">
        <f>IFERROR(__xludf.DUMMYFUNCTION("""COMPUTED_VALUE"""),45663.0)</f>
        <v>45663</v>
      </c>
      <c r="Y157" s="144">
        <f>IFERROR(__xludf.DUMMYFUNCTION("""COMPUTED_VALUE"""),45684.0)</f>
        <v>45684</v>
      </c>
      <c r="Z157" s="131" t="str">
        <f>IFERROR(__xludf.DUMMYFUNCTION("""COMPUTED_VALUE"""),"D35-2R")</f>
        <v>D35-2R</v>
      </c>
      <c r="AA157" s="131">
        <f>IFERROR(__xludf.DUMMYFUNCTION("""COMPUTED_VALUE"""),63.0)</f>
        <v>63</v>
      </c>
      <c r="AB157" s="131">
        <f>IFERROR(__xludf.DUMMYFUNCTION("""COMPUTED_VALUE"""),109.0)</f>
        <v>109</v>
      </c>
      <c r="AC157" s="131">
        <f>IFERROR(__xludf.DUMMYFUNCTION("""COMPUTED_VALUE"""),24.0)</f>
        <v>24</v>
      </c>
      <c r="AD157" s="131">
        <f>IFERROR(__xludf.DUMMYFUNCTION("""COMPUTED_VALUE"""),24.0)</f>
        <v>24</v>
      </c>
      <c r="AE157" s="131"/>
      <c r="AF157" s="131"/>
      <c r="AG157" s="131"/>
      <c r="AH157" s="131"/>
      <c r="AI157" s="131">
        <f>IFERROR(__xludf.DUMMYFUNCTION("""COMPUTED_VALUE"""),112.0)</f>
        <v>112</v>
      </c>
      <c r="AJ157" s="131" t="str">
        <f>IFERROR(__xludf.DUMMYFUNCTION("""COMPUTED_VALUE"""),"S17,G18")</f>
        <v>S17,G18</v>
      </c>
      <c r="AK157" s="131">
        <f>IFERROR(__xludf.DUMMYFUNCTION("""COMPUTED_VALUE"""),17.51)</f>
        <v>17.51</v>
      </c>
    </row>
    <row r="158">
      <c r="A158" s="145" t="str">
        <f>IFERROR(__xludf.DUMMYFUNCTION("""COMPUTED_VALUE"""),"Y")</f>
        <v>Y</v>
      </c>
      <c r="B158" s="146" t="str">
        <f>IFERROR(__xludf.DUMMYFUNCTION("""COMPUTED_VALUE"""),"4")</f>
        <v>4</v>
      </c>
      <c r="C158" s="146"/>
      <c r="D158" s="147">
        <f>IFERROR(__xludf.DUMMYFUNCTION("""COMPUTED_VALUE"""),45656.0)</f>
        <v>45656</v>
      </c>
      <c r="E158" s="147">
        <f>IFERROR(__xludf.DUMMYFUNCTION("""COMPUTED_VALUE"""),45663.0)</f>
        <v>45663</v>
      </c>
      <c r="F158" s="147">
        <f>IFERROR(__xludf.DUMMYFUNCTION("""COMPUTED_VALUE"""),45684.0)</f>
        <v>45684</v>
      </c>
      <c r="G158" s="146" t="str">
        <f>IFERROR(__xludf.DUMMYFUNCTION("""COMPUTED_VALUE"""),"D35-2R")</f>
        <v>D35-2R</v>
      </c>
      <c r="H158" s="148">
        <f>IFERROR(__xludf.DUMMYFUNCTION("""COMPUTED_VALUE"""),63.0)</f>
        <v>63</v>
      </c>
      <c r="I158" s="148">
        <f>IFERROR(__xludf.DUMMYFUNCTION("""COMPUTED_VALUE"""),109.0)</f>
        <v>109</v>
      </c>
      <c r="J158" s="146">
        <f>IFERROR(__xludf.DUMMYFUNCTION("""COMPUTED_VALUE"""),24.0)</f>
        <v>24</v>
      </c>
      <c r="K158" s="146">
        <f>IFERROR(__xludf.DUMMYFUNCTION("""COMPUTED_VALUE"""),24.0)</f>
        <v>24</v>
      </c>
      <c r="L158" s="146"/>
      <c r="M158" s="146"/>
      <c r="N158" s="146"/>
      <c r="O158" s="146"/>
      <c r="P158" s="146">
        <f>IFERROR(__xludf.DUMMYFUNCTION("""COMPUTED_VALUE"""),112.0)</f>
        <v>112</v>
      </c>
      <c r="Q158" s="146" t="str">
        <f>IFERROR(__xludf.DUMMYFUNCTION("""COMPUTED_VALUE"""),"S17,G18")</f>
        <v>S17,G18</v>
      </c>
      <c r="R158" s="146">
        <f>IFERROR(__xludf.DUMMYFUNCTION("""COMPUTED_VALUE"""),17.51)</f>
        <v>17.51</v>
      </c>
      <c r="T158" s="131" t="str">
        <f>IFERROR(__xludf.DUMMYFUNCTION("""COMPUTED_VALUE"""),"Y")</f>
        <v>Y</v>
      </c>
      <c r="U158" s="131" t="str">
        <f>IFERROR(__xludf.DUMMYFUNCTION("""COMPUTED_VALUE"""),"4")</f>
        <v>4</v>
      </c>
      <c r="V158" s="131"/>
      <c r="W158" s="144">
        <f>IFERROR(__xludf.DUMMYFUNCTION("""COMPUTED_VALUE"""),45656.0)</f>
        <v>45656</v>
      </c>
      <c r="X158" s="144">
        <f>IFERROR(__xludf.DUMMYFUNCTION("""COMPUTED_VALUE"""),45663.0)</f>
        <v>45663</v>
      </c>
      <c r="Y158" s="144">
        <f>IFERROR(__xludf.DUMMYFUNCTION("""COMPUTED_VALUE"""),45684.0)</f>
        <v>45684</v>
      </c>
      <c r="Z158" s="131" t="str">
        <f>IFERROR(__xludf.DUMMYFUNCTION("""COMPUTED_VALUE"""),"D35-2R")</f>
        <v>D35-2R</v>
      </c>
      <c r="AA158" s="131">
        <f>IFERROR(__xludf.DUMMYFUNCTION("""COMPUTED_VALUE"""),113.0)</f>
        <v>113</v>
      </c>
      <c r="AB158" s="131">
        <f>IFERROR(__xludf.DUMMYFUNCTION("""COMPUTED_VALUE"""),121.0)</f>
        <v>121</v>
      </c>
      <c r="AC158" s="131">
        <f>IFERROR(__xludf.DUMMYFUNCTION("""COMPUTED_VALUE"""),5.0)</f>
        <v>5</v>
      </c>
      <c r="AD158" s="131">
        <f>IFERROR(__xludf.DUMMYFUNCTION("""COMPUTED_VALUE"""),5.0)</f>
        <v>5</v>
      </c>
      <c r="AE158" s="131"/>
      <c r="AF158" s="131"/>
      <c r="AG158" s="131"/>
      <c r="AH158" s="131"/>
      <c r="AI158" s="131">
        <f>IFERROR(__xludf.DUMMYFUNCTION("""COMPUTED_VALUE"""),112.0)</f>
        <v>112</v>
      </c>
      <c r="AJ158" s="131" t="str">
        <f>IFERROR(__xludf.DUMMYFUNCTION("""COMPUTED_VALUE"""),"S17,G18")</f>
        <v>S17,G18</v>
      </c>
      <c r="AK158" s="131">
        <f>IFERROR(__xludf.DUMMYFUNCTION("""COMPUTED_VALUE"""),17.51)</f>
        <v>17.51</v>
      </c>
    </row>
    <row r="159">
      <c r="A159" s="145" t="str">
        <f>IFERROR(__xludf.DUMMYFUNCTION("""COMPUTED_VALUE"""),"Y")</f>
        <v>Y</v>
      </c>
      <c r="B159" s="146" t="str">
        <f>IFERROR(__xludf.DUMMYFUNCTION("""COMPUTED_VALUE"""),"4")</f>
        <v>4</v>
      </c>
      <c r="C159" s="146"/>
      <c r="D159" s="147">
        <f>IFERROR(__xludf.DUMMYFUNCTION("""COMPUTED_VALUE"""),45656.0)</f>
        <v>45656</v>
      </c>
      <c r="E159" s="147">
        <f>IFERROR(__xludf.DUMMYFUNCTION("""COMPUTED_VALUE"""),45663.0)</f>
        <v>45663</v>
      </c>
      <c r="F159" s="147">
        <f>IFERROR(__xludf.DUMMYFUNCTION("""COMPUTED_VALUE"""),45684.0)</f>
        <v>45684</v>
      </c>
      <c r="G159" s="146" t="str">
        <f>IFERROR(__xludf.DUMMYFUNCTION("""COMPUTED_VALUE"""),"D35-2R")</f>
        <v>D35-2R</v>
      </c>
      <c r="H159" s="148">
        <f>IFERROR(__xludf.DUMMYFUNCTION("""COMPUTED_VALUE"""),113.0)</f>
        <v>113</v>
      </c>
      <c r="I159" s="148">
        <f>IFERROR(__xludf.DUMMYFUNCTION("""COMPUTED_VALUE"""),121.0)</f>
        <v>121</v>
      </c>
      <c r="J159" s="146">
        <f>IFERROR(__xludf.DUMMYFUNCTION("""COMPUTED_VALUE"""),5.0)</f>
        <v>5</v>
      </c>
      <c r="K159" s="146">
        <f>IFERROR(__xludf.DUMMYFUNCTION("""COMPUTED_VALUE"""),5.0)</f>
        <v>5</v>
      </c>
      <c r="L159" s="146"/>
      <c r="M159" s="146"/>
      <c r="N159" s="146"/>
      <c r="O159" s="146"/>
      <c r="P159" s="146">
        <f>IFERROR(__xludf.DUMMYFUNCTION("""COMPUTED_VALUE"""),112.0)</f>
        <v>112</v>
      </c>
      <c r="Q159" s="146" t="str">
        <f>IFERROR(__xludf.DUMMYFUNCTION("""COMPUTED_VALUE"""),"S17,G18")</f>
        <v>S17,G18</v>
      </c>
      <c r="R159" s="146">
        <f>IFERROR(__xludf.DUMMYFUNCTION("""COMPUTED_VALUE"""),17.51)</f>
        <v>17.51</v>
      </c>
      <c r="T159" s="131" t="str">
        <f>IFERROR(__xludf.DUMMYFUNCTION("""COMPUTED_VALUE"""),"Y")</f>
        <v>Y</v>
      </c>
      <c r="U159" s="131" t="str">
        <f>IFERROR(__xludf.DUMMYFUNCTION("""COMPUTED_VALUE"""),"4")</f>
        <v>4</v>
      </c>
      <c r="V159" s="131"/>
      <c r="W159" s="144">
        <f>IFERROR(__xludf.DUMMYFUNCTION("""COMPUTED_VALUE"""),45656.0)</f>
        <v>45656</v>
      </c>
      <c r="X159" s="144">
        <f>IFERROR(__xludf.DUMMYFUNCTION("""COMPUTED_VALUE"""),45663.0)</f>
        <v>45663</v>
      </c>
      <c r="Y159" s="144">
        <f>IFERROR(__xludf.DUMMYFUNCTION("""COMPUTED_VALUE"""),45684.0)</f>
        <v>45684</v>
      </c>
      <c r="Z159" s="131" t="str">
        <f>IFERROR(__xludf.DUMMYFUNCTION("""COMPUTED_VALUE"""),"BRG12")</f>
        <v>BRG12</v>
      </c>
      <c r="AA159" s="131">
        <f>IFERROR(__xludf.DUMMYFUNCTION("""COMPUTED_VALUE"""),1981.0)</f>
        <v>1981</v>
      </c>
      <c r="AB159" s="131">
        <f>IFERROR(__xludf.DUMMYFUNCTION("""COMPUTED_VALUE"""),2015.0)</f>
        <v>2015</v>
      </c>
      <c r="AC159" s="131">
        <f>IFERROR(__xludf.DUMMYFUNCTION("""COMPUTED_VALUE"""),18.0)</f>
        <v>18</v>
      </c>
      <c r="AD159" s="131">
        <f>IFERROR(__xludf.DUMMYFUNCTION("""COMPUTED_VALUE"""),18.0)</f>
        <v>18</v>
      </c>
      <c r="AE159" s="131">
        <f>IFERROR(__xludf.DUMMYFUNCTION("""COMPUTED_VALUE"""),1926.0)</f>
        <v>1926</v>
      </c>
      <c r="AF159" s="131">
        <f>IFERROR(__xludf.DUMMYFUNCTION("""COMPUTED_VALUE"""),1966.0)</f>
        <v>1966</v>
      </c>
      <c r="AG159" s="131">
        <f>IFERROR(__xludf.DUMMYFUNCTION("""COMPUTED_VALUE"""),21.0)</f>
        <v>21</v>
      </c>
      <c r="AH159" s="131">
        <f>IFERROR(__xludf.DUMMYFUNCTION("""COMPUTED_VALUE"""),21.0)</f>
        <v>21</v>
      </c>
      <c r="AI159" s="131">
        <f>IFERROR(__xludf.DUMMYFUNCTION("""COMPUTED_VALUE"""),110.0)</f>
        <v>110</v>
      </c>
      <c r="AJ159" s="131" t="str">
        <f>IFERROR(__xludf.DUMMYFUNCTION("""COMPUTED_VALUE"""),"S17,G18")</f>
        <v>S17,G18</v>
      </c>
      <c r="AK159" s="131"/>
    </row>
    <row r="160">
      <c r="A160" s="145" t="str">
        <f>IFERROR(__xludf.DUMMYFUNCTION("""COMPUTED_VALUE"""),"Y")</f>
        <v>Y</v>
      </c>
      <c r="B160" s="146" t="str">
        <f>IFERROR(__xludf.DUMMYFUNCTION("""COMPUTED_VALUE"""),"4")</f>
        <v>4</v>
      </c>
      <c r="C160" s="146"/>
      <c r="D160" s="147">
        <f>IFERROR(__xludf.DUMMYFUNCTION("""COMPUTED_VALUE"""),45656.0)</f>
        <v>45656</v>
      </c>
      <c r="E160" s="147">
        <f>IFERROR(__xludf.DUMMYFUNCTION("""COMPUTED_VALUE"""),45663.0)</f>
        <v>45663</v>
      </c>
      <c r="F160" s="147">
        <f>IFERROR(__xludf.DUMMYFUNCTION("""COMPUTED_VALUE"""),45684.0)</f>
        <v>45684</v>
      </c>
      <c r="G160" s="146" t="str">
        <f>IFERROR(__xludf.DUMMYFUNCTION("""COMPUTED_VALUE"""),"BRG12")</f>
        <v>BRG12</v>
      </c>
      <c r="H160" s="148">
        <f>IFERROR(__xludf.DUMMYFUNCTION("""COMPUTED_VALUE"""),1981.0)</f>
        <v>1981</v>
      </c>
      <c r="I160" s="148">
        <f>IFERROR(__xludf.DUMMYFUNCTION("""COMPUTED_VALUE"""),2015.0)</f>
        <v>2015</v>
      </c>
      <c r="J160" s="146">
        <f>IFERROR(__xludf.DUMMYFUNCTION("""COMPUTED_VALUE"""),18.0)</f>
        <v>18</v>
      </c>
      <c r="K160" s="146">
        <f>IFERROR(__xludf.DUMMYFUNCTION("""COMPUTED_VALUE"""),18.0)</f>
        <v>18</v>
      </c>
      <c r="L160" s="146">
        <f>IFERROR(__xludf.DUMMYFUNCTION("""COMPUTED_VALUE"""),1926.0)</f>
        <v>1926</v>
      </c>
      <c r="M160" s="146">
        <f>IFERROR(__xludf.DUMMYFUNCTION("""COMPUTED_VALUE"""),1966.0)</f>
        <v>1966</v>
      </c>
      <c r="N160" s="146">
        <f>IFERROR(__xludf.DUMMYFUNCTION("""COMPUTED_VALUE"""),21.0)</f>
        <v>21</v>
      </c>
      <c r="O160" s="146">
        <f>IFERROR(__xludf.DUMMYFUNCTION("""COMPUTED_VALUE"""),21.0)</f>
        <v>21</v>
      </c>
      <c r="P160" s="146">
        <f>IFERROR(__xludf.DUMMYFUNCTION("""COMPUTED_VALUE"""),110.0)</f>
        <v>110</v>
      </c>
      <c r="Q160" s="146" t="str">
        <f>IFERROR(__xludf.DUMMYFUNCTION("""COMPUTED_VALUE"""),"S17,G18")</f>
        <v>S17,G18</v>
      </c>
      <c r="R160" s="146"/>
      <c r="T160" s="131" t="str">
        <f>IFERROR(__xludf.DUMMYFUNCTION("""COMPUTED_VALUE"""),"Y")</f>
        <v>Y</v>
      </c>
      <c r="U160" s="131" t="str">
        <f>IFERROR(__xludf.DUMMYFUNCTION("""COMPUTED_VALUE"""),"4")</f>
        <v>4</v>
      </c>
      <c r="V160" s="131"/>
      <c r="W160" s="144">
        <f>IFERROR(__xludf.DUMMYFUNCTION("""COMPUTED_VALUE"""),45657.0)</f>
        <v>45657</v>
      </c>
      <c r="X160" s="144">
        <f>IFERROR(__xludf.DUMMYFUNCTION("""COMPUTED_VALUE"""),45664.0)</f>
        <v>45664</v>
      </c>
      <c r="Y160" s="144">
        <f>IFERROR(__xludf.DUMMYFUNCTION("""COMPUTED_VALUE"""),45685.0)</f>
        <v>45685</v>
      </c>
      <c r="Z160" s="131" t="str">
        <f>IFERROR(__xludf.DUMMYFUNCTION("""COMPUTED_VALUE"""),"D41-5L")</f>
        <v>D41-5L</v>
      </c>
      <c r="AA160" s="131">
        <f>IFERROR(__xludf.DUMMYFUNCTION("""COMPUTED_VALUE"""),83.0)</f>
        <v>83</v>
      </c>
      <c r="AB160" s="131">
        <f>IFERROR(__xludf.DUMMYFUNCTION("""COMPUTED_VALUE"""),267.0)</f>
        <v>267</v>
      </c>
      <c r="AC160" s="131">
        <f>IFERROR(__xludf.DUMMYFUNCTION("""COMPUTED_VALUE"""),93.0)</f>
        <v>93</v>
      </c>
      <c r="AD160" s="131">
        <f>IFERROR(__xludf.DUMMYFUNCTION("""COMPUTED_VALUE"""),93.0)</f>
        <v>93</v>
      </c>
      <c r="AE160" s="131">
        <f>IFERROR(__xludf.DUMMYFUNCTION("""COMPUTED_VALUE"""),284.0)</f>
        <v>284</v>
      </c>
      <c r="AF160" s="131">
        <f>IFERROR(__xludf.DUMMYFUNCTION("""COMPUTED_VALUE"""),308.0)</f>
        <v>308</v>
      </c>
      <c r="AG160" s="131">
        <f>IFERROR(__xludf.DUMMYFUNCTION("""COMPUTED_VALUE"""),13.0)</f>
        <v>13</v>
      </c>
      <c r="AH160" s="131">
        <f>IFERROR(__xludf.DUMMYFUNCTION("""COMPUTED_VALUE"""),13.0)</f>
        <v>13</v>
      </c>
      <c r="AI160" s="131">
        <f>IFERROR(__xludf.DUMMYFUNCTION("""COMPUTED_VALUE"""),113.0)</f>
        <v>113</v>
      </c>
      <c r="AJ160" s="131" t="str">
        <f>IFERROR(__xludf.DUMMYFUNCTION("""COMPUTED_VALUE"""),"S17,G18")</f>
        <v>S17,G18</v>
      </c>
      <c r="AK160" s="131"/>
    </row>
    <row r="161">
      <c r="A161" s="145" t="str">
        <f>IFERROR(__xludf.DUMMYFUNCTION("""COMPUTED_VALUE"""),"Y")</f>
        <v>Y</v>
      </c>
      <c r="B161" s="146" t="str">
        <f>IFERROR(__xludf.DUMMYFUNCTION("""COMPUTED_VALUE"""),"4")</f>
        <v>4</v>
      </c>
      <c r="C161" s="146"/>
      <c r="D161" s="147">
        <f>IFERROR(__xludf.DUMMYFUNCTION("""COMPUTED_VALUE"""),45657.0)</f>
        <v>45657</v>
      </c>
      <c r="E161" s="147">
        <f>IFERROR(__xludf.DUMMYFUNCTION("""COMPUTED_VALUE"""),45664.0)</f>
        <v>45664</v>
      </c>
      <c r="F161" s="147">
        <f>IFERROR(__xludf.DUMMYFUNCTION("""COMPUTED_VALUE"""),45685.0)</f>
        <v>45685</v>
      </c>
      <c r="G161" s="146" t="str">
        <f>IFERROR(__xludf.DUMMYFUNCTION("""COMPUTED_VALUE"""),"D41-5L")</f>
        <v>D41-5L</v>
      </c>
      <c r="H161" s="148">
        <f>IFERROR(__xludf.DUMMYFUNCTION("""COMPUTED_VALUE"""),83.0)</f>
        <v>83</v>
      </c>
      <c r="I161" s="148">
        <f>IFERROR(__xludf.DUMMYFUNCTION("""COMPUTED_VALUE"""),267.0)</f>
        <v>267</v>
      </c>
      <c r="J161" s="146">
        <f>IFERROR(__xludf.DUMMYFUNCTION("""COMPUTED_VALUE"""),93.0)</f>
        <v>93</v>
      </c>
      <c r="K161" s="146">
        <f>IFERROR(__xludf.DUMMYFUNCTION("""COMPUTED_VALUE"""),93.0)</f>
        <v>93</v>
      </c>
      <c r="L161" s="146">
        <f>IFERROR(__xludf.DUMMYFUNCTION("""COMPUTED_VALUE"""),284.0)</f>
        <v>284</v>
      </c>
      <c r="M161" s="146">
        <f>IFERROR(__xludf.DUMMYFUNCTION("""COMPUTED_VALUE"""),308.0)</f>
        <v>308</v>
      </c>
      <c r="N161" s="146">
        <f>IFERROR(__xludf.DUMMYFUNCTION("""COMPUTED_VALUE"""),13.0)</f>
        <v>13</v>
      </c>
      <c r="O161" s="146">
        <f>IFERROR(__xludf.DUMMYFUNCTION("""COMPUTED_VALUE"""),13.0)</f>
        <v>13</v>
      </c>
      <c r="P161" s="146">
        <f>IFERROR(__xludf.DUMMYFUNCTION("""COMPUTED_VALUE"""),113.0)</f>
        <v>113</v>
      </c>
      <c r="Q161" s="146" t="str">
        <f>IFERROR(__xludf.DUMMYFUNCTION("""COMPUTED_VALUE"""),"S17,G18")</f>
        <v>S17,G18</v>
      </c>
      <c r="R161" s="146"/>
      <c r="T161" s="131" t="str">
        <f>IFERROR(__xludf.DUMMYFUNCTION("""COMPUTED_VALUE"""),"Y")</f>
        <v>Y</v>
      </c>
      <c r="U161" s="131" t="str">
        <f>IFERROR(__xludf.DUMMYFUNCTION("""COMPUTED_VALUE"""),"4")</f>
        <v>4</v>
      </c>
      <c r="V161" s="131"/>
      <c r="W161" s="144">
        <f>IFERROR(__xludf.DUMMYFUNCTION("""COMPUTED_VALUE"""),45661.0)</f>
        <v>45661</v>
      </c>
      <c r="X161" s="144">
        <f>IFERROR(__xludf.DUMMYFUNCTION("""COMPUTED_VALUE"""),45668.0)</f>
        <v>45668</v>
      </c>
      <c r="Y161" s="144">
        <f>IFERROR(__xludf.DUMMYFUNCTION("""COMPUTED_VALUE"""),45689.0)</f>
        <v>45689</v>
      </c>
      <c r="Z161" s="131" t="str">
        <f>IFERROR(__xludf.DUMMYFUNCTION("""COMPUTED_VALUE"""),"DC34")</f>
        <v>DC34</v>
      </c>
      <c r="AA161" s="131">
        <f>IFERROR(__xludf.DUMMYFUNCTION("""COMPUTED_VALUE"""),123.0)</f>
        <v>123</v>
      </c>
      <c r="AB161" s="131">
        <f>IFERROR(__xludf.DUMMYFUNCTION("""COMPUTED_VALUE"""),141.0)</f>
        <v>141</v>
      </c>
      <c r="AC161" s="131">
        <f>IFERROR(__xludf.DUMMYFUNCTION("""COMPUTED_VALUE"""),10.0)</f>
        <v>10</v>
      </c>
      <c r="AD161" s="131">
        <f>IFERROR(__xludf.DUMMYFUNCTION("""COMPUTED_VALUE"""),10.0)</f>
        <v>10</v>
      </c>
      <c r="AE161" s="131">
        <f>IFERROR(__xludf.DUMMYFUNCTION("""COMPUTED_VALUE"""),10.0)</f>
        <v>10</v>
      </c>
      <c r="AF161" s="131">
        <f>IFERROR(__xludf.DUMMYFUNCTION("""COMPUTED_VALUE"""),120.0)</f>
        <v>120</v>
      </c>
      <c r="AG161" s="131">
        <f>IFERROR(__xludf.DUMMYFUNCTION("""COMPUTED_VALUE"""),56.0)</f>
        <v>56</v>
      </c>
      <c r="AH161" s="131">
        <f>IFERROR(__xludf.DUMMYFUNCTION("""COMPUTED_VALUE"""),56.0)</f>
        <v>56</v>
      </c>
      <c r="AI161" s="131">
        <f>IFERROR(__xludf.DUMMYFUNCTION("""COMPUTED_VALUE"""),114.0)</f>
        <v>114</v>
      </c>
      <c r="AJ161" s="131"/>
      <c r="AK161" s="131"/>
    </row>
    <row r="162">
      <c r="A162" s="145" t="str">
        <f>IFERROR(__xludf.DUMMYFUNCTION("""COMPUTED_VALUE"""),"Y")</f>
        <v>Y</v>
      </c>
      <c r="B162" s="146" t="str">
        <f>IFERROR(__xludf.DUMMYFUNCTION("""COMPUTED_VALUE"""),"4")</f>
        <v>4</v>
      </c>
      <c r="C162" s="146"/>
      <c r="D162" s="147">
        <f>IFERROR(__xludf.DUMMYFUNCTION("""COMPUTED_VALUE"""),45661.0)</f>
        <v>45661</v>
      </c>
      <c r="E162" s="147">
        <f>IFERROR(__xludf.DUMMYFUNCTION("""COMPUTED_VALUE"""),45668.0)</f>
        <v>45668</v>
      </c>
      <c r="F162" s="147">
        <f>IFERROR(__xludf.DUMMYFUNCTION("""COMPUTED_VALUE"""),45689.0)</f>
        <v>45689</v>
      </c>
      <c r="G162" s="146" t="str">
        <f>IFERROR(__xludf.DUMMYFUNCTION("""COMPUTED_VALUE"""),"DC34")</f>
        <v>DC34</v>
      </c>
      <c r="H162" s="148">
        <f>IFERROR(__xludf.DUMMYFUNCTION("""COMPUTED_VALUE"""),123.0)</f>
        <v>123</v>
      </c>
      <c r="I162" s="148">
        <f>IFERROR(__xludf.DUMMYFUNCTION("""COMPUTED_VALUE"""),141.0)</f>
        <v>141</v>
      </c>
      <c r="J162" s="146">
        <f>IFERROR(__xludf.DUMMYFUNCTION("""COMPUTED_VALUE"""),10.0)</f>
        <v>10</v>
      </c>
      <c r="K162" s="146">
        <f>IFERROR(__xludf.DUMMYFUNCTION("""COMPUTED_VALUE"""),10.0)</f>
        <v>10</v>
      </c>
      <c r="L162" s="146">
        <f>IFERROR(__xludf.DUMMYFUNCTION("""COMPUTED_VALUE"""),10.0)</f>
        <v>10</v>
      </c>
      <c r="M162" s="146">
        <f>IFERROR(__xludf.DUMMYFUNCTION("""COMPUTED_VALUE"""),120.0)</f>
        <v>120</v>
      </c>
      <c r="N162" s="146">
        <f>IFERROR(__xludf.DUMMYFUNCTION("""COMPUTED_VALUE"""),56.0)</f>
        <v>56</v>
      </c>
      <c r="O162" s="146">
        <f>IFERROR(__xludf.DUMMYFUNCTION("""COMPUTED_VALUE"""),56.0)</f>
        <v>56</v>
      </c>
      <c r="P162" s="146">
        <f>IFERROR(__xludf.DUMMYFUNCTION("""COMPUTED_VALUE"""),114.0)</f>
        <v>114</v>
      </c>
      <c r="Q162" s="146"/>
      <c r="R162" s="146"/>
      <c r="T162" s="131" t="str">
        <f>IFERROR(__xludf.DUMMYFUNCTION("""COMPUTED_VALUE"""),"Y")</f>
        <v>Y</v>
      </c>
      <c r="U162" s="131" t="str">
        <f>IFERROR(__xludf.DUMMYFUNCTION("""COMPUTED_VALUE"""),"4")</f>
        <v>4</v>
      </c>
      <c r="V162" s="131"/>
      <c r="W162" s="144">
        <f>IFERROR(__xludf.DUMMYFUNCTION("""COMPUTED_VALUE"""),45662.0)</f>
        <v>45662</v>
      </c>
      <c r="X162" s="144">
        <f>IFERROR(__xludf.DUMMYFUNCTION("""COMPUTED_VALUE"""),45669.0)</f>
        <v>45669</v>
      </c>
      <c r="Y162" s="144">
        <f>IFERROR(__xludf.DUMMYFUNCTION("""COMPUTED_VALUE"""),45690.0)</f>
        <v>45690</v>
      </c>
      <c r="Z162" s="131" t="str">
        <f>IFERROR(__xludf.DUMMYFUNCTION("""COMPUTED_VALUE"""),"DC34")</f>
        <v>DC34</v>
      </c>
      <c r="AA162" s="131">
        <f>IFERROR(__xludf.DUMMYFUNCTION("""COMPUTED_VALUE"""),143.0)</f>
        <v>143</v>
      </c>
      <c r="AB162" s="131">
        <f>IFERROR(__xludf.DUMMYFUNCTION("""COMPUTED_VALUE"""),227.0)</f>
        <v>227</v>
      </c>
      <c r="AC162" s="131">
        <f>IFERROR(__xludf.DUMMYFUNCTION("""COMPUTED_VALUE"""),43.0)</f>
        <v>43</v>
      </c>
      <c r="AD162" s="131">
        <f>IFERROR(__xludf.DUMMYFUNCTION("""COMPUTED_VALUE"""),43.0)</f>
        <v>43</v>
      </c>
      <c r="AE162" s="131">
        <f>IFERROR(__xludf.DUMMYFUNCTION("""COMPUTED_VALUE"""),122.0)</f>
        <v>122</v>
      </c>
      <c r="AF162" s="131">
        <f>IFERROR(__xludf.DUMMYFUNCTION("""COMPUTED_VALUE"""),128.0)</f>
        <v>128</v>
      </c>
      <c r="AG162" s="131">
        <f>IFERROR(__xludf.DUMMYFUNCTION("""COMPUTED_VALUE"""),4.0)</f>
        <v>4</v>
      </c>
      <c r="AH162" s="131">
        <f>IFERROR(__xludf.DUMMYFUNCTION("""COMPUTED_VALUE"""),4.0)</f>
        <v>4</v>
      </c>
      <c r="AI162" s="131">
        <f>IFERROR(__xludf.DUMMYFUNCTION("""COMPUTED_VALUE"""),116.0)</f>
        <v>116</v>
      </c>
      <c r="AJ162" s="131"/>
      <c r="AK162" s="131"/>
    </row>
    <row r="163">
      <c r="A163" s="145" t="str">
        <f>IFERROR(__xludf.DUMMYFUNCTION("""COMPUTED_VALUE"""),"Y")</f>
        <v>Y</v>
      </c>
      <c r="B163" s="146" t="str">
        <f>IFERROR(__xludf.DUMMYFUNCTION("""COMPUTED_VALUE"""),"4")</f>
        <v>4</v>
      </c>
      <c r="C163" s="146"/>
      <c r="D163" s="147">
        <f>IFERROR(__xludf.DUMMYFUNCTION("""COMPUTED_VALUE"""),45662.0)</f>
        <v>45662</v>
      </c>
      <c r="E163" s="147">
        <f>IFERROR(__xludf.DUMMYFUNCTION("""COMPUTED_VALUE"""),45669.0)</f>
        <v>45669</v>
      </c>
      <c r="F163" s="147">
        <f>IFERROR(__xludf.DUMMYFUNCTION("""COMPUTED_VALUE"""),45690.0)</f>
        <v>45690</v>
      </c>
      <c r="G163" s="146" t="str">
        <f>IFERROR(__xludf.DUMMYFUNCTION("""COMPUTED_VALUE"""),"DC34")</f>
        <v>DC34</v>
      </c>
      <c r="H163" s="148">
        <f>IFERROR(__xludf.DUMMYFUNCTION("""COMPUTED_VALUE"""),143.0)</f>
        <v>143</v>
      </c>
      <c r="I163" s="148">
        <f>IFERROR(__xludf.DUMMYFUNCTION("""COMPUTED_VALUE"""),227.0)</f>
        <v>227</v>
      </c>
      <c r="J163" s="146">
        <f>IFERROR(__xludf.DUMMYFUNCTION("""COMPUTED_VALUE"""),43.0)</f>
        <v>43</v>
      </c>
      <c r="K163" s="146">
        <f>IFERROR(__xludf.DUMMYFUNCTION("""COMPUTED_VALUE"""),43.0)</f>
        <v>43</v>
      </c>
      <c r="L163" s="146">
        <f>IFERROR(__xludf.DUMMYFUNCTION("""COMPUTED_VALUE"""),122.0)</f>
        <v>122</v>
      </c>
      <c r="M163" s="146">
        <f>IFERROR(__xludf.DUMMYFUNCTION("""COMPUTED_VALUE"""),128.0)</f>
        <v>128</v>
      </c>
      <c r="N163" s="146">
        <f>IFERROR(__xludf.DUMMYFUNCTION("""COMPUTED_VALUE"""),4.0)</f>
        <v>4</v>
      </c>
      <c r="O163" s="146">
        <f>IFERROR(__xludf.DUMMYFUNCTION("""COMPUTED_VALUE"""),4.0)</f>
        <v>4</v>
      </c>
      <c r="P163" s="146">
        <f>IFERROR(__xludf.DUMMYFUNCTION("""COMPUTED_VALUE"""),116.0)</f>
        <v>116</v>
      </c>
      <c r="Q163" s="146"/>
      <c r="R163" s="146"/>
      <c r="T163" s="131" t="str">
        <f>IFERROR(__xludf.DUMMYFUNCTION("""COMPUTED_VALUE"""),"Y")</f>
        <v>Y</v>
      </c>
      <c r="U163" s="131" t="str">
        <f>IFERROR(__xludf.DUMMYFUNCTION("""COMPUTED_VALUE"""),"4")</f>
        <v>4</v>
      </c>
      <c r="V163" s="131"/>
      <c r="W163" s="144">
        <f>IFERROR(__xludf.DUMMYFUNCTION("""COMPUTED_VALUE"""),45666.0)</f>
        <v>45666</v>
      </c>
      <c r="X163" s="144">
        <f>IFERROR(__xludf.DUMMYFUNCTION("""COMPUTED_VALUE"""),45673.0)</f>
        <v>45673</v>
      </c>
      <c r="Y163" s="144">
        <f>IFERROR(__xludf.DUMMYFUNCTION("""COMPUTED_VALUE"""),45694.0)</f>
        <v>45694</v>
      </c>
      <c r="Z163" s="131" t="str">
        <f>IFERROR(__xludf.DUMMYFUNCTION("""COMPUTED_VALUE"""),"BRG12")</f>
        <v>BRG12</v>
      </c>
      <c r="AA163" s="131">
        <f>IFERROR(__xludf.DUMMYFUNCTION("""COMPUTED_VALUE"""),2017.0)</f>
        <v>2017</v>
      </c>
      <c r="AB163" s="131">
        <f>IFERROR(__xludf.DUMMYFUNCTION("""COMPUTED_VALUE"""),2067.0)</f>
        <v>2067</v>
      </c>
      <c r="AC163" s="131">
        <f>IFERROR(__xludf.DUMMYFUNCTION("""COMPUTED_VALUE"""),26.0)</f>
        <v>26</v>
      </c>
      <c r="AD163" s="131">
        <f>IFERROR(__xludf.DUMMYFUNCTION("""COMPUTED_VALUE"""),26.0)</f>
        <v>26</v>
      </c>
      <c r="AE163" s="131">
        <f>IFERROR(__xludf.DUMMYFUNCTION("""COMPUTED_VALUE"""),1982.0)</f>
        <v>1982</v>
      </c>
      <c r="AF163" s="131">
        <f>IFERROR(__xludf.DUMMYFUNCTION("""COMPUTED_VALUE"""),2008.0)</f>
        <v>2008</v>
      </c>
      <c r="AG163" s="131">
        <f>IFERROR(__xludf.DUMMYFUNCTION("""COMPUTED_VALUE"""),14.0)</f>
        <v>14</v>
      </c>
      <c r="AH163" s="131">
        <f>IFERROR(__xludf.DUMMYFUNCTION("""COMPUTED_VALUE"""),14.0)</f>
        <v>14</v>
      </c>
      <c r="AI163" s="131">
        <f>IFERROR(__xludf.DUMMYFUNCTION("""COMPUTED_VALUE"""),115.0)</f>
        <v>115</v>
      </c>
      <c r="AJ163" s="131" t="str">
        <f>IFERROR(__xludf.DUMMYFUNCTION("""COMPUTED_VALUE"""),"S18,G19")</f>
        <v>S18,G19</v>
      </c>
      <c r="AK163" s="131"/>
    </row>
    <row r="164">
      <c r="A164" s="145" t="str">
        <f>IFERROR(__xludf.DUMMYFUNCTION("""COMPUTED_VALUE"""),"Y")</f>
        <v>Y</v>
      </c>
      <c r="B164" s="146" t="str">
        <f>IFERROR(__xludf.DUMMYFUNCTION("""COMPUTED_VALUE"""),"4")</f>
        <v>4</v>
      </c>
      <c r="C164" s="146"/>
      <c r="D164" s="147">
        <f>IFERROR(__xludf.DUMMYFUNCTION("""COMPUTED_VALUE"""),45666.0)</f>
        <v>45666</v>
      </c>
      <c r="E164" s="147">
        <f>IFERROR(__xludf.DUMMYFUNCTION("""COMPUTED_VALUE"""),45673.0)</f>
        <v>45673</v>
      </c>
      <c r="F164" s="147">
        <f>IFERROR(__xludf.DUMMYFUNCTION("""COMPUTED_VALUE"""),45694.0)</f>
        <v>45694</v>
      </c>
      <c r="G164" s="146" t="str">
        <f>IFERROR(__xludf.DUMMYFUNCTION("""COMPUTED_VALUE"""),"BRG12")</f>
        <v>BRG12</v>
      </c>
      <c r="H164" s="148">
        <f>IFERROR(__xludf.DUMMYFUNCTION("""COMPUTED_VALUE"""),2017.0)</f>
        <v>2017</v>
      </c>
      <c r="I164" s="148">
        <f>IFERROR(__xludf.DUMMYFUNCTION("""COMPUTED_VALUE"""),2067.0)</f>
        <v>2067</v>
      </c>
      <c r="J164" s="146">
        <f>IFERROR(__xludf.DUMMYFUNCTION("""COMPUTED_VALUE"""),26.0)</f>
        <v>26</v>
      </c>
      <c r="K164" s="146">
        <f>IFERROR(__xludf.DUMMYFUNCTION("""COMPUTED_VALUE"""),26.0)</f>
        <v>26</v>
      </c>
      <c r="L164" s="146">
        <f>IFERROR(__xludf.DUMMYFUNCTION("""COMPUTED_VALUE"""),1982.0)</f>
        <v>1982</v>
      </c>
      <c r="M164" s="146">
        <f>IFERROR(__xludf.DUMMYFUNCTION("""COMPUTED_VALUE"""),2008.0)</f>
        <v>2008</v>
      </c>
      <c r="N164" s="146">
        <f>IFERROR(__xludf.DUMMYFUNCTION("""COMPUTED_VALUE"""),14.0)</f>
        <v>14</v>
      </c>
      <c r="O164" s="146">
        <f>IFERROR(__xludf.DUMMYFUNCTION("""COMPUTED_VALUE"""),14.0)</f>
        <v>14</v>
      </c>
      <c r="P164" s="146">
        <f>IFERROR(__xludf.DUMMYFUNCTION("""COMPUTED_VALUE"""),115.0)</f>
        <v>115</v>
      </c>
      <c r="Q164" s="146" t="str">
        <f>IFERROR(__xludf.DUMMYFUNCTION("""COMPUTED_VALUE"""),"S18,G19")</f>
        <v>S18,G19</v>
      </c>
      <c r="R164" s="146"/>
      <c r="T164" s="131" t="str">
        <f>IFERROR(__xludf.DUMMYFUNCTION("""COMPUTED_VALUE"""),"Y")</f>
        <v>Y</v>
      </c>
      <c r="U164" s="131" t="str">
        <f>IFERROR(__xludf.DUMMYFUNCTION("""COMPUTED_VALUE"""),"4")</f>
        <v>4</v>
      </c>
      <c r="V164" s="131"/>
      <c r="W164" s="144">
        <f>IFERROR(__xludf.DUMMYFUNCTION("""COMPUTED_VALUE"""),45666.0)</f>
        <v>45666</v>
      </c>
      <c r="X164" s="144">
        <f>IFERROR(__xludf.DUMMYFUNCTION("""COMPUTED_VALUE"""),45673.0)</f>
        <v>45673</v>
      </c>
      <c r="Y164" s="144">
        <f>IFERROR(__xludf.DUMMYFUNCTION("""COMPUTED_VALUE"""),45694.0)</f>
        <v>45694</v>
      </c>
      <c r="Z164" s="131" t="str">
        <f>IFERROR(__xludf.DUMMYFUNCTION("""COMPUTED_VALUE"""),"BRG12")</f>
        <v>BRG12</v>
      </c>
      <c r="AA164" s="131">
        <f>IFERROR(__xludf.DUMMYFUNCTION("""COMPUTED_VALUE"""),2069.0)</f>
        <v>2069</v>
      </c>
      <c r="AB164" s="131">
        <f>IFERROR(__xludf.DUMMYFUNCTION("""COMPUTED_VALUE"""),2133.0)</f>
        <v>2133</v>
      </c>
      <c r="AC164" s="131">
        <f>IFERROR(__xludf.DUMMYFUNCTION("""COMPUTED_VALUE"""),33.0)</f>
        <v>33</v>
      </c>
      <c r="AD164" s="131">
        <f>IFERROR(__xludf.DUMMYFUNCTION("""COMPUTED_VALUE"""),33.0)</f>
        <v>33</v>
      </c>
      <c r="AE164" s="131">
        <f>IFERROR(__xludf.DUMMYFUNCTION("""COMPUTED_VALUE"""),2010.0)</f>
        <v>2010</v>
      </c>
      <c r="AF164" s="131">
        <f>IFERROR(__xludf.DUMMYFUNCTION("""COMPUTED_VALUE"""),2020.0)</f>
        <v>2020</v>
      </c>
      <c r="AG164" s="131">
        <f>IFERROR(__xludf.DUMMYFUNCTION("""COMPUTED_VALUE"""),6.0)</f>
        <v>6</v>
      </c>
      <c r="AH164" s="131">
        <f>IFERROR(__xludf.DUMMYFUNCTION("""COMPUTED_VALUE"""),6.0)</f>
        <v>6</v>
      </c>
      <c r="AI164" s="131">
        <f>IFERROR(__xludf.DUMMYFUNCTION("""COMPUTED_VALUE"""),117.0)</f>
        <v>117</v>
      </c>
      <c r="AJ164" s="131"/>
      <c r="AK164" s="131"/>
    </row>
    <row r="165">
      <c r="A165" s="145" t="str">
        <f>IFERROR(__xludf.DUMMYFUNCTION("""COMPUTED_VALUE"""),"Y")</f>
        <v>Y</v>
      </c>
      <c r="B165" s="146" t="str">
        <f>IFERROR(__xludf.DUMMYFUNCTION("""COMPUTED_VALUE"""),"4")</f>
        <v>4</v>
      </c>
      <c r="C165" s="146"/>
      <c r="D165" s="147">
        <f>IFERROR(__xludf.DUMMYFUNCTION("""COMPUTED_VALUE"""),45666.0)</f>
        <v>45666</v>
      </c>
      <c r="E165" s="147">
        <f>IFERROR(__xludf.DUMMYFUNCTION("""COMPUTED_VALUE"""),45673.0)</f>
        <v>45673</v>
      </c>
      <c r="F165" s="147">
        <f>IFERROR(__xludf.DUMMYFUNCTION("""COMPUTED_VALUE"""),45694.0)</f>
        <v>45694</v>
      </c>
      <c r="G165" s="146" t="str">
        <f>IFERROR(__xludf.DUMMYFUNCTION("""COMPUTED_VALUE"""),"BRG12")</f>
        <v>BRG12</v>
      </c>
      <c r="H165" s="148">
        <f>IFERROR(__xludf.DUMMYFUNCTION("""COMPUTED_VALUE"""),2069.0)</f>
        <v>2069</v>
      </c>
      <c r="I165" s="148">
        <f>IFERROR(__xludf.DUMMYFUNCTION("""COMPUTED_VALUE"""),2133.0)</f>
        <v>2133</v>
      </c>
      <c r="J165" s="146">
        <f>IFERROR(__xludf.DUMMYFUNCTION("""COMPUTED_VALUE"""),33.0)</f>
        <v>33</v>
      </c>
      <c r="K165" s="146">
        <f>IFERROR(__xludf.DUMMYFUNCTION("""COMPUTED_VALUE"""),33.0)</f>
        <v>33</v>
      </c>
      <c r="L165" s="146">
        <f>IFERROR(__xludf.DUMMYFUNCTION("""COMPUTED_VALUE"""),2010.0)</f>
        <v>2010</v>
      </c>
      <c r="M165" s="146">
        <f>IFERROR(__xludf.DUMMYFUNCTION("""COMPUTED_VALUE"""),2020.0)</f>
        <v>2020</v>
      </c>
      <c r="N165" s="146">
        <f>IFERROR(__xludf.DUMMYFUNCTION("""COMPUTED_VALUE"""),6.0)</f>
        <v>6</v>
      </c>
      <c r="O165" s="146">
        <f>IFERROR(__xludf.DUMMYFUNCTION("""COMPUTED_VALUE"""),6.0)</f>
        <v>6</v>
      </c>
      <c r="P165" s="146">
        <f>IFERROR(__xludf.DUMMYFUNCTION("""COMPUTED_VALUE"""),117.0)</f>
        <v>117</v>
      </c>
      <c r="Q165" s="146"/>
      <c r="R165" s="146"/>
      <c r="T165" s="131" t="str">
        <f>IFERROR(__xludf.DUMMYFUNCTION("""COMPUTED_VALUE"""),"Y")</f>
        <v>Y</v>
      </c>
      <c r="U165" s="131" t="str">
        <f>IFERROR(__xludf.DUMMYFUNCTION("""COMPUTED_VALUE"""),"4")</f>
        <v>4</v>
      </c>
      <c r="V165" s="131"/>
      <c r="W165" s="144">
        <f>IFERROR(__xludf.DUMMYFUNCTION("""COMPUTED_VALUE"""),45668.0)</f>
        <v>45668</v>
      </c>
      <c r="X165" s="144">
        <f>IFERROR(__xludf.DUMMYFUNCTION("""COMPUTED_VALUE"""),45675.0)</f>
        <v>45675</v>
      </c>
      <c r="Y165" s="144">
        <f>IFERROR(__xludf.DUMMYFUNCTION("""COMPUTED_VALUE"""),45696.0)</f>
        <v>45696</v>
      </c>
      <c r="Z165" s="131" t="str">
        <f>IFERROR(__xludf.DUMMYFUNCTION("""COMPUTED_VALUE"""),"BRG12")</f>
        <v>BRG12</v>
      </c>
      <c r="AA165" s="131"/>
      <c r="AB165" s="131"/>
      <c r="AC165" s="131"/>
      <c r="AD165" s="131"/>
      <c r="AE165" s="131">
        <f>IFERROR(__xludf.DUMMYFUNCTION("""COMPUTED_VALUE"""),2022.0)</f>
        <v>2022</v>
      </c>
      <c r="AF165" s="131">
        <f>IFERROR(__xludf.DUMMYFUNCTION("""COMPUTED_VALUE"""),2086.0)</f>
        <v>2086</v>
      </c>
      <c r="AG165" s="131">
        <f>IFERROR(__xludf.DUMMYFUNCTION("""COMPUTED_VALUE"""),33.0)</f>
        <v>33</v>
      </c>
      <c r="AH165" s="131">
        <f>IFERROR(__xludf.DUMMYFUNCTION("""COMPUTED_VALUE"""),33.0)</f>
        <v>33</v>
      </c>
      <c r="AI165" s="131">
        <f>IFERROR(__xludf.DUMMYFUNCTION("""COMPUTED_VALUE"""),118.0)</f>
        <v>118</v>
      </c>
      <c r="AJ165" s="131"/>
      <c r="AK165" s="131"/>
    </row>
    <row r="166">
      <c r="A166" s="145" t="str">
        <f>IFERROR(__xludf.DUMMYFUNCTION("""COMPUTED_VALUE"""),"Y")</f>
        <v>Y</v>
      </c>
      <c r="B166" s="146" t="str">
        <f>IFERROR(__xludf.DUMMYFUNCTION("""COMPUTED_VALUE"""),"4")</f>
        <v>4</v>
      </c>
      <c r="C166" s="146"/>
      <c r="D166" s="147">
        <f>IFERROR(__xludf.DUMMYFUNCTION("""COMPUTED_VALUE"""),45668.0)</f>
        <v>45668</v>
      </c>
      <c r="E166" s="147">
        <f>IFERROR(__xludf.DUMMYFUNCTION("""COMPUTED_VALUE"""),45675.0)</f>
        <v>45675</v>
      </c>
      <c r="F166" s="147">
        <f>IFERROR(__xludf.DUMMYFUNCTION("""COMPUTED_VALUE"""),45696.0)</f>
        <v>45696</v>
      </c>
      <c r="G166" s="146" t="str">
        <f>IFERROR(__xludf.DUMMYFUNCTION("""COMPUTED_VALUE"""),"BRG12")</f>
        <v>BRG12</v>
      </c>
      <c r="H166" s="148"/>
      <c r="I166" s="148"/>
      <c r="J166" s="146"/>
      <c r="K166" s="146"/>
      <c r="L166" s="146">
        <f>IFERROR(__xludf.DUMMYFUNCTION("""COMPUTED_VALUE"""),2022.0)</f>
        <v>2022</v>
      </c>
      <c r="M166" s="146">
        <f>IFERROR(__xludf.DUMMYFUNCTION("""COMPUTED_VALUE"""),2086.0)</f>
        <v>2086</v>
      </c>
      <c r="N166" s="146">
        <f>IFERROR(__xludf.DUMMYFUNCTION("""COMPUTED_VALUE"""),33.0)</f>
        <v>33</v>
      </c>
      <c r="O166" s="146">
        <f>IFERROR(__xludf.DUMMYFUNCTION("""COMPUTED_VALUE"""),33.0)</f>
        <v>33</v>
      </c>
      <c r="P166" s="146">
        <f>IFERROR(__xludf.DUMMYFUNCTION("""COMPUTED_VALUE"""),118.0)</f>
        <v>118</v>
      </c>
      <c r="Q166" s="146"/>
      <c r="R166" s="146"/>
      <c r="T166" s="131" t="str">
        <f>IFERROR(__xludf.DUMMYFUNCTION("""COMPUTED_VALUE"""),"Y")</f>
        <v>Y</v>
      </c>
      <c r="U166" s="131" t="str">
        <f>IFERROR(__xludf.DUMMYFUNCTION("""COMPUTED_VALUE"""),"4")</f>
        <v>4</v>
      </c>
      <c r="V166" s="131"/>
      <c r="W166" s="144">
        <f>IFERROR(__xludf.DUMMYFUNCTION("""COMPUTED_VALUE"""),45668.0)</f>
        <v>45668</v>
      </c>
      <c r="X166" s="144">
        <f>IFERROR(__xludf.DUMMYFUNCTION("""COMPUTED_VALUE"""),45675.0)</f>
        <v>45675</v>
      </c>
      <c r="Y166" s="144">
        <f>IFERROR(__xludf.DUMMYFUNCTION("""COMPUTED_VALUE"""),45696.0)</f>
        <v>45696</v>
      </c>
      <c r="Z166" s="131" t="str">
        <f>IFERROR(__xludf.DUMMYFUNCTION("""COMPUTED_VALUE"""),"DC40")</f>
        <v>DC40</v>
      </c>
      <c r="AA166" s="131">
        <f>IFERROR(__xludf.DUMMYFUNCTION("""COMPUTED_VALUE"""),293.0)</f>
        <v>293</v>
      </c>
      <c r="AB166" s="131">
        <f>IFERROR(__xludf.DUMMYFUNCTION("""COMPUTED_VALUE"""),331.0)</f>
        <v>331</v>
      </c>
      <c r="AC166" s="131">
        <f>IFERROR(__xludf.DUMMYFUNCTION("""COMPUTED_VALUE"""),20.0)</f>
        <v>20</v>
      </c>
      <c r="AD166" s="131">
        <f>IFERROR(__xludf.DUMMYFUNCTION("""COMPUTED_VALUE"""),20.0)</f>
        <v>20</v>
      </c>
      <c r="AE166" s="131">
        <f>IFERROR(__xludf.DUMMYFUNCTION("""COMPUTED_VALUE"""),334.0)</f>
        <v>334</v>
      </c>
      <c r="AF166" s="131">
        <f>IFERROR(__xludf.DUMMYFUNCTION("""COMPUTED_VALUE"""),336.0)</f>
        <v>336</v>
      </c>
      <c r="AG166" s="131">
        <f>IFERROR(__xludf.DUMMYFUNCTION("""COMPUTED_VALUE"""),2.0)</f>
        <v>2</v>
      </c>
      <c r="AH166" s="131">
        <f>IFERROR(__xludf.DUMMYFUNCTION("""COMPUTED_VALUE"""),2.0)</f>
        <v>2</v>
      </c>
      <c r="AI166" s="131">
        <f>IFERROR(__xludf.DUMMYFUNCTION("""COMPUTED_VALUE"""),119.0)</f>
        <v>119</v>
      </c>
      <c r="AJ166" s="131"/>
      <c r="AK166" s="131"/>
    </row>
    <row r="167">
      <c r="A167" s="145" t="str">
        <f>IFERROR(__xludf.DUMMYFUNCTION("""COMPUTED_VALUE"""),"Y")</f>
        <v>Y</v>
      </c>
      <c r="B167" s="146" t="str">
        <f>IFERROR(__xludf.DUMMYFUNCTION("""COMPUTED_VALUE"""),"4")</f>
        <v>4</v>
      </c>
      <c r="C167" s="146"/>
      <c r="D167" s="147">
        <f>IFERROR(__xludf.DUMMYFUNCTION("""COMPUTED_VALUE"""),45668.0)</f>
        <v>45668</v>
      </c>
      <c r="E167" s="147">
        <f>IFERROR(__xludf.DUMMYFUNCTION("""COMPUTED_VALUE"""),45675.0)</f>
        <v>45675</v>
      </c>
      <c r="F167" s="147">
        <f>IFERROR(__xludf.DUMMYFUNCTION("""COMPUTED_VALUE"""),45696.0)</f>
        <v>45696</v>
      </c>
      <c r="G167" s="146" t="str">
        <f>IFERROR(__xludf.DUMMYFUNCTION("""COMPUTED_VALUE"""),"DC40")</f>
        <v>DC40</v>
      </c>
      <c r="H167" s="148">
        <f>IFERROR(__xludf.DUMMYFUNCTION("""COMPUTED_VALUE"""),293.0)</f>
        <v>293</v>
      </c>
      <c r="I167" s="148">
        <f>IFERROR(__xludf.DUMMYFUNCTION("""COMPUTED_VALUE"""),331.0)</f>
        <v>331</v>
      </c>
      <c r="J167" s="146">
        <f>IFERROR(__xludf.DUMMYFUNCTION("""COMPUTED_VALUE"""),20.0)</f>
        <v>20</v>
      </c>
      <c r="K167" s="146">
        <f>IFERROR(__xludf.DUMMYFUNCTION("""COMPUTED_VALUE"""),20.0)</f>
        <v>20</v>
      </c>
      <c r="L167" s="146">
        <f>IFERROR(__xludf.DUMMYFUNCTION("""COMPUTED_VALUE"""),334.0)</f>
        <v>334</v>
      </c>
      <c r="M167" s="146">
        <f>IFERROR(__xludf.DUMMYFUNCTION("""COMPUTED_VALUE"""),336.0)</f>
        <v>336</v>
      </c>
      <c r="N167" s="146">
        <f>IFERROR(__xludf.DUMMYFUNCTION("""COMPUTED_VALUE"""),2.0)</f>
        <v>2</v>
      </c>
      <c r="O167" s="146">
        <f>IFERROR(__xludf.DUMMYFUNCTION("""COMPUTED_VALUE"""),2.0)</f>
        <v>2</v>
      </c>
      <c r="P167" s="146">
        <f>IFERROR(__xludf.DUMMYFUNCTION("""COMPUTED_VALUE"""),119.0)</f>
        <v>119</v>
      </c>
      <c r="Q167" s="146"/>
      <c r="R167" s="146"/>
      <c r="T167" s="131" t="str">
        <f>IFERROR(__xludf.DUMMYFUNCTION("""COMPUTED_VALUE"""),"Y")</f>
        <v>Y</v>
      </c>
      <c r="U167" s="131" t="str">
        <f>IFERROR(__xludf.DUMMYFUNCTION("""COMPUTED_VALUE"""),"4")</f>
        <v>4</v>
      </c>
      <c r="V167" s="131"/>
      <c r="W167" s="144">
        <f>IFERROR(__xludf.DUMMYFUNCTION("""COMPUTED_VALUE"""),45668.0)</f>
        <v>45668</v>
      </c>
      <c r="X167" s="144">
        <f>IFERROR(__xludf.DUMMYFUNCTION("""COMPUTED_VALUE"""),45675.0)</f>
        <v>45675</v>
      </c>
      <c r="Y167" s="144">
        <f>IFERROR(__xludf.DUMMYFUNCTION("""COMPUTED_VALUE"""),45696.0)</f>
        <v>45696</v>
      </c>
      <c r="Z167" s="131" t="str">
        <f>IFERROR(__xludf.DUMMYFUNCTION("""COMPUTED_VALUE"""),"DC40")</f>
        <v>DC40</v>
      </c>
      <c r="AA167" s="131">
        <f>IFERROR(__xludf.DUMMYFUNCTION("""COMPUTED_VALUE"""),339.0)</f>
        <v>339</v>
      </c>
      <c r="AB167" s="131">
        <f>IFERROR(__xludf.DUMMYFUNCTION("""COMPUTED_VALUE"""),345.0)</f>
        <v>345</v>
      </c>
      <c r="AC167" s="131">
        <f>IFERROR(__xludf.DUMMYFUNCTION("""COMPUTED_VALUE"""),4.0)</f>
        <v>4</v>
      </c>
      <c r="AD167" s="131">
        <f>IFERROR(__xludf.DUMMYFUNCTION("""COMPUTED_VALUE"""),4.0)</f>
        <v>4</v>
      </c>
      <c r="AE167" s="131"/>
      <c r="AF167" s="131"/>
      <c r="AG167" s="131"/>
      <c r="AH167" s="131"/>
      <c r="AI167" s="131">
        <f>IFERROR(__xludf.DUMMYFUNCTION("""COMPUTED_VALUE"""),119.0)</f>
        <v>119</v>
      </c>
      <c r="AJ167" s="131"/>
      <c r="AK167" s="131"/>
    </row>
    <row r="168">
      <c r="A168" s="145" t="str">
        <f>IFERROR(__xludf.DUMMYFUNCTION("""COMPUTED_VALUE"""),"Y")</f>
        <v>Y</v>
      </c>
      <c r="B168" s="146" t="str">
        <f>IFERROR(__xludf.DUMMYFUNCTION("""COMPUTED_VALUE"""),"4")</f>
        <v>4</v>
      </c>
      <c r="C168" s="146"/>
      <c r="D168" s="147">
        <f>IFERROR(__xludf.DUMMYFUNCTION("""COMPUTED_VALUE"""),45668.0)</f>
        <v>45668</v>
      </c>
      <c r="E168" s="147">
        <f>IFERROR(__xludf.DUMMYFUNCTION("""COMPUTED_VALUE"""),45675.0)</f>
        <v>45675</v>
      </c>
      <c r="F168" s="147">
        <f>IFERROR(__xludf.DUMMYFUNCTION("""COMPUTED_VALUE"""),45696.0)</f>
        <v>45696</v>
      </c>
      <c r="G168" s="146" t="str">
        <f>IFERROR(__xludf.DUMMYFUNCTION("""COMPUTED_VALUE"""),"DC40")</f>
        <v>DC40</v>
      </c>
      <c r="H168" s="148">
        <f>IFERROR(__xludf.DUMMYFUNCTION("""COMPUTED_VALUE"""),339.0)</f>
        <v>339</v>
      </c>
      <c r="I168" s="148">
        <f>IFERROR(__xludf.DUMMYFUNCTION("""COMPUTED_VALUE"""),345.0)</f>
        <v>345</v>
      </c>
      <c r="J168" s="146">
        <f>IFERROR(__xludf.DUMMYFUNCTION("""COMPUTED_VALUE"""),4.0)</f>
        <v>4</v>
      </c>
      <c r="K168" s="146">
        <f>IFERROR(__xludf.DUMMYFUNCTION("""COMPUTED_VALUE"""),4.0)</f>
        <v>4</v>
      </c>
      <c r="L168" s="146"/>
      <c r="M168" s="146"/>
      <c r="N168" s="146"/>
      <c r="O168" s="146"/>
      <c r="P168" s="146">
        <f>IFERROR(__xludf.DUMMYFUNCTION("""COMPUTED_VALUE"""),119.0)</f>
        <v>119</v>
      </c>
      <c r="Q168" s="146"/>
      <c r="R168" s="146"/>
      <c r="T168" s="131" t="str">
        <f>IFERROR(__xludf.DUMMYFUNCTION("""COMPUTED_VALUE"""),"Y")</f>
        <v>Y</v>
      </c>
      <c r="U168" s="131" t="str">
        <f>IFERROR(__xludf.DUMMYFUNCTION("""COMPUTED_VALUE"""),"4")</f>
        <v>4</v>
      </c>
      <c r="V168" s="131"/>
      <c r="W168" s="144">
        <f>IFERROR(__xludf.DUMMYFUNCTION("""COMPUTED_VALUE"""),45669.0)</f>
        <v>45669</v>
      </c>
      <c r="X168" s="144">
        <f>IFERROR(__xludf.DUMMYFUNCTION("""COMPUTED_VALUE"""),45676.0)</f>
        <v>45676</v>
      </c>
      <c r="Y168" s="144">
        <f>IFERROR(__xludf.DUMMYFUNCTION("""COMPUTED_VALUE"""),45697.0)</f>
        <v>45697</v>
      </c>
      <c r="Z168" s="131" t="str">
        <f>IFERROR(__xludf.DUMMYFUNCTION("""COMPUTED_VALUE"""),"BRG12")</f>
        <v>BRG12</v>
      </c>
      <c r="AA168" s="131">
        <f>IFERROR(__xludf.DUMMYFUNCTION("""COMPUTED_VALUE"""),2135.0)</f>
        <v>2135</v>
      </c>
      <c r="AB168" s="131">
        <f>IFERROR(__xludf.DUMMYFUNCTION("""COMPUTED_VALUE"""),2199.0)</f>
        <v>2199</v>
      </c>
      <c r="AC168" s="131">
        <f>IFERROR(__xludf.DUMMYFUNCTION("""COMPUTED_VALUE"""),33.0)</f>
        <v>33</v>
      </c>
      <c r="AD168" s="131">
        <f>IFERROR(__xludf.DUMMYFUNCTION("""COMPUTED_VALUE"""),33.0)</f>
        <v>33</v>
      </c>
      <c r="AE168" s="131">
        <f>IFERROR(__xludf.DUMMYFUNCTION("""COMPUTED_VALUE"""),2088.0)</f>
        <v>2088</v>
      </c>
      <c r="AF168" s="131">
        <f>IFERROR(__xludf.DUMMYFUNCTION("""COMPUTED_VALUE"""),2098.0)</f>
        <v>2098</v>
      </c>
      <c r="AG168" s="131">
        <f>IFERROR(__xludf.DUMMYFUNCTION("""COMPUTED_VALUE"""),6.0)</f>
        <v>6</v>
      </c>
      <c r="AH168" s="131">
        <f>IFERROR(__xludf.DUMMYFUNCTION("""COMPUTED_VALUE"""),6.0)</f>
        <v>6</v>
      </c>
      <c r="AI168" s="131">
        <f>IFERROR(__xludf.DUMMYFUNCTION("""COMPUTED_VALUE"""),120.0)</f>
        <v>120</v>
      </c>
      <c r="AJ168" s="131"/>
      <c r="AK168" s="131"/>
    </row>
    <row r="169">
      <c r="A169" s="145" t="str">
        <f>IFERROR(__xludf.DUMMYFUNCTION("""COMPUTED_VALUE"""),"Y")</f>
        <v>Y</v>
      </c>
      <c r="B169" s="146" t="str">
        <f>IFERROR(__xludf.DUMMYFUNCTION("""COMPUTED_VALUE"""),"4")</f>
        <v>4</v>
      </c>
      <c r="C169" s="146"/>
      <c r="D169" s="147">
        <f>IFERROR(__xludf.DUMMYFUNCTION("""COMPUTED_VALUE"""),45669.0)</f>
        <v>45669</v>
      </c>
      <c r="E169" s="147">
        <f>IFERROR(__xludf.DUMMYFUNCTION("""COMPUTED_VALUE"""),45676.0)</f>
        <v>45676</v>
      </c>
      <c r="F169" s="147">
        <f>IFERROR(__xludf.DUMMYFUNCTION("""COMPUTED_VALUE"""),45697.0)</f>
        <v>45697</v>
      </c>
      <c r="G169" s="146" t="str">
        <f>IFERROR(__xludf.DUMMYFUNCTION("""COMPUTED_VALUE"""),"BRG12")</f>
        <v>BRG12</v>
      </c>
      <c r="H169" s="148">
        <f>IFERROR(__xludf.DUMMYFUNCTION("""COMPUTED_VALUE"""),2135.0)</f>
        <v>2135</v>
      </c>
      <c r="I169" s="148">
        <f>IFERROR(__xludf.DUMMYFUNCTION("""COMPUTED_VALUE"""),2199.0)</f>
        <v>2199</v>
      </c>
      <c r="J169" s="146">
        <f>IFERROR(__xludf.DUMMYFUNCTION("""COMPUTED_VALUE"""),33.0)</f>
        <v>33</v>
      </c>
      <c r="K169" s="146">
        <f>IFERROR(__xludf.DUMMYFUNCTION("""COMPUTED_VALUE"""),33.0)</f>
        <v>33</v>
      </c>
      <c r="L169" s="146">
        <f>IFERROR(__xludf.DUMMYFUNCTION("""COMPUTED_VALUE"""),2088.0)</f>
        <v>2088</v>
      </c>
      <c r="M169" s="146">
        <f>IFERROR(__xludf.DUMMYFUNCTION("""COMPUTED_VALUE"""),2098.0)</f>
        <v>2098</v>
      </c>
      <c r="N169" s="146">
        <f>IFERROR(__xludf.DUMMYFUNCTION("""COMPUTED_VALUE"""),6.0)</f>
        <v>6</v>
      </c>
      <c r="O169" s="146">
        <f>IFERROR(__xludf.DUMMYFUNCTION("""COMPUTED_VALUE"""),6.0)</f>
        <v>6</v>
      </c>
      <c r="P169" s="146">
        <f>IFERROR(__xludf.DUMMYFUNCTION("""COMPUTED_VALUE"""),120.0)</f>
        <v>120</v>
      </c>
      <c r="Q169" s="146"/>
      <c r="R169" s="146"/>
      <c r="T169" s="131" t="str">
        <f>IFERROR(__xludf.DUMMYFUNCTION("""COMPUTED_VALUE"""),"Y")</f>
        <v>Y</v>
      </c>
      <c r="U169" s="131" t="str">
        <f>IFERROR(__xludf.DUMMYFUNCTION("""COMPUTED_VALUE"""),"4")</f>
        <v>4</v>
      </c>
      <c r="V169" s="131"/>
      <c r="W169" s="144">
        <f>IFERROR(__xludf.DUMMYFUNCTION("""COMPUTED_VALUE"""),45669.0)</f>
        <v>45669</v>
      </c>
      <c r="X169" s="144">
        <f>IFERROR(__xludf.DUMMYFUNCTION("""COMPUTED_VALUE"""),45676.0)</f>
        <v>45676</v>
      </c>
      <c r="Y169" s="144">
        <f>IFERROR(__xludf.DUMMYFUNCTION("""COMPUTED_VALUE"""),45697.0)</f>
        <v>45697</v>
      </c>
      <c r="Z169" s="131" t="str">
        <f>IFERROR(__xludf.DUMMYFUNCTION("""COMPUTED_VALUE"""),"DC40")</f>
        <v>DC40</v>
      </c>
      <c r="AA169" s="131">
        <f>IFERROR(__xludf.DUMMYFUNCTION("""COMPUTED_VALUE"""),363.0)</f>
        <v>363</v>
      </c>
      <c r="AB169" s="131">
        <f>IFERROR(__xludf.DUMMYFUNCTION("""COMPUTED_VALUE"""),391.0)</f>
        <v>391</v>
      </c>
      <c r="AC169" s="131">
        <f>IFERROR(__xludf.DUMMYFUNCTION("""COMPUTED_VALUE"""),15.0)</f>
        <v>15</v>
      </c>
      <c r="AD169" s="131">
        <f>IFERROR(__xludf.DUMMYFUNCTION("""COMPUTED_VALUE"""),15.0)</f>
        <v>15</v>
      </c>
      <c r="AE169" s="131">
        <f>IFERROR(__xludf.DUMMYFUNCTION("""COMPUTED_VALUE"""),294.0)</f>
        <v>294</v>
      </c>
      <c r="AF169" s="131">
        <f>IFERROR(__xludf.DUMMYFUNCTION("""COMPUTED_VALUE"""),330.0)</f>
        <v>330</v>
      </c>
      <c r="AG169" s="131">
        <f>IFERROR(__xludf.DUMMYFUNCTION("""COMPUTED_VALUE"""),19.0)</f>
        <v>19</v>
      </c>
      <c r="AH169" s="131">
        <f>IFERROR(__xludf.DUMMYFUNCTION("""COMPUTED_VALUE"""),19.0)</f>
        <v>19</v>
      </c>
      <c r="AI169" s="131">
        <f>IFERROR(__xludf.DUMMYFUNCTION("""COMPUTED_VALUE"""),121.0)</f>
        <v>121</v>
      </c>
      <c r="AJ169" s="131"/>
      <c r="AK169" s="131"/>
    </row>
    <row r="170">
      <c r="A170" s="145" t="str">
        <f>IFERROR(__xludf.DUMMYFUNCTION("""COMPUTED_VALUE"""),"Y")</f>
        <v>Y</v>
      </c>
      <c r="B170" s="146" t="str">
        <f>IFERROR(__xludf.DUMMYFUNCTION("""COMPUTED_VALUE"""),"4")</f>
        <v>4</v>
      </c>
      <c r="C170" s="146"/>
      <c r="D170" s="147">
        <f>IFERROR(__xludf.DUMMYFUNCTION("""COMPUTED_VALUE"""),45669.0)</f>
        <v>45669</v>
      </c>
      <c r="E170" s="147">
        <f>IFERROR(__xludf.DUMMYFUNCTION("""COMPUTED_VALUE"""),45676.0)</f>
        <v>45676</v>
      </c>
      <c r="F170" s="147">
        <f>IFERROR(__xludf.DUMMYFUNCTION("""COMPUTED_VALUE"""),45697.0)</f>
        <v>45697</v>
      </c>
      <c r="G170" s="146" t="str">
        <f>IFERROR(__xludf.DUMMYFUNCTION("""COMPUTED_VALUE"""),"DC40")</f>
        <v>DC40</v>
      </c>
      <c r="H170" s="148">
        <f>IFERROR(__xludf.DUMMYFUNCTION("""COMPUTED_VALUE"""),363.0)</f>
        <v>363</v>
      </c>
      <c r="I170" s="148">
        <f>IFERROR(__xludf.DUMMYFUNCTION("""COMPUTED_VALUE"""),391.0)</f>
        <v>391</v>
      </c>
      <c r="J170" s="146">
        <f>IFERROR(__xludf.DUMMYFUNCTION("""COMPUTED_VALUE"""),15.0)</f>
        <v>15</v>
      </c>
      <c r="K170" s="146">
        <f>IFERROR(__xludf.DUMMYFUNCTION("""COMPUTED_VALUE"""),15.0)</f>
        <v>15</v>
      </c>
      <c r="L170" s="146">
        <f>IFERROR(__xludf.DUMMYFUNCTION("""COMPUTED_VALUE"""),294.0)</f>
        <v>294</v>
      </c>
      <c r="M170" s="146">
        <f>IFERROR(__xludf.DUMMYFUNCTION("""COMPUTED_VALUE"""),330.0)</f>
        <v>330</v>
      </c>
      <c r="N170" s="146">
        <f>IFERROR(__xludf.DUMMYFUNCTION("""COMPUTED_VALUE"""),19.0)</f>
        <v>19</v>
      </c>
      <c r="O170" s="146">
        <f>IFERROR(__xludf.DUMMYFUNCTION("""COMPUTED_VALUE"""),19.0)</f>
        <v>19</v>
      </c>
      <c r="P170" s="146">
        <f>IFERROR(__xludf.DUMMYFUNCTION("""COMPUTED_VALUE"""),121.0)</f>
        <v>121</v>
      </c>
      <c r="Q170" s="146"/>
      <c r="R170" s="146"/>
      <c r="T170" s="131" t="str">
        <f>IFERROR(__xludf.DUMMYFUNCTION("""COMPUTED_VALUE"""),"Y")</f>
        <v>Y</v>
      </c>
      <c r="U170" s="131" t="str">
        <f>IFERROR(__xludf.DUMMYFUNCTION("""COMPUTED_VALUE"""),"4")</f>
        <v>4</v>
      </c>
      <c r="V170" s="131"/>
      <c r="W170" s="144">
        <f>IFERROR(__xludf.DUMMYFUNCTION("""COMPUTED_VALUE"""),45669.0)</f>
        <v>45669</v>
      </c>
      <c r="X170" s="144">
        <f>IFERROR(__xludf.DUMMYFUNCTION("""COMPUTED_VALUE"""),45676.0)</f>
        <v>45676</v>
      </c>
      <c r="Y170" s="144">
        <f>IFERROR(__xludf.DUMMYFUNCTION("""COMPUTED_VALUE"""),45697.0)</f>
        <v>45697</v>
      </c>
      <c r="Z170" s="131" t="str">
        <f>IFERROR(__xludf.DUMMYFUNCTION("""COMPUTED_VALUE"""),"DC40")</f>
        <v>DC40</v>
      </c>
      <c r="AA170" s="131">
        <f>IFERROR(__xludf.DUMMYFUNCTION("""COMPUTED_VALUE"""),395.0)</f>
        <v>395</v>
      </c>
      <c r="AB170" s="131">
        <f>IFERROR(__xludf.DUMMYFUNCTION("""COMPUTED_VALUE"""),397.0)</f>
        <v>397</v>
      </c>
      <c r="AC170" s="131">
        <f>IFERROR(__xludf.DUMMYFUNCTION("""COMPUTED_VALUE"""),2.0)</f>
        <v>2</v>
      </c>
      <c r="AD170" s="131">
        <f>IFERROR(__xludf.DUMMYFUNCTION("""COMPUTED_VALUE"""),2.0)</f>
        <v>2</v>
      </c>
      <c r="AE170" s="131">
        <f>IFERROR(__xludf.DUMMYFUNCTION("""COMPUTED_VALUE"""),340.0)</f>
        <v>340</v>
      </c>
      <c r="AF170" s="131">
        <f>IFERROR(__xludf.DUMMYFUNCTION("""COMPUTED_VALUE"""),344.0)</f>
        <v>344</v>
      </c>
      <c r="AG170" s="131">
        <f>IFERROR(__xludf.DUMMYFUNCTION("""COMPUTED_VALUE"""),3.0)</f>
        <v>3</v>
      </c>
      <c r="AH170" s="131">
        <f>IFERROR(__xludf.DUMMYFUNCTION("""COMPUTED_VALUE"""),3.0)</f>
        <v>3</v>
      </c>
      <c r="AI170" s="131">
        <f>IFERROR(__xludf.DUMMYFUNCTION("""COMPUTED_VALUE"""),121.0)</f>
        <v>121</v>
      </c>
      <c r="AJ170" s="131"/>
      <c r="AK170" s="131"/>
    </row>
    <row r="171">
      <c r="A171" s="145" t="str">
        <f>IFERROR(__xludf.DUMMYFUNCTION("""COMPUTED_VALUE"""),"Y")</f>
        <v>Y</v>
      </c>
      <c r="B171" s="146" t="str">
        <f>IFERROR(__xludf.DUMMYFUNCTION("""COMPUTED_VALUE"""),"4")</f>
        <v>4</v>
      </c>
      <c r="C171" s="146"/>
      <c r="D171" s="147">
        <f>IFERROR(__xludf.DUMMYFUNCTION("""COMPUTED_VALUE"""),45669.0)</f>
        <v>45669</v>
      </c>
      <c r="E171" s="147">
        <f>IFERROR(__xludf.DUMMYFUNCTION("""COMPUTED_VALUE"""),45676.0)</f>
        <v>45676</v>
      </c>
      <c r="F171" s="147">
        <f>IFERROR(__xludf.DUMMYFUNCTION("""COMPUTED_VALUE"""),45697.0)</f>
        <v>45697</v>
      </c>
      <c r="G171" s="146" t="str">
        <f>IFERROR(__xludf.DUMMYFUNCTION("""COMPUTED_VALUE"""),"DC40")</f>
        <v>DC40</v>
      </c>
      <c r="H171" s="148">
        <f>IFERROR(__xludf.DUMMYFUNCTION("""COMPUTED_VALUE"""),395.0)</f>
        <v>395</v>
      </c>
      <c r="I171" s="148">
        <f>IFERROR(__xludf.DUMMYFUNCTION("""COMPUTED_VALUE"""),397.0)</f>
        <v>397</v>
      </c>
      <c r="J171" s="146">
        <f>IFERROR(__xludf.DUMMYFUNCTION("""COMPUTED_VALUE"""),2.0)</f>
        <v>2</v>
      </c>
      <c r="K171" s="146">
        <f>IFERROR(__xludf.DUMMYFUNCTION("""COMPUTED_VALUE"""),2.0)</f>
        <v>2</v>
      </c>
      <c r="L171" s="146">
        <f>IFERROR(__xludf.DUMMYFUNCTION("""COMPUTED_VALUE"""),340.0)</f>
        <v>340</v>
      </c>
      <c r="M171" s="146">
        <f>IFERROR(__xludf.DUMMYFUNCTION("""COMPUTED_VALUE"""),344.0)</f>
        <v>344</v>
      </c>
      <c r="N171" s="146">
        <f>IFERROR(__xludf.DUMMYFUNCTION("""COMPUTED_VALUE"""),3.0)</f>
        <v>3</v>
      </c>
      <c r="O171" s="146">
        <f>IFERROR(__xludf.DUMMYFUNCTION("""COMPUTED_VALUE"""),3.0)</f>
        <v>3</v>
      </c>
      <c r="P171" s="146">
        <f>IFERROR(__xludf.DUMMYFUNCTION("""COMPUTED_VALUE"""),121.0)</f>
        <v>121</v>
      </c>
      <c r="Q171" s="146"/>
      <c r="R171" s="146"/>
      <c r="T171" s="131" t="str">
        <f>IFERROR(__xludf.DUMMYFUNCTION("""COMPUTED_VALUE"""),"Y")</f>
        <v>Y</v>
      </c>
      <c r="U171" s="131" t="str">
        <f>IFERROR(__xludf.DUMMYFUNCTION("""COMPUTED_VALUE"""),"4")</f>
        <v>4</v>
      </c>
      <c r="V171" s="131"/>
      <c r="W171" s="144">
        <f>IFERROR(__xludf.DUMMYFUNCTION("""COMPUTED_VALUE"""),45669.0)</f>
        <v>45669</v>
      </c>
      <c r="X171" s="144">
        <f>IFERROR(__xludf.DUMMYFUNCTION("""COMPUTED_VALUE"""),45676.0)</f>
        <v>45676</v>
      </c>
      <c r="Y171" s="144">
        <f>IFERROR(__xludf.DUMMYFUNCTION("""COMPUTED_VALUE"""),45697.0)</f>
        <v>45697</v>
      </c>
      <c r="Z171" s="131" t="str">
        <f>IFERROR(__xludf.DUMMYFUNCTION("""COMPUTED_VALUE"""),"DC40")</f>
        <v>DC40</v>
      </c>
      <c r="AA171" s="131">
        <f>IFERROR(__xludf.DUMMYFUNCTION("""COMPUTED_VALUE"""),347.0)</f>
        <v>347</v>
      </c>
      <c r="AB171" s="131">
        <f>IFERROR(__xludf.DUMMYFUNCTION("""COMPUTED_VALUE"""),347.0)</f>
        <v>347</v>
      </c>
      <c r="AC171" s="131">
        <f>IFERROR(__xludf.DUMMYFUNCTION("""COMPUTED_VALUE"""),1.0)</f>
        <v>1</v>
      </c>
      <c r="AD171" s="131">
        <f>IFERROR(__xludf.DUMMYFUNCTION("""COMPUTED_VALUE"""),1.0)</f>
        <v>1</v>
      </c>
      <c r="AE171" s="131">
        <f>IFERROR(__xludf.DUMMYFUNCTION("""COMPUTED_VALUE"""),332.0)</f>
        <v>332</v>
      </c>
      <c r="AF171" s="131">
        <f>IFERROR(__xludf.DUMMYFUNCTION("""COMPUTED_VALUE"""),332.0)</f>
        <v>332</v>
      </c>
      <c r="AG171" s="131">
        <f>IFERROR(__xludf.DUMMYFUNCTION("""COMPUTED_VALUE"""),1.0)</f>
        <v>1</v>
      </c>
      <c r="AH171" s="131">
        <f>IFERROR(__xludf.DUMMYFUNCTION("""COMPUTED_VALUE"""),1.0)</f>
        <v>1</v>
      </c>
      <c r="AI171" s="131">
        <f>IFERROR(__xludf.DUMMYFUNCTION("""COMPUTED_VALUE"""),121.0)</f>
        <v>121</v>
      </c>
      <c r="AJ171" s="131"/>
      <c r="AK171" s="131"/>
    </row>
    <row r="172">
      <c r="A172" s="145" t="str">
        <f>IFERROR(__xludf.DUMMYFUNCTION("""COMPUTED_VALUE"""),"Y")</f>
        <v>Y</v>
      </c>
      <c r="B172" s="146" t="str">
        <f>IFERROR(__xludf.DUMMYFUNCTION("""COMPUTED_VALUE"""),"4")</f>
        <v>4</v>
      </c>
      <c r="C172" s="146"/>
      <c r="D172" s="147">
        <f>IFERROR(__xludf.DUMMYFUNCTION("""COMPUTED_VALUE"""),45669.0)</f>
        <v>45669</v>
      </c>
      <c r="E172" s="147">
        <f>IFERROR(__xludf.DUMMYFUNCTION("""COMPUTED_VALUE"""),45676.0)</f>
        <v>45676</v>
      </c>
      <c r="F172" s="147">
        <f>IFERROR(__xludf.DUMMYFUNCTION("""COMPUTED_VALUE"""),45697.0)</f>
        <v>45697</v>
      </c>
      <c r="G172" s="146" t="str">
        <f>IFERROR(__xludf.DUMMYFUNCTION("""COMPUTED_VALUE"""),"DC40")</f>
        <v>DC40</v>
      </c>
      <c r="H172" s="148">
        <f>IFERROR(__xludf.DUMMYFUNCTION("""COMPUTED_VALUE"""),347.0)</f>
        <v>347</v>
      </c>
      <c r="I172" s="148">
        <f>IFERROR(__xludf.DUMMYFUNCTION("""COMPUTED_VALUE"""),347.0)</f>
        <v>347</v>
      </c>
      <c r="J172" s="146">
        <f>IFERROR(__xludf.DUMMYFUNCTION("""COMPUTED_VALUE"""),1.0)</f>
        <v>1</v>
      </c>
      <c r="K172" s="146">
        <f>IFERROR(__xludf.DUMMYFUNCTION("""COMPUTED_VALUE"""),1.0)</f>
        <v>1</v>
      </c>
      <c r="L172" s="146">
        <f>IFERROR(__xludf.DUMMYFUNCTION("""COMPUTED_VALUE"""),332.0)</f>
        <v>332</v>
      </c>
      <c r="M172" s="146">
        <f>IFERROR(__xludf.DUMMYFUNCTION("""COMPUTED_VALUE"""),332.0)</f>
        <v>332</v>
      </c>
      <c r="N172" s="146">
        <f>IFERROR(__xludf.DUMMYFUNCTION("""COMPUTED_VALUE"""),1.0)</f>
        <v>1</v>
      </c>
      <c r="O172" s="146">
        <f>IFERROR(__xludf.DUMMYFUNCTION("""COMPUTED_VALUE"""),1.0)</f>
        <v>1</v>
      </c>
      <c r="P172" s="146">
        <f>IFERROR(__xludf.DUMMYFUNCTION("""COMPUTED_VALUE"""),121.0)</f>
        <v>121</v>
      </c>
      <c r="Q172" s="146"/>
      <c r="R172" s="146"/>
      <c r="T172" s="131" t="str">
        <f>IFERROR(__xludf.DUMMYFUNCTION("""COMPUTED_VALUE"""),"Y")</f>
        <v>Y</v>
      </c>
      <c r="U172" s="131" t="str">
        <f>IFERROR(__xludf.DUMMYFUNCTION("""COMPUTED_VALUE"""),"4")</f>
        <v>4</v>
      </c>
      <c r="V172" s="131"/>
      <c r="W172" s="144">
        <f>IFERROR(__xludf.DUMMYFUNCTION("""COMPUTED_VALUE"""),45669.0)</f>
        <v>45669</v>
      </c>
      <c r="X172" s="144">
        <f>IFERROR(__xludf.DUMMYFUNCTION("""COMPUTED_VALUE"""),45676.0)</f>
        <v>45676</v>
      </c>
      <c r="Y172" s="144">
        <f>IFERROR(__xludf.DUMMYFUNCTION("""COMPUTED_VALUE"""),45697.0)</f>
        <v>45697</v>
      </c>
      <c r="Z172" s="131" t="str">
        <f>IFERROR(__xludf.DUMMYFUNCTION("""COMPUTED_VALUE"""),"DC40")</f>
        <v>DC40</v>
      </c>
      <c r="AA172" s="131"/>
      <c r="AB172" s="131"/>
      <c r="AC172" s="131"/>
      <c r="AD172" s="131"/>
      <c r="AE172" s="131">
        <f>IFERROR(__xludf.DUMMYFUNCTION("""COMPUTED_VALUE"""),338.0)</f>
        <v>338</v>
      </c>
      <c r="AF172" s="131">
        <f>IFERROR(__xludf.DUMMYFUNCTION("""COMPUTED_VALUE"""),338.0)</f>
        <v>338</v>
      </c>
      <c r="AG172" s="131">
        <f>IFERROR(__xludf.DUMMYFUNCTION("""COMPUTED_VALUE"""),1.0)</f>
        <v>1</v>
      </c>
      <c r="AH172" s="131">
        <f>IFERROR(__xludf.DUMMYFUNCTION("""COMPUTED_VALUE"""),1.0)</f>
        <v>1</v>
      </c>
      <c r="AI172" s="131">
        <f>IFERROR(__xludf.DUMMYFUNCTION("""COMPUTED_VALUE"""),121.0)</f>
        <v>121</v>
      </c>
      <c r="AJ172" s="131"/>
      <c r="AK172" s="131"/>
    </row>
    <row r="173">
      <c r="A173" s="145" t="str">
        <f>IFERROR(__xludf.DUMMYFUNCTION("""COMPUTED_VALUE"""),"Y")</f>
        <v>Y</v>
      </c>
      <c r="B173" s="146" t="str">
        <f>IFERROR(__xludf.DUMMYFUNCTION("""COMPUTED_VALUE"""),"4")</f>
        <v>4</v>
      </c>
      <c r="C173" s="146"/>
      <c r="D173" s="147">
        <f>IFERROR(__xludf.DUMMYFUNCTION("""COMPUTED_VALUE"""),45669.0)</f>
        <v>45669</v>
      </c>
      <c r="E173" s="147">
        <f>IFERROR(__xludf.DUMMYFUNCTION("""COMPUTED_VALUE"""),45676.0)</f>
        <v>45676</v>
      </c>
      <c r="F173" s="147">
        <f>IFERROR(__xludf.DUMMYFUNCTION("""COMPUTED_VALUE"""),45697.0)</f>
        <v>45697</v>
      </c>
      <c r="G173" s="146" t="str">
        <f>IFERROR(__xludf.DUMMYFUNCTION("""COMPUTED_VALUE"""),"DC40")</f>
        <v>DC40</v>
      </c>
      <c r="H173" s="148"/>
      <c r="I173" s="148"/>
      <c r="J173" s="146"/>
      <c r="K173" s="146"/>
      <c r="L173" s="146">
        <f>IFERROR(__xludf.DUMMYFUNCTION("""COMPUTED_VALUE"""),338.0)</f>
        <v>338</v>
      </c>
      <c r="M173" s="146">
        <f>IFERROR(__xludf.DUMMYFUNCTION("""COMPUTED_VALUE"""),338.0)</f>
        <v>338</v>
      </c>
      <c r="N173" s="146">
        <f>IFERROR(__xludf.DUMMYFUNCTION("""COMPUTED_VALUE"""),1.0)</f>
        <v>1</v>
      </c>
      <c r="O173" s="146">
        <f>IFERROR(__xludf.DUMMYFUNCTION("""COMPUTED_VALUE"""),1.0)</f>
        <v>1</v>
      </c>
      <c r="P173" s="146">
        <f>IFERROR(__xludf.DUMMYFUNCTION("""COMPUTED_VALUE"""),121.0)</f>
        <v>121</v>
      </c>
      <c r="Q173" s="146"/>
      <c r="R173" s="146"/>
      <c r="T173" s="131" t="str">
        <f>IFERROR(__xludf.DUMMYFUNCTION("""COMPUTED_VALUE"""),"Y")</f>
        <v>Y</v>
      </c>
      <c r="U173" s="131" t="str">
        <f>IFERROR(__xludf.DUMMYFUNCTION("""COMPUTED_VALUE"""),"4")</f>
        <v>4</v>
      </c>
      <c r="V173" s="131"/>
      <c r="W173" s="144">
        <f>IFERROR(__xludf.DUMMYFUNCTION("""COMPUTED_VALUE"""),45669.0)</f>
        <v>45669</v>
      </c>
      <c r="X173" s="144">
        <f>IFERROR(__xludf.DUMMYFUNCTION("""COMPUTED_VALUE"""),45676.0)</f>
        <v>45676</v>
      </c>
      <c r="Y173" s="144">
        <f>IFERROR(__xludf.DUMMYFUNCTION("""COMPUTED_VALUE"""),45697.0)</f>
        <v>45697</v>
      </c>
      <c r="Z173" s="131" t="str">
        <f>IFERROR(__xludf.DUMMYFUNCTION("""COMPUTED_VALUE"""),"DC40")</f>
        <v>DC40</v>
      </c>
      <c r="AA173" s="131"/>
      <c r="AB173" s="131"/>
      <c r="AC173" s="131"/>
      <c r="AD173" s="131"/>
      <c r="AE173" s="131"/>
      <c r="AF173" s="131"/>
      <c r="AG173" s="131"/>
      <c r="AH173" s="131"/>
      <c r="AI173" s="131"/>
      <c r="AJ173" s="131"/>
      <c r="AK173" s="131"/>
    </row>
    <row r="174">
      <c r="A174" s="145" t="str">
        <f>IFERROR(__xludf.DUMMYFUNCTION("""COMPUTED_VALUE"""),"Y")</f>
        <v>Y</v>
      </c>
      <c r="B174" s="146" t="str">
        <f>IFERROR(__xludf.DUMMYFUNCTION("""COMPUTED_VALUE"""),"4")</f>
        <v>4</v>
      </c>
      <c r="C174" s="146"/>
      <c r="D174" s="147">
        <f>IFERROR(__xludf.DUMMYFUNCTION("""COMPUTED_VALUE"""),45669.0)</f>
        <v>45669</v>
      </c>
      <c r="E174" s="147">
        <f>IFERROR(__xludf.DUMMYFUNCTION("""COMPUTED_VALUE"""),45676.0)</f>
        <v>45676</v>
      </c>
      <c r="F174" s="147">
        <f>IFERROR(__xludf.DUMMYFUNCTION("""COMPUTED_VALUE"""),45697.0)</f>
        <v>45697</v>
      </c>
      <c r="G174" s="146" t="str">
        <f>IFERROR(__xludf.DUMMYFUNCTION("""COMPUTED_VALUE"""),"DC40")</f>
        <v>DC40</v>
      </c>
      <c r="H174" s="148"/>
      <c r="I174" s="148"/>
      <c r="J174" s="146"/>
      <c r="K174" s="146"/>
      <c r="L174" s="146"/>
      <c r="M174" s="146"/>
      <c r="N174" s="146"/>
      <c r="O174" s="146"/>
      <c r="P174" s="146"/>
      <c r="Q174" s="146"/>
      <c r="R174" s="146"/>
      <c r="T174" s="131" t="str">
        <f>IFERROR(__xludf.DUMMYFUNCTION("""COMPUTED_VALUE"""),"Y")</f>
        <v>Y</v>
      </c>
      <c r="U174" s="131" t="str">
        <f>IFERROR(__xludf.DUMMYFUNCTION("""COMPUTED_VALUE"""),"4")</f>
        <v>4</v>
      </c>
      <c r="V174" s="131"/>
      <c r="W174" s="144">
        <f>IFERROR(__xludf.DUMMYFUNCTION("""COMPUTED_VALUE"""),45670.0)</f>
        <v>45670</v>
      </c>
      <c r="X174" s="144">
        <f>IFERROR(__xludf.DUMMYFUNCTION("""COMPUTED_VALUE"""),45677.0)</f>
        <v>45677</v>
      </c>
      <c r="Y174" s="144">
        <f>IFERROR(__xludf.DUMMYFUNCTION("""COMPUTED_VALUE"""),45698.0)</f>
        <v>45698</v>
      </c>
      <c r="Z174" s="131" t="str">
        <f>IFERROR(__xludf.DUMMYFUNCTION("""COMPUTED_VALUE"""),"D35-3R")</f>
        <v>D35-3R</v>
      </c>
      <c r="AA174" s="131"/>
      <c r="AB174" s="131"/>
      <c r="AC174" s="131"/>
      <c r="AD174" s="131"/>
      <c r="AE174" s="131">
        <f>IFERROR(__xludf.DUMMYFUNCTION("""COMPUTED_VALUE"""),80.0)</f>
        <v>80</v>
      </c>
      <c r="AF174" s="131">
        <f>IFERROR(__xludf.DUMMYFUNCTION("""COMPUTED_VALUE"""),104.0)</f>
        <v>104</v>
      </c>
      <c r="AG174" s="131">
        <f>IFERROR(__xludf.DUMMYFUNCTION("""COMPUTED_VALUE"""),13.0)</f>
        <v>13</v>
      </c>
      <c r="AH174" s="131">
        <f>IFERROR(__xludf.DUMMYFUNCTION("""COMPUTED_VALUE"""),13.0)</f>
        <v>13</v>
      </c>
      <c r="AI174" s="131"/>
      <c r="AJ174" s="131"/>
      <c r="AK174" s="131"/>
    </row>
    <row r="175">
      <c r="A175" s="145" t="str">
        <f>IFERROR(__xludf.DUMMYFUNCTION("""COMPUTED_VALUE"""),"Y")</f>
        <v>Y</v>
      </c>
      <c r="B175" s="146" t="str">
        <f>IFERROR(__xludf.DUMMYFUNCTION("""COMPUTED_VALUE"""),"4")</f>
        <v>4</v>
      </c>
      <c r="C175" s="146"/>
      <c r="D175" s="147">
        <f>IFERROR(__xludf.DUMMYFUNCTION("""COMPUTED_VALUE"""),45670.0)</f>
        <v>45670</v>
      </c>
      <c r="E175" s="147">
        <f>IFERROR(__xludf.DUMMYFUNCTION("""COMPUTED_VALUE"""),45677.0)</f>
        <v>45677</v>
      </c>
      <c r="F175" s="147">
        <f>IFERROR(__xludf.DUMMYFUNCTION("""COMPUTED_VALUE"""),45698.0)</f>
        <v>45698</v>
      </c>
      <c r="G175" s="146" t="str">
        <f>IFERROR(__xludf.DUMMYFUNCTION("""COMPUTED_VALUE"""),"D35-3R")</f>
        <v>D35-3R</v>
      </c>
      <c r="H175" s="148"/>
      <c r="I175" s="148"/>
      <c r="J175" s="146"/>
      <c r="K175" s="146"/>
      <c r="L175" s="146">
        <f>IFERROR(__xludf.DUMMYFUNCTION("""COMPUTED_VALUE"""),80.0)</f>
        <v>80</v>
      </c>
      <c r="M175" s="146">
        <f>IFERROR(__xludf.DUMMYFUNCTION("""COMPUTED_VALUE"""),104.0)</f>
        <v>104</v>
      </c>
      <c r="N175" s="146">
        <f>IFERROR(__xludf.DUMMYFUNCTION("""COMPUTED_VALUE"""),13.0)</f>
        <v>13</v>
      </c>
      <c r="O175" s="146">
        <f>IFERROR(__xludf.DUMMYFUNCTION("""COMPUTED_VALUE"""),13.0)</f>
        <v>13</v>
      </c>
      <c r="P175" s="146"/>
      <c r="Q175" s="146"/>
      <c r="R175" s="146"/>
      <c r="T175" s="131" t="str">
        <f>IFERROR(__xludf.DUMMYFUNCTION("""COMPUTED_VALUE"""),"Y")</f>
        <v>Y</v>
      </c>
      <c r="U175" s="131" t="str">
        <f>IFERROR(__xludf.DUMMYFUNCTION("""COMPUTED_VALUE"""),"4")</f>
        <v>4</v>
      </c>
      <c r="V175" s="131"/>
      <c r="W175" s="144">
        <f>IFERROR(__xludf.DUMMYFUNCTION("""COMPUTED_VALUE"""),45670.0)</f>
        <v>45670</v>
      </c>
      <c r="X175" s="144">
        <f>IFERROR(__xludf.DUMMYFUNCTION("""COMPUTED_VALUE"""),45677.0)</f>
        <v>45677</v>
      </c>
      <c r="Y175" s="144">
        <f>IFERROR(__xludf.DUMMYFUNCTION("""COMPUTED_VALUE"""),45698.0)</f>
        <v>45698</v>
      </c>
      <c r="Z175" s="131" t="str">
        <f>IFERROR(__xludf.DUMMYFUNCTION("""COMPUTED_VALUE"""),"BRG12")</f>
        <v>BRG12</v>
      </c>
      <c r="AA175" s="131"/>
      <c r="AB175" s="131"/>
      <c r="AC175" s="131"/>
      <c r="AD175" s="131"/>
      <c r="AE175" s="131">
        <f>IFERROR(__xludf.DUMMYFUNCTION("""COMPUTED_VALUE"""),2100.0)</f>
        <v>2100</v>
      </c>
      <c r="AF175" s="131">
        <f>IFERROR(__xludf.DUMMYFUNCTION("""COMPUTED_VALUE"""),2176.0)</f>
        <v>2176</v>
      </c>
      <c r="AG175" s="131">
        <f>IFERROR(__xludf.DUMMYFUNCTION("""COMPUTED_VALUE"""),39.0)</f>
        <v>39</v>
      </c>
      <c r="AH175" s="131">
        <f>IFERROR(__xludf.DUMMYFUNCTION("""COMPUTED_VALUE"""),39.0)</f>
        <v>39</v>
      </c>
      <c r="AI175" s="131">
        <f>IFERROR(__xludf.DUMMYFUNCTION("""COMPUTED_VALUE"""),122.0)</f>
        <v>122</v>
      </c>
      <c r="AJ175" s="131"/>
      <c r="AK175" s="131"/>
    </row>
    <row r="176">
      <c r="A176" s="145" t="str">
        <f>IFERROR(__xludf.DUMMYFUNCTION("""COMPUTED_VALUE"""),"Y")</f>
        <v>Y</v>
      </c>
      <c r="B176" s="146" t="str">
        <f>IFERROR(__xludf.DUMMYFUNCTION("""COMPUTED_VALUE"""),"4")</f>
        <v>4</v>
      </c>
      <c r="C176" s="146"/>
      <c r="D176" s="147">
        <f>IFERROR(__xludf.DUMMYFUNCTION("""COMPUTED_VALUE"""),45670.0)</f>
        <v>45670</v>
      </c>
      <c r="E176" s="147">
        <f>IFERROR(__xludf.DUMMYFUNCTION("""COMPUTED_VALUE"""),45677.0)</f>
        <v>45677</v>
      </c>
      <c r="F176" s="147">
        <f>IFERROR(__xludf.DUMMYFUNCTION("""COMPUTED_VALUE"""),45698.0)</f>
        <v>45698</v>
      </c>
      <c r="G176" s="146" t="str">
        <f>IFERROR(__xludf.DUMMYFUNCTION("""COMPUTED_VALUE"""),"BRG12")</f>
        <v>BRG12</v>
      </c>
      <c r="H176" s="148"/>
      <c r="I176" s="148"/>
      <c r="J176" s="146"/>
      <c r="K176" s="146"/>
      <c r="L176" s="146">
        <f>IFERROR(__xludf.DUMMYFUNCTION("""COMPUTED_VALUE"""),2100.0)</f>
        <v>2100</v>
      </c>
      <c r="M176" s="146">
        <f>IFERROR(__xludf.DUMMYFUNCTION("""COMPUTED_VALUE"""),2176.0)</f>
        <v>2176</v>
      </c>
      <c r="N176" s="146">
        <f>IFERROR(__xludf.DUMMYFUNCTION("""COMPUTED_VALUE"""),39.0)</f>
        <v>39</v>
      </c>
      <c r="O176" s="146">
        <f>IFERROR(__xludf.DUMMYFUNCTION("""COMPUTED_VALUE"""),39.0)</f>
        <v>39</v>
      </c>
      <c r="P176" s="146">
        <f>IFERROR(__xludf.DUMMYFUNCTION("""COMPUTED_VALUE"""),122.0)</f>
        <v>122</v>
      </c>
      <c r="Q176" s="146"/>
      <c r="R176" s="146"/>
      <c r="T176" s="131" t="str">
        <f>IFERROR(__xludf.DUMMYFUNCTION("""COMPUTED_VALUE"""),"Y")</f>
        <v>Y</v>
      </c>
      <c r="U176" s="131" t="str">
        <f>IFERROR(__xludf.DUMMYFUNCTION("""COMPUTED_VALUE"""),"4")</f>
        <v>4</v>
      </c>
      <c r="V176" s="131"/>
      <c r="W176" s="144">
        <f>IFERROR(__xludf.DUMMYFUNCTION("""COMPUTED_VALUE"""),45670.0)</f>
        <v>45670</v>
      </c>
      <c r="X176" s="144">
        <f>IFERROR(__xludf.DUMMYFUNCTION("""COMPUTED_VALUE"""),45677.0)</f>
        <v>45677</v>
      </c>
      <c r="Y176" s="144">
        <f>IFERROR(__xludf.DUMMYFUNCTION("""COMPUTED_VALUE"""),45698.0)</f>
        <v>45698</v>
      </c>
      <c r="Z176" s="131" t="str">
        <f>IFERROR(__xludf.DUMMYFUNCTION("""COMPUTED_VALUE"""),"DC40")</f>
        <v>DC40</v>
      </c>
      <c r="AA176" s="131">
        <f>IFERROR(__xludf.DUMMYFUNCTION("""COMPUTED_VALUE"""),399.0)</f>
        <v>399</v>
      </c>
      <c r="AB176" s="131">
        <f>IFERROR(__xludf.DUMMYFUNCTION("""COMPUTED_VALUE"""),449.0)</f>
        <v>449</v>
      </c>
      <c r="AC176" s="131">
        <f>IFERROR(__xludf.DUMMYFUNCTION("""COMPUTED_VALUE"""),26.0)</f>
        <v>26</v>
      </c>
      <c r="AD176" s="131">
        <f>IFERROR(__xludf.DUMMYFUNCTION("""COMPUTED_VALUE"""),26.0)</f>
        <v>26</v>
      </c>
      <c r="AE176" s="131">
        <f>IFERROR(__xludf.DUMMYFUNCTION("""COMPUTED_VALUE"""),346.0)</f>
        <v>346</v>
      </c>
      <c r="AF176" s="131">
        <f>IFERROR(__xludf.DUMMYFUNCTION("""COMPUTED_VALUE"""),396.0)</f>
        <v>396</v>
      </c>
      <c r="AG176" s="131">
        <f>IFERROR(__xludf.DUMMYFUNCTION("""COMPUTED_VALUE"""),26.0)</f>
        <v>26</v>
      </c>
      <c r="AH176" s="131">
        <f>IFERROR(__xludf.DUMMYFUNCTION("""COMPUTED_VALUE"""),26.0)</f>
        <v>26</v>
      </c>
      <c r="AI176" s="131">
        <f>IFERROR(__xludf.DUMMYFUNCTION("""COMPUTED_VALUE"""),123.0)</f>
        <v>123</v>
      </c>
      <c r="AJ176" s="131"/>
      <c r="AK176" s="131"/>
    </row>
    <row r="177">
      <c r="A177" s="145" t="str">
        <f>IFERROR(__xludf.DUMMYFUNCTION("""COMPUTED_VALUE"""),"Y")</f>
        <v>Y</v>
      </c>
      <c r="B177" s="146" t="str">
        <f>IFERROR(__xludf.DUMMYFUNCTION("""COMPUTED_VALUE"""),"4")</f>
        <v>4</v>
      </c>
      <c r="C177" s="146"/>
      <c r="D177" s="147">
        <f>IFERROR(__xludf.DUMMYFUNCTION("""COMPUTED_VALUE"""),45670.0)</f>
        <v>45670</v>
      </c>
      <c r="E177" s="147">
        <f>IFERROR(__xludf.DUMMYFUNCTION("""COMPUTED_VALUE"""),45677.0)</f>
        <v>45677</v>
      </c>
      <c r="F177" s="147">
        <f>IFERROR(__xludf.DUMMYFUNCTION("""COMPUTED_VALUE"""),45698.0)</f>
        <v>45698</v>
      </c>
      <c r="G177" s="146" t="str">
        <f>IFERROR(__xludf.DUMMYFUNCTION("""COMPUTED_VALUE"""),"DC40")</f>
        <v>DC40</v>
      </c>
      <c r="H177" s="148">
        <f>IFERROR(__xludf.DUMMYFUNCTION("""COMPUTED_VALUE"""),399.0)</f>
        <v>399</v>
      </c>
      <c r="I177" s="148">
        <f>IFERROR(__xludf.DUMMYFUNCTION("""COMPUTED_VALUE"""),449.0)</f>
        <v>449</v>
      </c>
      <c r="J177" s="146">
        <f>IFERROR(__xludf.DUMMYFUNCTION("""COMPUTED_VALUE"""),26.0)</f>
        <v>26</v>
      </c>
      <c r="K177" s="146">
        <f>IFERROR(__xludf.DUMMYFUNCTION("""COMPUTED_VALUE"""),26.0)</f>
        <v>26</v>
      </c>
      <c r="L177" s="146">
        <f>IFERROR(__xludf.DUMMYFUNCTION("""COMPUTED_VALUE"""),346.0)</f>
        <v>346</v>
      </c>
      <c r="M177" s="146">
        <f>IFERROR(__xludf.DUMMYFUNCTION("""COMPUTED_VALUE"""),396.0)</f>
        <v>396</v>
      </c>
      <c r="N177" s="146">
        <f>IFERROR(__xludf.DUMMYFUNCTION("""COMPUTED_VALUE"""),26.0)</f>
        <v>26</v>
      </c>
      <c r="O177" s="146">
        <f>IFERROR(__xludf.DUMMYFUNCTION("""COMPUTED_VALUE"""),26.0)</f>
        <v>26</v>
      </c>
      <c r="P177" s="146">
        <f>IFERROR(__xludf.DUMMYFUNCTION("""COMPUTED_VALUE"""),123.0)</f>
        <v>123</v>
      </c>
      <c r="Q177" s="146"/>
      <c r="R177" s="146"/>
      <c r="T177" s="131" t="str">
        <f>IFERROR(__xludf.DUMMYFUNCTION("""COMPUTED_VALUE"""),"Y")</f>
        <v>Y</v>
      </c>
      <c r="U177" s="131" t="str">
        <f>IFERROR(__xludf.DUMMYFUNCTION("""COMPUTED_VALUE"""),"4")</f>
        <v>4</v>
      </c>
      <c r="V177" s="131"/>
      <c r="W177" s="144">
        <f>IFERROR(__xludf.DUMMYFUNCTION("""COMPUTED_VALUE"""),45670.0)</f>
        <v>45670</v>
      </c>
      <c r="X177" s="144">
        <f>IFERROR(__xludf.DUMMYFUNCTION("""COMPUTED_VALUE"""),45677.0)</f>
        <v>45677</v>
      </c>
      <c r="Y177" s="144">
        <f>IFERROR(__xludf.DUMMYFUNCTION("""COMPUTED_VALUE"""),45698.0)</f>
        <v>45698</v>
      </c>
      <c r="Z177" s="131" t="str">
        <f>IFERROR(__xludf.DUMMYFUNCTION("""COMPUTED_VALUE"""),"DC40")</f>
        <v>DC40</v>
      </c>
      <c r="AA177" s="131">
        <f>IFERROR(__xludf.DUMMYFUNCTION("""COMPUTED_VALUE"""),361.0)</f>
        <v>361</v>
      </c>
      <c r="AB177" s="131">
        <f>IFERROR(__xludf.DUMMYFUNCTION("""COMPUTED_VALUE"""),361.0)</f>
        <v>361</v>
      </c>
      <c r="AC177" s="131">
        <f>IFERROR(__xludf.DUMMYFUNCTION("""COMPUTED_VALUE"""),1.0)</f>
        <v>1</v>
      </c>
      <c r="AD177" s="131">
        <f>IFERROR(__xludf.DUMMYFUNCTION("""COMPUTED_VALUE"""),1.0)</f>
        <v>1</v>
      </c>
      <c r="AE177" s="131"/>
      <c r="AF177" s="131"/>
      <c r="AG177" s="131"/>
      <c r="AH177" s="131"/>
      <c r="AI177" s="131">
        <f>IFERROR(__xludf.DUMMYFUNCTION("""COMPUTED_VALUE"""),123.0)</f>
        <v>123</v>
      </c>
      <c r="AJ177" s="131"/>
      <c r="AK177" s="131"/>
    </row>
    <row r="178">
      <c r="A178" s="145" t="str">
        <f>IFERROR(__xludf.DUMMYFUNCTION("""COMPUTED_VALUE"""),"Y")</f>
        <v>Y</v>
      </c>
      <c r="B178" s="146" t="str">
        <f>IFERROR(__xludf.DUMMYFUNCTION("""COMPUTED_VALUE"""),"4")</f>
        <v>4</v>
      </c>
      <c r="C178" s="146"/>
      <c r="D178" s="147">
        <f>IFERROR(__xludf.DUMMYFUNCTION("""COMPUTED_VALUE"""),45670.0)</f>
        <v>45670</v>
      </c>
      <c r="E178" s="147">
        <f>IFERROR(__xludf.DUMMYFUNCTION("""COMPUTED_VALUE"""),45677.0)</f>
        <v>45677</v>
      </c>
      <c r="F178" s="147">
        <f>IFERROR(__xludf.DUMMYFUNCTION("""COMPUTED_VALUE"""),45698.0)</f>
        <v>45698</v>
      </c>
      <c r="G178" s="146" t="str">
        <f>IFERROR(__xludf.DUMMYFUNCTION("""COMPUTED_VALUE"""),"DC40")</f>
        <v>DC40</v>
      </c>
      <c r="H178" s="148">
        <f>IFERROR(__xludf.DUMMYFUNCTION("""COMPUTED_VALUE"""),361.0)</f>
        <v>361</v>
      </c>
      <c r="I178" s="148">
        <f>IFERROR(__xludf.DUMMYFUNCTION("""COMPUTED_VALUE"""),361.0)</f>
        <v>361</v>
      </c>
      <c r="J178" s="146">
        <f>IFERROR(__xludf.DUMMYFUNCTION("""COMPUTED_VALUE"""),1.0)</f>
        <v>1</v>
      </c>
      <c r="K178" s="146">
        <f>IFERROR(__xludf.DUMMYFUNCTION("""COMPUTED_VALUE"""),1.0)</f>
        <v>1</v>
      </c>
      <c r="L178" s="146"/>
      <c r="M178" s="146"/>
      <c r="N178" s="146"/>
      <c r="O178" s="146"/>
      <c r="P178" s="146">
        <f>IFERROR(__xludf.DUMMYFUNCTION("""COMPUTED_VALUE"""),123.0)</f>
        <v>123</v>
      </c>
      <c r="Q178" s="146"/>
      <c r="R178" s="146"/>
      <c r="T178" s="131" t="str">
        <f>IFERROR(__xludf.DUMMYFUNCTION("""COMPUTED_VALUE"""),"Y")</f>
        <v>Y</v>
      </c>
      <c r="U178" s="131" t="str">
        <f>IFERROR(__xludf.DUMMYFUNCTION("""COMPUTED_VALUE"""),"4")</f>
        <v>4</v>
      </c>
      <c r="V178" s="131"/>
      <c r="W178" s="144">
        <f>IFERROR(__xludf.DUMMYFUNCTION("""COMPUTED_VALUE"""),45671.0)</f>
        <v>45671</v>
      </c>
      <c r="X178" s="144">
        <f>IFERROR(__xludf.DUMMYFUNCTION("""COMPUTED_VALUE"""),45678.0)</f>
        <v>45678</v>
      </c>
      <c r="Y178" s="144">
        <f>IFERROR(__xludf.DUMMYFUNCTION("""COMPUTED_VALUE"""),45699.0)</f>
        <v>45699</v>
      </c>
      <c r="Z178" s="131" t="str">
        <f>IFERROR(__xludf.DUMMYFUNCTION("""COMPUTED_VALUE"""),"BRG12")</f>
        <v>BRG12</v>
      </c>
      <c r="AA178" s="131">
        <f>IFERROR(__xludf.DUMMYFUNCTION("""COMPUTED_VALUE"""),2201.0)</f>
        <v>2201</v>
      </c>
      <c r="AB178" s="131">
        <f>IFERROR(__xludf.DUMMYFUNCTION("""COMPUTED_VALUE"""),2269.0)</f>
        <v>2269</v>
      </c>
      <c r="AC178" s="131">
        <f>IFERROR(__xludf.DUMMYFUNCTION("""COMPUTED_VALUE"""),35.0)</f>
        <v>35</v>
      </c>
      <c r="AD178" s="131">
        <f>IFERROR(__xludf.DUMMYFUNCTION("""COMPUTED_VALUE"""),35.0)</f>
        <v>35</v>
      </c>
      <c r="AE178" s="131"/>
      <c r="AF178" s="131"/>
      <c r="AG178" s="131"/>
      <c r="AH178" s="131"/>
      <c r="AI178" s="131">
        <f>IFERROR(__xludf.DUMMYFUNCTION("""COMPUTED_VALUE"""),125.0)</f>
        <v>125</v>
      </c>
      <c r="AJ178" s="131"/>
      <c r="AK178" s="131"/>
    </row>
    <row r="179">
      <c r="A179" s="145" t="str">
        <f>IFERROR(__xludf.DUMMYFUNCTION("""COMPUTED_VALUE"""),"Y")</f>
        <v>Y</v>
      </c>
      <c r="B179" s="146" t="str">
        <f>IFERROR(__xludf.DUMMYFUNCTION("""COMPUTED_VALUE"""),"4")</f>
        <v>4</v>
      </c>
      <c r="C179" s="146"/>
      <c r="D179" s="147">
        <f>IFERROR(__xludf.DUMMYFUNCTION("""COMPUTED_VALUE"""),45671.0)</f>
        <v>45671</v>
      </c>
      <c r="E179" s="147">
        <f>IFERROR(__xludf.DUMMYFUNCTION("""COMPUTED_VALUE"""),45678.0)</f>
        <v>45678</v>
      </c>
      <c r="F179" s="147">
        <f>IFERROR(__xludf.DUMMYFUNCTION("""COMPUTED_VALUE"""),45699.0)</f>
        <v>45699</v>
      </c>
      <c r="G179" s="146" t="str">
        <f>IFERROR(__xludf.DUMMYFUNCTION("""COMPUTED_VALUE"""),"BRG12")</f>
        <v>BRG12</v>
      </c>
      <c r="H179" s="148">
        <f>IFERROR(__xludf.DUMMYFUNCTION("""COMPUTED_VALUE"""),2201.0)</f>
        <v>2201</v>
      </c>
      <c r="I179" s="148">
        <f>IFERROR(__xludf.DUMMYFUNCTION("""COMPUTED_VALUE"""),2269.0)</f>
        <v>2269</v>
      </c>
      <c r="J179" s="146">
        <f>IFERROR(__xludf.DUMMYFUNCTION("""COMPUTED_VALUE"""),35.0)</f>
        <v>35</v>
      </c>
      <c r="K179" s="146">
        <f>IFERROR(__xludf.DUMMYFUNCTION("""COMPUTED_VALUE"""),35.0)</f>
        <v>35</v>
      </c>
      <c r="L179" s="146"/>
      <c r="M179" s="146"/>
      <c r="N179" s="146"/>
      <c r="O179" s="146"/>
      <c r="P179" s="146">
        <f>IFERROR(__xludf.DUMMYFUNCTION("""COMPUTED_VALUE"""),125.0)</f>
        <v>125</v>
      </c>
      <c r="Q179" s="146"/>
      <c r="R179" s="146"/>
      <c r="T179" s="131" t="str">
        <f>IFERROR(__xludf.DUMMYFUNCTION("""COMPUTED_VALUE"""),"Y")</f>
        <v>Y</v>
      </c>
      <c r="U179" s="131" t="str">
        <f>IFERROR(__xludf.DUMMYFUNCTION("""COMPUTED_VALUE"""),"4")</f>
        <v>4</v>
      </c>
      <c r="V179" s="131"/>
      <c r="W179" s="144">
        <f>IFERROR(__xludf.DUMMYFUNCTION("""COMPUTED_VALUE"""),45671.0)</f>
        <v>45671</v>
      </c>
      <c r="X179" s="144">
        <f>IFERROR(__xludf.DUMMYFUNCTION("""COMPUTED_VALUE"""),45678.0)</f>
        <v>45678</v>
      </c>
      <c r="Y179" s="144">
        <f>IFERROR(__xludf.DUMMYFUNCTION("""COMPUTED_VALUE"""),45699.0)</f>
        <v>45699</v>
      </c>
      <c r="Z179" s="131" t="str">
        <f>IFERROR(__xludf.DUMMYFUNCTION("""COMPUTED_VALUE"""),"DC40")</f>
        <v>DC40</v>
      </c>
      <c r="AA179" s="131">
        <f>IFERROR(__xludf.DUMMYFUNCTION("""COMPUTED_VALUE"""),507.0)</f>
        <v>507</v>
      </c>
      <c r="AB179" s="131">
        <f>IFERROR(__xludf.DUMMYFUNCTION("""COMPUTED_VALUE"""),529.0)</f>
        <v>529</v>
      </c>
      <c r="AC179" s="131">
        <f>IFERROR(__xludf.DUMMYFUNCTION("""COMPUTED_VALUE"""),12.0)</f>
        <v>12</v>
      </c>
      <c r="AD179" s="131">
        <f>IFERROR(__xludf.DUMMYFUNCTION("""COMPUTED_VALUE"""),12.0)</f>
        <v>12</v>
      </c>
      <c r="AE179" s="131">
        <f>IFERROR(__xludf.DUMMYFUNCTION("""COMPUTED_VALUE"""),532.0)</f>
        <v>532</v>
      </c>
      <c r="AF179" s="131">
        <f>IFERROR(__xludf.DUMMYFUNCTION("""COMPUTED_VALUE"""),532.0)</f>
        <v>532</v>
      </c>
      <c r="AG179" s="131">
        <f>IFERROR(__xludf.DUMMYFUNCTION("""COMPUTED_VALUE"""),1.0)</f>
        <v>1</v>
      </c>
      <c r="AH179" s="131">
        <f>IFERROR(__xludf.DUMMYFUNCTION("""COMPUTED_VALUE"""),1.0)</f>
        <v>1</v>
      </c>
      <c r="AI179" s="131">
        <f>IFERROR(__xludf.DUMMYFUNCTION("""COMPUTED_VALUE"""),127.0)</f>
        <v>127</v>
      </c>
      <c r="AJ179" s="131"/>
      <c r="AK179" s="131"/>
    </row>
    <row r="180">
      <c r="A180" s="145" t="str">
        <f>IFERROR(__xludf.DUMMYFUNCTION("""COMPUTED_VALUE"""),"Y")</f>
        <v>Y</v>
      </c>
      <c r="B180" s="146" t="str">
        <f>IFERROR(__xludf.DUMMYFUNCTION("""COMPUTED_VALUE"""),"4")</f>
        <v>4</v>
      </c>
      <c r="C180" s="146"/>
      <c r="D180" s="147">
        <f>IFERROR(__xludf.DUMMYFUNCTION("""COMPUTED_VALUE"""),45671.0)</f>
        <v>45671</v>
      </c>
      <c r="E180" s="147">
        <f>IFERROR(__xludf.DUMMYFUNCTION("""COMPUTED_VALUE"""),45678.0)</f>
        <v>45678</v>
      </c>
      <c r="F180" s="147">
        <f>IFERROR(__xludf.DUMMYFUNCTION("""COMPUTED_VALUE"""),45699.0)</f>
        <v>45699</v>
      </c>
      <c r="G180" s="146" t="str">
        <f>IFERROR(__xludf.DUMMYFUNCTION("""COMPUTED_VALUE"""),"DC40")</f>
        <v>DC40</v>
      </c>
      <c r="H180" s="148">
        <f>IFERROR(__xludf.DUMMYFUNCTION("""COMPUTED_VALUE"""),507.0)</f>
        <v>507</v>
      </c>
      <c r="I180" s="148">
        <f>IFERROR(__xludf.DUMMYFUNCTION("""COMPUTED_VALUE"""),529.0)</f>
        <v>529</v>
      </c>
      <c r="J180" s="146">
        <f>IFERROR(__xludf.DUMMYFUNCTION("""COMPUTED_VALUE"""),12.0)</f>
        <v>12</v>
      </c>
      <c r="K180" s="146">
        <f>IFERROR(__xludf.DUMMYFUNCTION("""COMPUTED_VALUE"""),12.0)</f>
        <v>12</v>
      </c>
      <c r="L180" s="146">
        <f>IFERROR(__xludf.DUMMYFUNCTION("""COMPUTED_VALUE"""),532.0)</f>
        <v>532</v>
      </c>
      <c r="M180" s="146">
        <f>IFERROR(__xludf.DUMMYFUNCTION("""COMPUTED_VALUE"""),532.0)</f>
        <v>532</v>
      </c>
      <c r="N180" s="146">
        <f>IFERROR(__xludf.DUMMYFUNCTION("""COMPUTED_VALUE"""),1.0)</f>
        <v>1</v>
      </c>
      <c r="O180" s="146">
        <f>IFERROR(__xludf.DUMMYFUNCTION("""COMPUTED_VALUE"""),1.0)</f>
        <v>1</v>
      </c>
      <c r="P180" s="146">
        <f>IFERROR(__xludf.DUMMYFUNCTION("""COMPUTED_VALUE"""),127.0)</f>
        <v>127</v>
      </c>
      <c r="Q180" s="146"/>
      <c r="R180" s="146"/>
      <c r="T180" s="131" t="str">
        <f>IFERROR(__xludf.DUMMYFUNCTION("""COMPUTED_VALUE"""),"Y")</f>
        <v>Y</v>
      </c>
      <c r="U180" s="131" t="str">
        <f>IFERROR(__xludf.DUMMYFUNCTION("""COMPUTED_VALUE"""),"4")</f>
        <v>4</v>
      </c>
      <c r="V180" s="131"/>
      <c r="W180" s="144">
        <f>IFERROR(__xludf.DUMMYFUNCTION("""COMPUTED_VALUE"""),45671.0)</f>
        <v>45671</v>
      </c>
      <c r="X180" s="144">
        <f>IFERROR(__xludf.DUMMYFUNCTION("""COMPUTED_VALUE"""),45678.0)</f>
        <v>45678</v>
      </c>
      <c r="Y180" s="144">
        <f>IFERROR(__xludf.DUMMYFUNCTION("""COMPUTED_VALUE"""),45699.0)</f>
        <v>45699</v>
      </c>
      <c r="Z180" s="131" t="str">
        <f>IFERROR(__xludf.DUMMYFUNCTION("""COMPUTED_VALUE"""),"DC40")</f>
        <v>DC40</v>
      </c>
      <c r="AA180" s="131">
        <f>IFERROR(__xludf.DUMMYFUNCTION("""COMPUTED_VALUE"""),501.0)</f>
        <v>501</v>
      </c>
      <c r="AB180" s="131">
        <f>IFERROR(__xludf.DUMMYFUNCTION("""COMPUTED_VALUE"""),501.0)</f>
        <v>501</v>
      </c>
      <c r="AC180" s="131">
        <f>IFERROR(__xludf.DUMMYFUNCTION("""COMPUTED_VALUE"""),1.0)</f>
        <v>1</v>
      </c>
      <c r="AD180" s="131">
        <f>IFERROR(__xludf.DUMMYFUNCTION("""COMPUTED_VALUE"""),1.0)</f>
        <v>1</v>
      </c>
      <c r="AE180" s="131">
        <f>IFERROR(__xludf.DUMMYFUNCTION("""COMPUTED_VALUE"""),398.0)</f>
        <v>398</v>
      </c>
      <c r="AF180" s="131">
        <f>IFERROR(__xludf.DUMMYFUNCTION("""COMPUTED_VALUE"""),498.0)</f>
        <v>498</v>
      </c>
      <c r="AG180" s="131">
        <f>IFERROR(__xludf.DUMMYFUNCTION("""COMPUTED_VALUE"""),51.0)</f>
        <v>51</v>
      </c>
      <c r="AH180" s="131">
        <f>IFERROR(__xludf.DUMMYFUNCTION("""COMPUTED_VALUE"""),51.0)</f>
        <v>51</v>
      </c>
      <c r="AI180" s="131">
        <f>IFERROR(__xludf.DUMMYFUNCTION("""COMPUTED_VALUE"""),127.0)</f>
        <v>127</v>
      </c>
      <c r="AJ180" s="131"/>
      <c r="AK180" s="131"/>
    </row>
    <row r="181">
      <c r="A181" s="145" t="str">
        <f>IFERROR(__xludf.DUMMYFUNCTION("""COMPUTED_VALUE"""),"Y")</f>
        <v>Y</v>
      </c>
      <c r="B181" s="146" t="str">
        <f>IFERROR(__xludf.DUMMYFUNCTION("""COMPUTED_VALUE"""),"4")</f>
        <v>4</v>
      </c>
      <c r="C181" s="146"/>
      <c r="D181" s="147">
        <f>IFERROR(__xludf.DUMMYFUNCTION("""COMPUTED_VALUE"""),45671.0)</f>
        <v>45671</v>
      </c>
      <c r="E181" s="147">
        <f>IFERROR(__xludf.DUMMYFUNCTION("""COMPUTED_VALUE"""),45678.0)</f>
        <v>45678</v>
      </c>
      <c r="F181" s="147">
        <f>IFERROR(__xludf.DUMMYFUNCTION("""COMPUTED_VALUE"""),45699.0)</f>
        <v>45699</v>
      </c>
      <c r="G181" s="146" t="str">
        <f>IFERROR(__xludf.DUMMYFUNCTION("""COMPUTED_VALUE"""),"DC40")</f>
        <v>DC40</v>
      </c>
      <c r="H181" s="148">
        <f>IFERROR(__xludf.DUMMYFUNCTION("""COMPUTED_VALUE"""),501.0)</f>
        <v>501</v>
      </c>
      <c r="I181" s="148">
        <f>IFERROR(__xludf.DUMMYFUNCTION("""COMPUTED_VALUE"""),501.0)</f>
        <v>501</v>
      </c>
      <c r="J181" s="146">
        <f>IFERROR(__xludf.DUMMYFUNCTION("""COMPUTED_VALUE"""),1.0)</f>
        <v>1</v>
      </c>
      <c r="K181" s="146">
        <f>IFERROR(__xludf.DUMMYFUNCTION("""COMPUTED_VALUE"""),1.0)</f>
        <v>1</v>
      </c>
      <c r="L181" s="146">
        <f>IFERROR(__xludf.DUMMYFUNCTION("""COMPUTED_VALUE"""),398.0)</f>
        <v>398</v>
      </c>
      <c r="M181" s="146">
        <f>IFERROR(__xludf.DUMMYFUNCTION("""COMPUTED_VALUE"""),498.0)</f>
        <v>498</v>
      </c>
      <c r="N181" s="146">
        <f>IFERROR(__xludf.DUMMYFUNCTION("""COMPUTED_VALUE"""),51.0)</f>
        <v>51</v>
      </c>
      <c r="O181" s="146">
        <f>IFERROR(__xludf.DUMMYFUNCTION("""COMPUTED_VALUE"""),51.0)</f>
        <v>51</v>
      </c>
      <c r="P181" s="146">
        <f>IFERROR(__xludf.DUMMYFUNCTION("""COMPUTED_VALUE"""),127.0)</f>
        <v>127</v>
      </c>
      <c r="Q181" s="146"/>
      <c r="R181" s="146"/>
      <c r="T181" s="131" t="str">
        <f>IFERROR(__xludf.DUMMYFUNCTION("""COMPUTED_VALUE"""),"Y")</f>
        <v>Y</v>
      </c>
      <c r="U181" s="131" t="str">
        <f>IFERROR(__xludf.DUMMYFUNCTION("""COMPUTED_VALUE"""),"4")</f>
        <v>4</v>
      </c>
      <c r="V181" s="131"/>
      <c r="W181" s="144">
        <f>IFERROR(__xludf.DUMMYFUNCTION("""COMPUTED_VALUE"""),45671.0)</f>
        <v>45671</v>
      </c>
      <c r="X181" s="144">
        <f>IFERROR(__xludf.DUMMYFUNCTION("""COMPUTED_VALUE"""),45678.0)</f>
        <v>45678</v>
      </c>
      <c r="Y181" s="144">
        <f>IFERROR(__xludf.DUMMYFUNCTION("""COMPUTED_VALUE"""),45699.0)</f>
        <v>45699</v>
      </c>
      <c r="Z181" s="131" t="str">
        <f>IFERROR(__xludf.DUMMYFUNCTION("""COMPUTED_VALUE"""),"DC40")</f>
        <v>DC40</v>
      </c>
      <c r="AA181" s="131">
        <f>IFERROR(__xludf.DUMMYFUNCTION("""COMPUTED_VALUE"""),535.0)</f>
        <v>535</v>
      </c>
      <c r="AB181" s="131">
        <f>IFERROR(__xludf.DUMMYFUNCTION("""COMPUTED_VALUE"""),565.0)</f>
        <v>565</v>
      </c>
      <c r="AC181" s="131">
        <f>IFERROR(__xludf.DUMMYFUNCTION("""COMPUTED_VALUE"""),16.0)</f>
        <v>16</v>
      </c>
      <c r="AD181" s="131">
        <f>IFERROR(__xludf.DUMMYFUNCTION("""COMPUTED_VALUE"""),16.0)</f>
        <v>16</v>
      </c>
      <c r="AE181" s="131">
        <f>IFERROR(__xludf.DUMMYFUNCTION("""COMPUTED_VALUE"""),500.0)</f>
        <v>500</v>
      </c>
      <c r="AF181" s="131">
        <f>IFERROR(__xludf.DUMMYFUNCTION("""COMPUTED_VALUE"""),500.0)</f>
        <v>500</v>
      </c>
      <c r="AG181" s="131">
        <f>IFERROR(__xludf.DUMMYFUNCTION("""COMPUTED_VALUE"""),1.0)</f>
        <v>1</v>
      </c>
      <c r="AH181" s="131">
        <f>IFERROR(__xludf.DUMMYFUNCTION("""COMPUTED_VALUE"""),1.0)</f>
        <v>1</v>
      </c>
      <c r="AI181" s="131">
        <f>IFERROR(__xludf.DUMMYFUNCTION("""COMPUTED_VALUE"""),127.0)</f>
        <v>127</v>
      </c>
      <c r="AJ181" s="131"/>
      <c r="AK181" s="131"/>
    </row>
    <row r="182">
      <c r="A182" s="145" t="str">
        <f>IFERROR(__xludf.DUMMYFUNCTION("""COMPUTED_VALUE"""),"Y")</f>
        <v>Y</v>
      </c>
      <c r="B182" s="146" t="str">
        <f>IFERROR(__xludf.DUMMYFUNCTION("""COMPUTED_VALUE"""),"4")</f>
        <v>4</v>
      </c>
      <c r="C182" s="146"/>
      <c r="D182" s="147">
        <f>IFERROR(__xludf.DUMMYFUNCTION("""COMPUTED_VALUE"""),45671.0)</f>
        <v>45671</v>
      </c>
      <c r="E182" s="147">
        <f>IFERROR(__xludf.DUMMYFUNCTION("""COMPUTED_VALUE"""),45678.0)</f>
        <v>45678</v>
      </c>
      <c r="F182" s="147">
        <f>IFERROR(__xludf.DUMMYFUNCTION("""COMPUTED_VALUE"""),45699.0)</f>
        <v>45699</v>
      </c>
      <c r="G182" s="146" t="str">
        <f>IFERROR(__xludf.DUMMYFUNCTION("""COMPUTED_VALUE"""),"DC40")</f>
        <v>DC40</v>
      </c>
      <c r="H182" s="148">
        <f>IFERROR(__xludf.DUMMYFUNCTION("""COMPUTED_VALUE"""),535.0)</f>
        <v>535</v>
      </c>
      <c r="I182" s="148">
        <f>IFERROR(__xludf.DUMMYFUNCTION("""COMPUTED_VALUE"""),565.0)</f>
        <v>565</v>
      </c>
      <c r="J182" s="146">
        <f>IFERROR(__xludf.DUMMYFUNCTION("""COMPUTED_VALUE"""),16.0)</f>
        <v>16</v>
      </c>
      <c r="K182" s="146">
        <f>IFERROR(__xludf.DUMMYFUNCTION("""COMPUTED_VALUE"""),16.0)</f>
        <v>16</v>
      </c>
      <c r="L182" s="146">
        <f>IFERROR(__xludf.DUMMYFUNCTION("""COMPUTED_VALUE"""),500.0)</f>
        <v>500</v>
      </c>
      <c r="M182" s="146">
        <f>IFERROR(__xludf.DUMMYFUNCTION("""COMPUTED_VALUE"""),500.0)</f>
        <v>500</v>
      </c>
      <c r="N182" s="146">
        <f>IFERROR(__xludf.DUMMYFUNCTION("""COMPUTED_VALUE"""),1.0)</f>
        <v>1</v>
      </c>
      <c r="O182" s="146">
        <f>IFERROR(__xludf.DUMMYFUNCTION("""COMPUTED_VALUE"""),1.0)</f>
        <v>1</v>
      </c>
      <c r="P182" s="146">
        <f>IFERROR(__xludf.DUMMYFUNCTION("""COMPUTED_VALUE"""),127.0)</f>
        <v>127</v>
      </c>
      <c r="Q182" s="146"/>
      <c r="R182" s="146"/>
      <c r="T182" s="131" t="str">
        <f>IFERROR(__xludf.DUMMYFUNCTION("""COMPUTED_VALUE"""),"Y")</f>
        <v>Y</v>
      </c>
      <c r="U182" s="131" t="str">
        <f>IFERROR(__xludf.DUMMYFUNCTION("""COMPUTED_VALUE"""),"4")</f>
        <v>4</v>
      </c>
      <c r="V182" s="131"/>
      <c r="W182" s="144">
        <f>IFERROR(__xludf.DUMMYFUNCTION("""COMPUTED_VALUE"""),45671.0)</f>
        <v>45671</v>
      </c>
      <c r="X182" s="144">
        <f>IFERROR(__xludf.DUMMYFUNCTION("""COMPUTED_VALUE"""),45678.0)</f>
        <v>45678</v>
      </c>
      <c r="Y182" s="144">
        <f>IFERROR(__xludf.DUMMYFUNCTION("""COMPUTED_VALUE"""),45699.0)</f>
        <v>45699</v>
      </c>
      <c r="Z182" s="131" t="str">
        <f>IFERROR(__xludf.DUMMYFUNCTION("""COMPUTED_VALUE"""),"DC34")</f>
        <v>DC34</v>
      </c>
      <c r="AA182" s="131">
        <f>IFERROR(__xludf.DUMMYFUNCTION("""COMPUTED_VALUE"""),235.0)</f>
        <v>235</v>
      </c>
      <c r="AB182" s="131">
        <f>IFERROR(__xludf.DUMMYFUNCTION("""COMPUTED_VALUE"""),341.0)</f>
        <v>341</v>
      </c>
      <c r="AC182" s="131">
        <f>IFERROR(__xludf.DUMMYFUNCTION("""COMPUTED_VALUE"""),54.0)</f>
        <v>54</v>
      </c>
      <c r="AD182" s="131">
        <f>IFERROR(__xludf.DUMMYFUNCTION("""COMPUTED_VALUE"""),54.0)</f>
        <v>54</v>
      </c>
      <c r="AE182" s="131">
        <f>IFERROR(__xludf.DUMMYFUNCTION("""COMPUTED_VALUE"""),130.0)</f>
        <v>130</v>
      </c>
      <c r="AF182" s="131">
        <f>IFERROR(__xludf.DUMMYFUNCTION("""COMPUTED_VALUE"""),134.0)</f>
        <v>134</v>
      </c>
      <c r="AG182" s="131">
        <f>IFERROR(__xludf.DUMMYFUNCTION("""COMPUTED_VALUE"""),3.0)</f>
        <v>3</v>
      </c>
      <c r="AH182" s="131">
        <f>IFERROR(__xludf.DUMMYFUNCTION("""COMPUTED_VALUE"""),3.0)</f>
        <v>3</v>
      </c>
      <c r="AI182" s="131">
        <f>IFERROR(__xludf.DUMMYFUNCTION("""COMPUTED_VALUE"""),126.0)</f>
        <v>126</v>
      </c>
      <c r="AJ182" s="131"/>
      <c r="AK182" s="131"/>
    </row>
    <row r="183">
      <c r="A183" s="145" t="str">
        <f>IFERROR(__xludf.DUMMYFUNCTION("""COMPUTED_VALUE"""),"Y")</f>
        <v>Y</v>
      </c>
      <c r="B183" s="146" t="str">
        <f>IFERROR(__xludf.DUMMYFUNCTION("""COMPUTED_VALUE"""),"4")</f>
        <v>4</v>
      </c>
      <c r="C183" s="146"/>
      <c r="D183" s="147">
        <f>IFERROR(__xludf.DUMMYFUNCTION("""COMPUTED_VALUE"""),45671.0)</f>
        <v>45671</v>
      </c>
      <c r="E183" s="147">
        <f>IFERROR(__xludf.DUMMYFUNCTION("""COMPUTED_VALUE"""),45678.0)</f>
        <v>45678</v>
      </c>
      <c r="F183" s="147">
        <f>IFERROR(__xludf.DUMMYFUNCTION("""COMPUTED_VALUE"""),45699.0)</f>
        <v>45699</v>
      </c>
      <c r="G183" s="146" t="str">
        <f>IFERROR(__xludf.DUMMYFUNCTION("""COMPUTED_VALUE"""),"DC34")</f>
        <v>DC34</v>
      </c>
      <c r="H183" s="148">
        <f>IFERROR(__xludf.DUMMYFUNCTION("""COMPUTED_VALUE"""),235.0)</f>
        <v>235</v>
      </c>
      <c r="I183" s="148">
        <f>IFERROR(__xludf.DUMMYFUNCTION("""COMPUTED_VALUE"""),341.0)</f>
        <v>341</v>
      </c>
      <c r="J183" s="146">
        <f>IFERROR(__xludf.DUMMYFUNCTION("""COMPUTED_VALUE"""),54.0)</f>
        <v>54</v>
      </c>
      <c r="K183" s="146">
        <f>IFERROR(__xludf.DUMMYFUNCTION("""COMPUTED_VALUE"""),54.0)</f>
        <v>54</v>
      </c>
      <c r="L183" s="146">
        <f>IFERROR(__xludf.DUMMYFUNCTION("""COMPUTED_VALUE"""),130.0)</f>
        <v>130</v>
      </c>
      <c r="M183" s="146">
        <f>IFERROR(__xludf.DUMMYFUNCTION("""COMPUTED_VALUE"""),134.0)</f>
        <v>134</v>
      </c>
      <c r="N183" s="146">
        <f>IFERROR(__xludf.DUMMYFUNCTION("""COMPUTED_VALUE"""),3.0)</f>
        <v>3</v>
      </c>
      <c r="O183" s="146">
        <f>IFERROR(__xludf.DUMMYFUNCTION("""COMPUTED_VALUE"""),3.0)</f>
        <v>3</v>
      </c>
      <c r="P183" s="146">
        <f>IFERROR(__xludf.DUMMYFUNCTION("""COMPUTED_VALUE"""),126.0)</f>
        <v>126</v>
      </c>
      <c r="Q183" s="146"/>
      <c r="R183" s="146"/>
      <c r="T183" s="131" t="str">
        <f>IFERROR(__xludf.DUMMYFUNCTION("""COMPUTED_VALUE"""),"Y")</f>
        <v>Y</v>
      </c>
      <c r="U183" s="131" t="str">
        <f>IFERROR(__xludf.DUMMYFUNCTION("""COMPUTED_VALUE"""),"4")</f>
        <v>4</v>
      </c>
      <c r="V183" s="131"/>
      <c r="W183" s="144">
        <f>IFERROR(__xludf.DUMMYFUNCTION("""COMPUTED_VALUE"""),45672.0)</f>
        <v>45672</v>
      </c>
      <c r="X183" s="144">
        <f>IFERROR(__xludf.DUMMYFUNCTION("""COMPUTED_VALUE"""),45679.0)</f>
        <v>45679</v>
      </c>
      <c r="Y183" s="144">
        <f>IFERROR(__xludf.DUMMYFUNCTION("""COMPUTED_VALUE"""),45700.0)</f>
        <v>45700</v>
      </c>
      <c r="Z183" s="131" t="str">
        <f>IFERROR(__xludf.DUMMYFUNCTION("""COMPUTED_VALUE"""),"BRG12")</f>
        <v>BRG12</v>
      </c>
      <c r="AA183" s="131"/>
      <c r="AB183" s="131"/>
      <c r="AC183" s="131"/>
      <c r="AD183" s="131"/>
      <c r="AE183" s="131">
        <f>IFERROR(__xludf.DUMMYFUNCTION("""COMPUTED_VALUE"""),2178.0)</f>
        <v>2178</v>
      </c>
      <c r="AF183" s="131">
        <f>IFERROR(__xludf.DUMMYFUNCTION("""COMPUTED_VALUE"""),2256.0)</f>
        <v>2256</v>
      </c>
      <c r="AG183" s="131">
        <f>IFERROR(__xludf.DUMMYFUNCTION("""COMPUTED_VALUE"""),40.0)</f>
        <v>40</v>
      </c>
      <c r="AH183" s="131">
        <f>IFERROR(__xludf.DUMMYFUNCTION("""COMPUTED_VALUE"""),40.0)</f>
        <v>40</v>
      </c>
      <c r="AI183" s="131">
        <f>IFERROR(__xludf.DUMMYFUNCTION("""COMPUTED_VALUE"""),128.0)</f>
        <v>128</v>
      </c>
      <c r="AJ183" s="131"/>
      <c r="AK183" s="131"/>
    </row>
    <row r="184">
      <c r="A184" s="145" t="str">
        <f>IFERROR(__xludf.DUMMYFUNCTION("""COMPUTED_VALUE"""),"Y")</f>
        <v>Y</v>
      </c>
      <c r="B184" s="146" t="str">
        <f>IFERROR(__xludf.DUMMYFUNCTION("""COMPUTED_VALUE"""),"4")</f>
        <v>4</v>
      </c>
      <c r="C184" s="146"/>
      <c r="D184" s="147">
        <f>IFERROR(__xludf.DUMMYFUNCTION("""COMPUTED_VALUE"""),45672.0)</f>
        <v>45672</v>
      </c>
      <c r="E184" s="147">
        <f>IFERROR(__xludf.DUMMYFUNCTION("""COMPUTED_VALUE"""),45679.0)</f>
        <v>45679</v>
      </c>
      <c r="F184" s="147">
        <f>IFERROR(__xludf.DUMMYFUNCTION("""COMPUTED_VALUE"""),45700.0)</f>
        <v>45700</v>
      </c>
      <c r="G184" s="146" t="str">
        <f>IFERROR(__xludf.DUMMYFUNCTION("""COMPUTED_VALUE"""),"BRG12")</f>
        <v>BRG12</v>
      </c>
      <c r="H184" s="148"/>
      <c r="I184" s="148"/>
      <c r="J184" s="146"/>
      <c r="K184" s="146"/>
      <c r="L184" s="146">
        <f>IFERROR(__xludf.DUMMYFUNCTION("""COMPUTED_VALUE"""),2178.0)</f>
        <v>2178</v>
      </c>
      <c r="M184" s="146">
        <f>IFERROR(__xludf.DUMMYFUNCTION("""COMPUTED_VALUE"""),2256.0)</f>
        <v>2256</v>
      </c>
      <c r="N184" s="146">
        <f>IFERROR(__xludf.DUMMYFUNCTION("""COMPUTED_VALUE"""),40.0)</f>
        <v>40</v>
      </c>
      <c r="O184" s="146">
        <f>IFERROR(__xludf.DUMMYFUNCTION("""COMPUTED_VALUE"""),40.0)</f>
        <v>40</v>
      </c>
      <c r="P184" s="146">
        <f>IFERROR(__xludf.DUMMYFUNCTION("""COMPUTED_VALUE"""),128.0)</f>
        <v>128</v>
      </c>
      <c r="Q184" s="146"/>
      <c r="R184" s="146"/>
      <c r="T184" s="131" t="str">
        <f>IFERROR(__xludf.DUMMYFUNCTION("""COMPUTED_VALUE"""),"Y")</f>
        <v>Y</v>
      </c>
      <c r="U184" s="131" t="str">
        <f>IFERROR(__xludf.DUMMYFUNCTION("""COMPUTED_VALUE"""),"4")</f>
        <v>4</v>
      </c>
      <c r="V184" s="131"/>
      <c r="W184" s="144">
        <f>IFERROR(__xludf.DUMMYFUNCTION("""COMPUTED_VALUE"""),45672.0)</f>
        <v>45672</v>
      </c>
      <c r="X184" s="144">
        <f>IFERROR(__xludf.DUMMYFUNCTION("""COMPUTED_VALUE"""),45679.0)</f>
        <v>45679</v>
      </c>
      <c r="Y184" s="144">
        <f>IFERROR(__xludf.DUMMYFUNCTION("""COMPUTED_VALUE"""),45700.0)</f>
        <v>45700</v>
      </c>
      <c r="Z184" s="131" t="str">
        <f>IFERROR(__xludf.DUMMYFUNCTION("""COMPUTED_VALUE"""),"DC40")</f>
        <v>DC40</v>
      </c>
      <c r="AA184" s="131">
        <f>IFERROR(__xludf.DUMMYFUNCTION("""COMPUTED_VALUE"""),533.0)</f>
        <v>533</v>
      </c>
      <c r="AB184" s="131">
        <f>IFERROR(__xludf.DUMMYFUNCTION("""COMPUTED_VALUE"""),533.0)</f>
        <v>533</v>
      </c>
      <c r="AC184" s="131">
        <f>IFERROR(__xludf.DUMMYFUNCTION("""COMPUTED_VALUE"""),1.0)</f>
        <v>1</v>
      </c>
      <c r="AD184" s="131">
        <f>IFERROR(__xludf.DUMMYFUNCTION("""COMPUTED_VALUE"""),1.0)</f>
        <v>1</v>
      </c>
      <c r="AE184" s="131">
        <f>IFERROR(__xludf.DUMMYFUNCTION("""COMPUTED_VALUE"""),508.0)</f>
        <v>508</v>
      </c>
      <c r="AF184" s="131">
        <f>IFERROR(__xludf.DUMMYFUNCTION("""COMPUTED_VALUE"""),530.0)</f>
        <v>530</v>
      </c>
      <c r="AG184" s="131">
        <f>IFERROR(__xludf.DUMMYFUNCTION("""COMPUTED_VALUE"""),12.0)</f>
        <v>12</v>
      </c>
      <c r="AH184" s="131">
        <f>IFERROR(__xludf.DUMMYFUNCTION("""COMPUTED_VALUE"""),12.0)</f>
        <v>12</v>
      </c>
      <c r="AI184" s="131">
        <f>IFERROR(__xludf.DUMMYFUNCTION("""COMPUTED_VALUE"""),130.0)</f>
        <v>130</v>
      </c>
      <c r="AJ184" s="131"/>
      <c r="AK184" s="131"/>
    </row>
    <row r="185">
      <c r="A185" s="145" t="str">
        <f>IFERROR(__xludf.DUMMYFUNCTION("""COMPUTED_VALUE"""),"Y")</f>
        <v>Y</v>
      </c>
      <c r="B185" s="146" t="str">
        <f>IFERROR(__xludf.DUMMYFUNCTION("""COMPUTED_VALUE"""),"4")</f>
        <v>4</v>
      </c>
      <c r="C185" s="146"/>
      <c r="D185" s="147">
        <f>IFERROR(__xludf.DUMMYFUNCTION("""COMPUTED_VALUE"""),45672.0)</f>
        <v>45672</v>
      </c>
      <c r="E185" s="147">
        <f>IFERROR(__xludf.DUMMYFUNCTION("""COMPUTED_VALUE"""),45679.0)</f>
        <v>45679</v>
      </c>
      <c r="F185" s="147">
        <f>IFERROR(__xludf.DUMMYFUNCTION("""COMPUTED_VALUE"""),45700.0)</f>
        <v>45700</v>
      </c>
      <c r="G185" s="146" t="str">
        <f>IFERROR(__xludf.DUMMYFUNCTION("""COMPUTED_VALUE"""),"DC40")</f>
        <v>DC40</v>
      </c>
      <c r="H185" s="148">
        <f>IFERROR(__xludf.DUMMYFUNCTION("""COMPUTED_VALUE"""),533.0)</f>
        <v>533</v>
      </c>
      <c r="I185" s="148">
        <f>IFERROR(__xludf.DUMMYFUNCTION("""COMPUTED_VALUE"""),533.0)</f>
        <v>533</v>
      </c>
      <c r="J185" s="146">
        <f>IFERROR(__xludf.DUMMYFUNCTION("""COMPUTED_VALUE"""),1.0)</f>
        <v>1</v>
      </c>
      <c r="K185" s="146">
        <f>IFERROR(__xludf.DUMMYFUNCTION("""COMPUTED_VALUE"""),1.0)</f>
        <v>1</v>
      </c>
      <c r="L185" s="146">
        <f>IFERROR(__xludf.DUMMYFUNCTION("""COMPUTED_VALUE"""),508.0)</f>
        <v>508</v>
      </c>
      <c r="M185" s="146">
        <f>IFERROR(__xludf.DUMMYFUNCTION("""COMPUTED_VALUE"""),530.0)</f>
        <v>530</v>
      </c>
      <c r="N185" s="146">
        <f>IFERROR(__xludf.DUMMYFUNCTION("""COMPUTED_VALUE"""),12.0)</f>
        <v>12</v>
      </c>
      <c r="O185" s="146">
        <f>IFERROR(__xludf.DUMMYFUNCTION("""COMPUTED_VALUE"""),12.0)</f>
        <v>12</v>
      </c>
      <c r="P185" s="146">
        <f>IFERROR(__xludf.DUMMYFUNCTION("""COMPUTED_VALUE"""),130.0)</f>
        <v>130</v>
      </c>
      <c r="Q185" s="146"/>
      <c r="R185" s="146"/>
      <c r="T185" s="131" t="str">
        <f>IFERROR(__xludf.DUMMYFUNCTION("""COMPUTED_VALUE"""),"Y")</f>
        <v>Y</v>
      </c>
      <c r="U185" s="131" t="str">
        <f>IFERROR(__xludf.DUMMYFUNCTION("""COMPUTED_VALUE"""),"4")</f>
        <v>4</v>
      </c>
      <c r="V185" s="131"/>
      <c r="W185" s="144">
        <f>IFERROR(__xludf.DUMMYFUNCTION("""COMPUTED_VALUE"""),45672.0)</f>
        <v>45672</v>
      </c>
      <c r="X185" s="144">
        <f>IFERROR(__xludf.DUMMYFUNCTION("""COMPUTED_VALUE"""),45679.0)</f>
        <v>45679</v>
      </c>
      <c r="Y185" s="144">
        <f>IFERROR(__xludf.DUMMYFUNCTION("""COMPUTED_VALUE"""),45700.0)</f>
        <v>45700</v>
      </c>
      <c r="Z185" s="131" t="str">
        <f>IFERROR(__xludf.DUMMYFUNCTION("""COMPUTED_VALUE"""),"DC40")</f>
        <v>DC40</v>
      </c>
      <c r="AA185" s="131">
        <f>IFERROR(__xludf.DUMMYFUNCTION("""COMPUTED_VALUE"""),567.0)</f>
        <v>567</v>
      </c>
      <c r="AB185" s="131">
        <f>IFERROR(__xludf.DUMMYFUNCTION("""COMPUTED_VALUE"""),567.0)</f>
        <v>567</v>
      </c>
      <c r="AC185" s="131">
        <f>IFERROR(__xludf.DUMMYFUNCTION("""COMPUTED_VALUE"""),1.0)</f>
        <v>1</v>
      </c>
      <c r="AD185" s="131">
        <f>IFERROR(__xludf.DUMMYFUNCTION("""COMPUTED_VALUE"""),1.0)</f>
        <v>1</v>
      </c>
      <c r="AE185" s="131">
        <f>IFERROR(__xludf.DUMMYFUNCTION("""COMPUTED_VALUE"""),536.0)</f>
        <v>536</v>
      </c>
      <c r="AF185" s="131">
        <f>IFERROR(__xludf.DUMMYFUNCTION("""COMPUTED_VALUE"""),564.0)</f>
        <v>564</v>
      </c>
      <c r="AG185" s="131">
        <f>IFERROR(__xludf.DUMMYFUNCTION("""COMPUTED_VALUE"""),15.0)</f>
        <v>15</v>
      </c>
      <c r="AH185" s="131">
        <f>IFERROR(__xludf.DUMMYFUNCTION("""COMPUTED_VALUE"""),15.0)</f>
        <v>15</v>
      </c>
      <c r="AI185" s="131">
        <f>IFERROR(__xludf.DUMMYFUNCTION("""COMPUTED_VALUE"""),130.0)</f>
        <v>130</v>
      </c>
      <c r="AJ185" s="131"/>
      <c r="AK185" s="131"/>
    </row>
    <row r="186">
      <c r="A186" s="145" t="str">
        <f>IFERROR(__xludf.DUMMYFUNCTION("""COMPUTED_VALUE"""),"Y")</f>
        <v>Y</v>
      </c>
      <c r="B186" s="146" t="str">
        <f>IFERROR(__xludf.DUMMYFUNCTION("""COMPUTED_VALUE"""),"4")</f>
        <v>4</v>
      </c>
      <c r="C186" s="146"/>
      <c r="D186" s="147">
        <f>IFERROR(__xludf.DUMMYFUNCTION("""COMPUTED_VALUE"""),45672.0)</f>
        <v>45672</v>
      </c>
      <c r="E186" s="147">
        <f>IFERROR(__xludf.DUMMYFUNCTION("""COMPUTED_VALUE"""),45679.0)</f>
        <v>45679</v>
      </c>
      <c r="F186" s="147">
        <f>IFERROR(__xludf.DUMMYFUNCTION("""COMPUTED_VALUE"""),45700.0)</f>
        <v>45700</v>
      </c>
      <c r="G186" s="146" t="str">
        <f>IFERROR(__xludf.DUMMYFUNCTION("""COMPUTED_VALUE"""),"DC40")</f>
        <v>DC40</v>
      </c>
      <c r="H186" s="148">
        <f>IFERROR(__xludf.DUMMYFUNCTION("""COMPUTED_VALUE"""),567.0)</f>
        <v>567</v>
      </c>
      <c r="I186" s="148">
        <f>IFERROR(__xludf.DUMMYFUNCTION("""COMPUTED_VALUE"""),567.0)</f>
        <v>567</v>
      </c>
      <c r="J186" s="146">
        <f>IFERROR(__xludf.DUMMYFUNCTION("""COMPUTED_VALUE"""),1.0)</f>
        <v>1</v>
      </c>
      <c r="K186" s="146">
        <f>IFERROR(__xludf.DUMMYFUNCTION("""COMPUTED_VALUE"""),1.0)</f>
        <v>1</v>
      </c>
      <c r="L186" s="146">
        <f>IFERROR(__xludf.DUMMYFUNCTION("""COMPUTED_VALUE"""),536.0)</f>
        <v>536</v>
      </c>
      <c r="M186" s="146">
        <f>IFERROR(__xludf.DUMMYFUNCTION("""COMPUTED_VALUE"""),564.0)</f>
        <v>564</v>
      </c>
      <c r="N186" s="146">
        <f>IFERROR(__xludf.DUMMYFUNCTION("""COMPUTED_VALUE"""),15.0)</f>
        <v>15</v>
      </c>
      <c r="O186" s="146">
        <f>IFERROR(__xludf.DUMMYFUNCTION("""COMPUTED_VALUE"""),15.0)</f>
        <v>15</v>
      </c>
      <c r="P186" s="146">
        <f>IFERROR(__xludf.DUMMYFUNCTION("""COMPUTED_VALUE"""),130.0)</f>
        <v>130</v>
      </c>
      <c r="Q186" s="146"/>
      <c r="R186" s="146"/>
      <c r="T186" s="131" t="str">
        <f>IFERROR(__xludf.DUMMYFUNCTION("""COMPUTED_VALUE"""),"Y")</f>
        <v>Y</v>
      </c>
      <c r="U186" s="131" t="str">
        <f>IFERROR(__xludf.DUMMYFUNCTION("""COMPUTED_VALUE"""),"4")</f>
        <v>4</v>
      </c>
      <c r="V186" s="131"/>
      <c r="W186" s="144">
        <f>IFERROR(__xludf.DUMMYFUNCTION("""COMPUTED_VALUE"""),45672.0)</f>
        <v>45672</v>
      </c>
      <c r="X186" s="144">
        <f>IFERROR(__xludf.DUMMYFUNCTION("""COMPUTED_VALUE"""),45679.0)</f>
        <v>45679</v>
      </c>
      <c r="Y186" s="144">
        <f>IFERROR(__xludf.DUMMYFUNCTION("""COMPUTED_VALUE"""),45700.0)</f>
        <v>45700</v>
      </c>
      <c r="Z186" s="131" t="str">
        <f>IFERROR(__xludf.DUMMYFUNCTION("""COMPUTED_VALUE"""),"DC40")</f>
        <v>DC40</v>
      </c>
      <c r="AA186" s="131"/>
      <c r="AB186" s="131"/>
      <c r="AC186" s="131"/>
      <c r="AD186" s="131"/>
      <c r="AE186" s="131">
        <f>IFERROR(__xludf.DUMMYFUNCTION("""COMPUTED_VALUE"""),570.0)</f>
        <v>570</v>
      </c>
      <c r="AF186" s="131">
        <f>IFERROR(__xludf.DUMMYFUNCTION("""COMPUTED_VALUE"""),612.0)</f>
        <v>612</v>
      </c>
      <c r="AG186" s="131">
        <f>IFERROR(__xludf.DUMMYFUNCTION("""COMPUTED_VALUE"""),22.0)</f>
        <v>22</v>
      </c>
      <c r="AH186" s="131">
        <f>IFERROR(__xludf.DUMMYFUNCTION("""COMPUTED_VALUE"""),22.0)</f>
        <v>22</v>
      </c>
      <c r="AI186" s="131">
        <f>IFERROR(__xludf.DUMMYFUNCTION("""COMPUTED_VALUE"""),130.0)</f>
        <v>130</v>
      </c>
      <c r="AJ186" s="131"/>
      <c r="AK186" s="131"/>
    </row>
    <row r="187">
      <c r="A187" s="145" t="str">
        <f>IFERROR(__xludf.DUMMYFUNCTION("""COMPUTED_VALUE"""),"Y")</f>
        <v>Y</v>
      </c>
      <c r="B187" s="146" t="str">
        <f>IFERROR(__xludf.DUMMYFUNCTION("""COMPUTED_VALUE"""),"4")</f>
        <v>4</v>
      </c>
      <c r="C187" s="146"/>
      <c r="D187" s="147">
        <f>IFERROR(__xludf.DUMMYFUNCTION("""COMPUTED_VALUE"""),45672.0)</f>
        <v>45672</v>
      </c>
      <c r="E187" s="147">
        <f>IFERROR(__xludf.DUMMYFUNCTION("""COMPUTED_VALUE"""),45679.0)</f>
        <v>45679</v>
      </c>
      <c r="F187" s="147">
        <f>IFERROR(__xludf.DUMMYFUNCTION("""COMPUTED_VALUE"""),45700.0)</f>
        <v>45700</v>
      </c>
      <c r="G187" s="146" t="str">
        <f>IFERROR(__xludf.DUMMYFUNCTION("""COMPUTED_VALUE"""),"DC40")</f>
        <v>DC40</v>
      </c>
      <c r="H187" s="148"/>
      <c r="I187" s="148"/>
      <c r="J187" s="146"/>
      <c r="K187" s="146"/>
      <c r="L187" s="146">
        <f>IFERROR(__xludf.DUMMYFUNCTION("""COMPUTED_VALUE"""),570.0)</f>
        <v>570</v>
      </c>
      <c r="M187" s="146">
        <f>IFERROR(__xludf.DUMMYFUNCTION("""COMPUTED_VALUE"""),612.0)</f>
        <v>612</v>
      </c>
      <c r="N187" s="146">
        <f>IFERROR(__xludf.DUMMYFUNCTION("""COMPUTED_VALUE"""),22.0)</f>
        <v>22</v>
      </c>
      <c r="O187" s="146">
        <f>IFERROR(__xludf.DUMMYFUNCTION("""COMPUTED_VALUE"""),22.0)</f>
        <v>22</v>
      </c>
      <c r="P187" s="146">
        <f>IFERROR(__xludf.DUMMYFUNCTION("""COMPUTED_VALUE"""),130.0)</f>
        <v>130</v>
      </c>
      <c r="Q187" s="146"/>
      <c r="R187" s="146"/>
      <c r="T187" s="131" t="str">
        <f>IFERROR(__xludf.DUMMYFUNCTION("""COMPUTED_VALUE"""),"Y")</f>
        <v>Y</v>
      </c>
      <c r="U187" s="131" t="str">
        <f>IFERROR(__xludf.DUMMYFUNCTION("""COMPUTED_VALUE"""),"4")</f>
        <v>4</v>
      </c>
      <c r="V187" s="131"/>
      <c r="W187" s="144">
        <f>IFERROR(__xludf.DUMMYFUNCTION("""COMPUTED_VALUE"""),45672.0)</f>
        <v>45672</v>
      </c>
      <c r="X187" s="144">
        <f>IFERROR(__xludf.DUMMYFUNCTION("""COMPUTED_VALUE"""),45679.0)</f>
        <v>45679</v>
      </c>
      <c r="Y187" s="144">
        <f>IFERROR(__xludf.DUMMYFUNCTION("""COMPUTED_VALUE"""),45700.0)</f>
        <v>45700</v>
      </c>
      <c r="Z187" s="131" t="str">
        <f>IFERROR(__xludf.DUMMYFUNCTION("""COMPUTED_VALUE"""),"DC40")</f>
        <v>DC40</v>
      </c>
      <c r="AA187" s="131"/>
      <c r="AB187" s="131"/>
      <c r="AC187" s="131"/>
      <c r="AD187" s="131"/>
      <c r="AE187" s="131">
        <f>IFERROR(__xludf.DUMMYFUNCTION("""COMPUTED_VALUE"""),614.0)</f>
        <v>614</v>
      </c>
      <c r="AF187" s="131">
        <f>IFERROR(__xludf.DUMMYFUNCTION("""COMPUTED_VALUE"""),620.0)</f>
        <v>620</v>
      </c>
      <c r="AG187" s="131">
        <f>IFERROR(__xludf.DUMMYFUNCTION("""COMPUTED_VALUE"""),4.0)</f>
        <v>4</v>
      </c>
      <c r="AH187" s="131">
        <f>IFERROR(__xludf.DUMMYFUNCTION("""COMPUTED_VALUE"""),4.0)</f>
        <v>4</v>
      </c>
      <c r="AI187" s="131">
        <f>IFERROR(__xludf.DUMMYFUNCTION("""COMPUTED_VALUE"""),130.0)</f>
        <v>130</v>
      </c>
      <c r="AJ187" s="131"/>
      <c r="AK187" s="131"/>
    </row>
    <row r="188">
      <c r="A188" s="145" t="str">
        <f>IFERROR(__xludf.DUMMYFUNCTION("""COMPUTED_VALUE"""),"Y")</f>
        <v>Y</v>
      </c>
      <c r="B188" s="146" t="str">
        <f>IFERROR(__xludf.DUMMYFUNCTION("""COMPUTED_VALUE"""),"4")</f>
        <v>4</v>
      </c>
      <c r="C188" s="146"/>
      <c r="D188" s="147">
        <f>IFERROR(__xludf.DUMMYFUNCTION("""COMPUTED_VALUE"""),45672.0)</f>
        <v>45672</v>
      </c>
      <c r="E188" s="147">
        <f>IFERROR(__xludf.DUMMYFUNCTION("""COMPUTED_VALUE"""),45679.0)</f>
        <v>45679</v>
      </c>
      <c r="F188" s="147">
        <f>IFERROR(__xludf.DUMMYFUNCTION("""COMPUTED_VALUE"""),45700.0)</f>
        <v>45700</v>
      </c>
      <c r="G188" s="146" t="str">
        <f>IFERROR(__xludf.DUMMYFUNCTION("""COMPUTED_VALUE"""),"DC40")</f>
        <v>DC40</v>
      </c>
      <c r="H188" s="148"/>
      <c r="I188" s="148"/>
      <c r="J188" s="146"/>
      <c r="K188" s="146"/>
      <c r="L188" s="146">
        <f>IFERROR(__xludf.DUMMYFUNCTION("""COMPUTED_VALUE"""),614.0)</f>
        <v>614</v>
      </c>
      <c r="M188" s="146">
        <f>IFERROR(__xludf.DUMMYFUNCTION("""COMPUTED_VALUE"""),620.0)</f>
        <v>620</v>
      </c>
      <c r="N188" s="146">
        <f>IFERROR(__xludf.DUMMYFUNCTION("""COMPUTED_VALUE"""),4.0)</f>
        <v>4</v>
      </c>
      <c r="O188" s="146">
        <f>IFERROR(__xludf.DUMMYFUNCTION("""COMPUTED_VALUE"""),4.0)</f>
        <v>4</v>
      </c>
      <c r="P188" s="146">
        <f>IFERROR(__xludf.DUMMYFUNCTION("""COMPUTED_VALUE"""),130.0)</f>
        <v>130</v>
      </c>
      <c r="Q188" s="146"/>
      <c r="R188" s="146"/>
      <c r="T188" s="131" t="str">
        <f>IFERROR(__xludf.DUMMYFUNCTION("""COMPUTED_VALUE"""),"Y")</f>
        <v>Y</v>
      </c>
      <c r="U188" s="131" t="str">
        <f>IFERROR(__xludf.DUMMYFUNCTION("""COMPUTED_VALUE"""),"4")</f>
        <v>4</v>
      </c>
      <c r="V188" s="131"/>
      <c r="W188" s="144">
        <f>IFERROR(__xludf.DUMMYFUNCTION("""COMPUTED_VALUE"""),45672.0)</f>
        <v>45672</v>
      </c>
      <c r="X188" s="144">
        <f>IFERROR(__xludf.DUMMYFUNCTION("""COMPUTED_VALUE"""),45679.0)</f>
        <v>45679</v>
      </c>
      <c r="Y188" s="144">
        <f>IFERROR(__xludf.DUMMYFUNCTION("""COMPUTED_VALUE"""),45700.0)</f>
        <v>45700</v>
      </c>
      <c r="Z188" s="131" t="str">
        <f>IFERROR(__xludf.DUMMYFUNCTION("""COMPUTED_VALUE"""),"DC34")</f>
        <v>DC34</v>
      </c>
      <c r="AA188" s="131">
        <f>IFERROR(__xludf.DUMMYFUNCTION("""COMPUTED_VALUE"""),136.0)</f>
        <v>136</v>
      </c>
      <c r="AB188" s="131">
        <f>IFERROR(__xludf.DUMMYFUNCTION("""COMPUTED_VALUE"""),228.0)</f>
        <v>228</v>
      </c>
      <c r="AC188" s="131">
        <f>IFERROR(__xludf.DUMMYFUNCTION("""COMPUTED_VALUE"""),47.0)</f>
        <v>47</v>
      </c>
      <c r="AD188" s="131">
        <f>IFERROR(__xludf.DUMMYFUNCTION("""COMPUTED_VALUE"""),47.0)</f>
        <v>47</v>
      </c>
      <c r="AE188" s="131">
        <f>IFERROR(__xludf.DUMMYFUNCTION("""COMPUTED_VALUE"""),236.0)</f>
        <v>236</v>
      </c>
      <c r="AF188" s="131">
        <f>IFERROR(__xludf.DUMMYFUNCTION("""COMPUTED_VALUE"""),252.0)</f>
        <v>252</v>
      </c>
      <c r="AG188" s="131">
        <f>IFERROR(__xludf.DUMMYFUNCTION("""COMPUTED_VALUE"""),9.0)</f>
        <v>9</v>
      </c>
      <c r="AH188" s="131">
        <f>IFERROR(__xludf.DUMMYFUNCTION("""COMPUTED_VALUE"""),9.0)</f>
        <v>9</v>
      </c>
      <c r="AI188" s="131">
        <f>IFERROR(__xludf.DUMMYFUNCTION("""COMPUTED_VALUE"""),129.0)</f>
        <v>129</v>
      </c>
      <c r="AJ188" s="131"/>
      <c r="AK188" s="131"/>
    </row>
    <row r="189">
      <c r="A189" s="145" t="str">
        <f>IFERROR(__xludf.DUMMYFUNCTION("""COMPUTED_VALUE"""),"Y")</f>
        <v>Y</v>
      </c>
      <c r="B189" s="146" t="str">
        <f>IFERROR(__xludf.DUMMYFUNCTION("""COMPUTED_VALUE"""),"4")</f>
        <v>4</v>
      </c>
      <c r="C189" s="146"/>
      <c r="D189" s="147">
        <f>IFERROR(__xludf.DUMMYFUNCTION("""COMPUTED_VALUE"""),45672.0)</f>
        <v>45672</v>
      </c>
      <c r="E189" s="147">
        <f>IFERROR(__xludf.DUMMYFUNCTION("""COMPUTED_VALUE"""),45679.0)</f>
        <v>45679</v>
      </c>
      <c r="F189" s="147">
        <f>IFERROR(__xludf.DUMMYFUNCTION("""COMPUTED_VALUE"""),45700.0)</f>
        <v>45700</v>
      </c>
      <c r="G189" s="146" t="str">
        <f>IFERROR(__xludf.DUMMYFUNCTION("""COMPUTED_VALUE"""),"DC34")</f>
        <v>DC34</v>
      </c>
      <c r="H189" s="148">
        <f>IFERROR(__xludf.DUMMYFUNCTION("""COMPUTED_VALUE"""),136.0)</f>
        <v>136</v>
      </c>
      <c r="I189" s="148">
        <f>IFERROR(__xludf.DUMMYFUNCTION("""COMPUTED_VALUE"""),228.0)</f>
        <v>228</v>
      </c>
      <c r="J189" s="146">
        <f>IFERROR(__xludf.DUMMYFUNCTION("""COMPUTED_VALUE"""),47.0)</f>
        <v>47</v>
      </c>
      <c r="K189" s="146">
        <f>IFERROR(__xludf.DUMMYFUNCTION("""COMPUTED_VALUE"""),47.0)</f>
        <v>47</v>
      </c>
      <c r="L189" s="146">
        <f>IFERROR(__xludf.DUMMYFUNCTION("""COMPUTED_VALUE"""),236.0)</f>
        <v>236</v>
      </c>
      <c r="M189" s="146">
        <f>IFERROR(__xludf.DUMMYFUNCTION("""COMPUTED_VALUE"""),252.0)</f>
        <v>252</v>
      </c>
      <c r="N189" s="146">
        <f>IFERROR(__xludf.DUMMYFUNCTION("""COMPUTED_VALUE"""),9.0)</f>
        <v>9</v>
      </c>
      <c r="O189" s="146">
        <f>IFERROR(__xludf.DUMMYFUNCTION("""COMPUTED_VALUE"""),9.0)</f>
        <v>9</v>
      </c>
      <c r="P189" s="146">
        <f>IFERROR(__xludf.DUMMYFUNCTION("""COMPUTED_VALUE"""),129.0)</f>
        <v>129</v>
      </c>
      <c r="Q189" s="146"/>
      <c r="R189" s="146"/>
      <c r="T189" s="131" t="str">
        <f>IFERROR(__xludf.DUMMYFUNCTION("""COMPUTED_VALUE"""),"Y")</f>
        <v>Y</v>
      </c>
      <c r="U189" s="131" t="str">
        <f>IFERROR(__xludf.DUMMYFUNCTION("""COMPUTED_VALUE"""),"4")</f>
        <v>4</v>
      </c>
      <c r="V189" s="131"/>
      <c r="W189" s="144">
        <f>IFERROR(__xludf.DUMMYFUNCTION("""COMPUTED_VALUE"""),45673.0)</f>
        <v>45673</v>
      </c>
      <c r="X189" s="144">
        <f>IFERROR(__xludf.DUMMYFUNCTION("""COMPUTED_VALUE"""),45680.0)</f>
        <v>45680</v>
      </c>
      <c r="Y189" s="144">
        <f>IFERROR(__xludf.DUMMYFUNCTION("""COMPUTED_VALUE"""),45701.0)</f>
        <v>45701</v>
      </c>
      <c r="Z189" s="131" t="str">
        <f>IFERROR(__xludf.DUMMYFUNCTION("""COMPUTED_VALUE"""),"BRG12")</f>
        <v>BRG12</v>
      </c>
      <c r="AA189" s="131">
        <f>IFERROR(__xludf.DUMMYFUNCTION("""COMPUTED_VALUE"""),2271.0)</f>
        <v>2271</v>
      </c>
      <c r="AB189" s="131">
        <f>IFERROR(__xludf.DUMMYFUNCTION("""COMPUTED_VALUE"""),2333.0)</f>
        <v>2333</v>
      </c>
      <c r="AC189" s="131">
        <f>IFERROR(__xludf.DUMMYFUNCTION("""COMPUTED_VALUE"""),32.0)</f>
        <v>32</v>
      </c>
      <c r="AD189" s="131">
        <f>IFERROR(__xludf.DUMMYFUNCTION("""COMPUTED_VALUE"""),32.0)</f>
        <v>32</v>
      </c>
      <c r="AE189" s="131">
        <f>IFERROR(__xludf.DUMMYFUNCTION("""COMPUTED_VALUE"""),2258.0)</f>
        <v>2258</v>
      </c>
      <c r="AF189" s="131">
        <f>IFERROR(__xludf.DUMMYFUNCTION("""COMPUTED_VALUE"""),2268.0)</f>
        <v>2268</v>
      </c>
      <c r="AG189" s="131">
        <f>IFERROR(__xludf.DUMMYFUNCTION("""COMPUTED_VALUE"""),6.0)</f>
        <v>6</v>
      </c>
      <c r="AH189" s="131">
        <f>IFERROR(__xludf.DUMMYFUNCTION("""COMPUTED_VALUE"""),6.0)</f>
        <v>6</v>
      </c>
      <c r="AI189" s="131">
        <f>IFERROR(__xludf.DUMMYFUNCTION("""COMPUTED_VALUE"""),131.0)</f>
        <v>131</v>
      </c>
      <c r="AJ189" s="131"/>
      <c r="AK189" s="131"/>
    </row>
    <row r="190">
      <c r="A190" s="145" t="str">
        <f>IFERROR(__xludf.DUMMYFUNCTION("""COMPUTED_VALUE"""),"Y")</f>
        <v>Y</v>
      </c>
      <c r="B190" s="146" t="str">
        <f>IFERROR(__xludf.DUMMYFUNCTION("""COMPUTED_VALUE"""),"4")</f>
        <v>4</v>
      </c>
      <c r="C190" s="146"/>
      <c r="D190" s="147">
        <f>IFERROR(__xludf.DUMMYFUNCTION("""COMPUTED_VALUE"""),45673.0)</f>
        <v>45673</v>
      </c>
      <c r="E190" s="147">
        <f>IFERROR(__xludf.DUMMYFUNCTION("""COMPUTED_VALUE"""),45680.0)</f>
        <v>45680</v>
      </c>
      <c r="F190" s="147">
        <f>IFERROR(__xludf.DUMMYFUNCTION("""COMPUTED_VALUE"""),45701.0)</f>
        <v>45701</v>
      </c>
      <c r="G190" s="146" t="str">
        <f>IFERROR(__xludf.DUMMYFUNCTION("""COMPUTED_VALUE"""),"BRG12")</f>
        <v>BRG12</v>
      </c>
      <c r="H190" s="148">
        <f>IFERROR(__xludf.DUMMYFUNCTION("""COMPUTED_VALUE"""),2271.0)</f>
        <v>2271</v>
      </c>
      <c r="I190" s="148">
        <f>IFERROR(__xludf.DUMMYFUNCTION("""COMPUTED_VALUE"""),2333.0)</f>
        <v>2333</v>
      </c>
      <c r="J190" s="146">
        <f>IFERROR(__xludf.DUMMYFUNCTION("""COMPUTED_VALUE"""),32.0)</f>
        <v>32</v>
      </c>
      <c r="K190" s="146">
        <f>IFERROR(__xludf.DUMMYFUNCTION("""COMPUTED_VALUE"""),32.0)</f>
        <v>32</v>
      </c>
      <c r="L190" s="146">
        <f>IFERROR(__xludf.DUMMYFUNCTION("""COMPUTED_VALUE"""),2258.0)</f>
        <v>2258</v>
      </c>
      <c r="M190" s="146">
        <f>IFERROR(__xludf.DUMMYFUNCTION("""COMPUTED_VALUE"""),2268.0)</f>
        <v>2268</v>
      </c>
      <c r="N190" s="146">
        <f>IFERROR(__xludf.DUMMYFUNCTION("""COMPUTED_VALUE"""),6.0)</f>
        <v>6</v>
      </c>
      <c r="O190" s="146">
        <f>IFERROR(__xludf.DUMMYFUNCTION("""COMPUTED_VALUE"""),6.0)</f>
        <v>6</v>
      </c>
      <c r="P190" s="146">
        <f>IFERROR(__xludf.DUMMYFUNCTION("""COMPUTED_VALUE"""),131.0)</f>
        <v>131</v>
      </c>
      <c r="Q190" s="146"/>
      <c r="R190" s="146"/>
      <c r="T190" s="131" t="str">
        <f>IFERROR(__xludf.DUMMYFUNCTION("""COMPUTED_VALUE"""),"Y")</f>
        <v>Y</v>
      </c>
      <c r="U190" s="131" t="str">
        <f>IFERROR(__xludf.DUMMYFUNCTION("""COMPUTED_VALUE"""),"4")</f>
        <v>4</v>
      </c>
      <c r="V190" s="131"/>
      <c r="W190" s="144">
        <f>IFERROR(__xludf.DUMMYFUNCTION("""COMPUTED_VALUE"""),45673.0)</f>
        <v>45673</v>
      </c>
      <c r="X190" s="144">
        <f>IFERROR(__xludf.DUMMYFUNCTION("""COMPUTED_VALUE"""),45680.0)</f>
        <v>45680</v>
      </c>
      <c r="Y190" s="144">
        <f>IFERROR(__xludf.DUMMYFUNCTION("""COMPUTED_VALUE"""),45701.0)</f>
        <v>45701</v>
      </c>
      <c r="Z190" s="131" t="str">
        <f>IFERROR(__xludf.DUMMYFUNCTION("""COMPUTED_VALUE"""),"DC40")</f>
        <v>DC40</v>
      </c>
      <c r="AA190" s="131">
        <f>IFERROR(__xludf.DUMMYFUNCTION("""COMPUTED_VALUE"""),531.0)</f>
        <v>531</v>
      </c>
      <c r="AB190" s="131">
        <f>IFERROR(__xludf.DUMMYFUNCTION("""COMPUTED_VALUE"""),531.0)</f>
        <v>531</v>
      </c>
      <c r="AC190" s="131">
        <f>IFERROR(__xludf.DUMMYFUNCTION("""COMPUTED_VALUE"""),1.0)</f>
        <v>1</v>
      </c>
      <c r="AD190" s="131">
        <f>IFERROR(__xludf.DUMMYFUNCTION("""COMPUTED_VALUE"""),1.0)</f>
        <v>1</v>
      </c>
      <c r="AE190" s="131">
        <f>IFERROR(__xludf.DUMMYFUNCTION("""COMPUTED_VALUE"""),534.0)</f>
        <v>534</v>
      </c>
      <c r="AF190" s="131">
        <f>IFERROR(__xludf.DUMMYFUNCTION("""COMPUTED_VALUE"""),534.0)</f>
        <v>534</v>
      </c>
      <c r="AG190" s="131">
        <f>IFERROR(__xludf.DUMMYFUNCTION("""COMPUTED_VALUE"""),1.0)</f>
        <v>1</v>
      </c>
      <c r="AH190" s="131">
        <f>IFERROR(__xludf.DUMMYFUNCTION("""COMPUTED_VALUE"""),1.0)</f>
        <v>1</v>
      </c>
      <c r="AI190" s="131">
        <f>IFERROR(__xludf.DUMMYFUNCTION("""COMPUTED_VALUE"""),132.0)</f>
        <v>132</v>
      </c>
      <c r="AJ190" s="131"/>
      <c r="AK190" s="131"/>
    </row>
    <row r="191">
      <c r="A191" s="145" t="str">
        <f>IFERROR(__xludf.DUMMYFUNCTION("""COMPUTED_VALUE"""),"Y")</f>
        <v>Y</v>
      </c>
      <c r="B191" s="146" t="str">
        <f>IFERROR(__xludf.DUMMYFUNCTION("""COMPUTED_VALUE"""),"4")</f>
        <v>4</v>
      </c>
      <c r="C191" s="146"/>
      <c r="D191" s="147">
        <f>IFERROR(__xludf.DUMMYFUNCTION("""COMPUTED_VALUE"""),45673.0)</f>
        <v>45673</v>
      </c>
      <c r="E191" s="147">
        <f>IFERROR(__xludf.DUMMYFUNCTION("""COMPUTED_VALUE"""),45680.0)</f>
        <v>45680</v>
      </c>
      <c r="F191" s="147">
        <f>IFERROR(__xludf.DUMMYFUNCTION("""COMPUTED_VALUE"""),45701.0)</f>
        <v>45701</v>
      </c>
      <c r="G191" s="146" t="str">
        <f>IFERROR(__xludf.DUMMYFUNCTION("""COMPUTED_VALUE"""),"DC40")</f>
        <v>DC40</v>
      </c>
      <c r="H191" s="148">
        <f>IFERROR(__xludf.DUMMYFUNCTION("""COMPUTED_VALUE"""),531.0)</f>
        <v>531</v>
      </c>
      <c r="I191" s="148">
        <f>IFERROR(__xludf.DUMMYFUNCTION("""COMPUTED_VALUE"""),531.0)</f>
        <v>531</v>
      </c>
      <c r="J191" s="146">
        <f>IFERROR(__xludf.DUMMYFUNCTION("""COMPUTED_VALUE"""),1.0)</f>
        <v>1</v>
      </c>
      <c r="K191" s="146">
        <f>IFERROR(__xludf.DUMMYFUNCTION("""COMPUTED_VALUE"""),1.0)</f>
        <v>1</v>
      </c>
      <c r="L191" s="146">
        <f>IFERROR(__xludf.DUMMYFUNCTION("""COMPUTED_VALUE"""),534.0)</f>
        <v>534</v>
      </c>
      <c r="M191" s="146">
        <f>IFERROR(__xludf.DUMMYFUNCTION("""COMPUTED_VALUE"""),534.0)</f>
        <v>534</v>
      </c>
      <c r="N191" s="146">
        <f>IFERROR(__xludf.DUMMYFUNCTION("""COMPUTED_VALUE"""),1.0)</f>
        <v>1</v>
      </c>
      <c r="O191" s="146">
        <f>IFERROR(__xludf.DUMMYFUNCTION("""COMPUTED_VALUE"""),1.0)</f>
        <v>1</v>
      </c>
      <c r="P191" s="146">
        <f>IFERROR(__xludf.DUMMYFUNCTION("""COMPUTED_VALUE"""),132.0)</f>
        <v>132</v>
      </c>
      <c r="Q191" s="146"/>
      <c r="R191" s="146"/>
      <c r="T191" s="131" t="str">
        <f>IFERROR(__xludf.DUMMYFUNCTION("""COMPUTED_VALUE"""),"Y")</f>
        <v>Y</v>
      </c>
      <c r="U191" s="131" t="str">
        <f>IFERROR(__xludf.DUMMYFUNCTION("""COMPUTED_VALUE"""),"4")</f>
        <v>4</v>
      </c>
      <c r="V191" s="131"/>
      <c r="W191" s="144">
        <f>IFERROR(__xludf.DUMMYFUNCTION("""COMPUTED_VALUE"""),45673.0)</f>
        <v>45673</v>
      </c>
      <c r="X191" s="144">
        <f>IFERROR(__xludf.DUMMYFUNCTION("""COMPUTED_VALUE"""),45680.0)</f>
        <v>45680</v>
      </c>
      <c r="Y191" s="144">
        <f>IFERROR(__xludf.DUMMYFUNCTION("""COMPUTED_VALUE"""),45701.0)</f>
        <v>45701</v>
      </c>
      <c r="Z191" s="131" t="str">
        <f>IFERROR(__xludf.DUMMYFUNCTION("""COMPUTED_VALUE"""),"DC40")</f>
        <v>DC40</v>
      </c>
      <c r="AA191" s="131">
        <f>IFERROR(__xludf.DUMMYFUNCTION("""COMPUTED_VALUE"""),571.0)</f>
        <v>571</v>
      </c>
      <c r="AB191" s="131">
        <f>IFERROR(__xludf.DUMMYFUNCTION("""COMPUTED_VALUE"""),611.0)</f>
        <v>611</v>
      </c>
      <c r="AC191" s="131">
        <f>IFERROR(__xludf.DUMMYFUNCTION("""COMPUTED_VALUE"""),21.0)</f>
        <v>21</v>
      </c>
      <c r="AD191" s="131">
        <f>IFERROR(__xludf.DUMMYFUNCTION("""COMPUTED_VALUE"""),21.0)</f>
        <v>21</v>
      </c>
      <c r="AE191" s="131">
        <f>IFERROR(__xludf.DUMMYFUNCTION("""COMPUTED_VALUE"""),566.0)</f>
        <v>566</v>
      </c>
      <c r="AF191" s="131">
        <f>IFERROR(__xludf.DUMMYFUNCTION("""COMPUTED_VALUE"""),566.0)</f>
        <v>566</v>
      </c>
      <c r="AG191" s="131">
        <f>IFERROR(__xludf.DUMMYFUNCTION("""COMPUTED_VALUE"""),1.0)</f>
        <v>1</v>
      </c>
      <c r="AH191" s="131">
        <f>IFERROR(__xludf.DUMMYFUNCTION("""COMPUTED_VALUE"""),1.0)</f>
        <v>1</v>
      </c>
      <c r="AI191" s="131">
        <f>IFERROR(__xludf.DUMMYFUNCTION("""COMPUTED_VALUE"""),132.0)</f>
        <v>132</v>
      </c>
      <c r="AJ191" s="131"/>
      <c r="AK191" s="131"/>
    </row>
    <row r="192">
      <c r="A192" s="145" t="str">
        <f>IFERROR(__xludf.DUMMYFUNCTION("""COMPUTED_VALUE"""),"Y")</f>
        <v>Y</v>
      </c>
      <c r="B192" s="146" t="str">
        <f>IFERROR(__xludf.DUMMYFUNCTION("""COMPUTED_VALUE"""),"4")</f>
        <v>4</v>
      </c>
      <c r="C192" s="146"/>
      <c r="D192" s="147">
        <f>IFERROR(__xludf.DUMMYFUNCTION("""COMPUTED_VALUE"""),45673.0)</f>
        <v>45673</v>
      </c>
      <c r="E192" s="147">
        <f>IFERROR(__xludf.DUMMYFUNCTION("""COMPUTED_VALUE"""),45680.0)</f>
        <v>45680</v>
      </c>
      <c r="F192" s="147">
        <f>IFERROR(__xludf.DUMMYFUNCTION("""COMPUTED_VALUE"""),45701.0)</f>
        <v>45701</v>
      </c>
      <c r="G192" s="146" t="str">
        <f>IFERROR(__xludf.DUMMYFUNCTION("""COMPUTED_VALUE"""),"DC40")</f>
        <v>DC40</v>
      </c>
      <c r="H192" s="148">
        <f>IFERROR(__xludf.DUMMYFUNCTION("""COMPUTED_VALUE"""),571.0)</f>
        <v>571</v>
      </c>
      <c r="I192" s="148">
        <f>IFERROR(__xludf.DUMMYFUNCTION("""COMPUTED_VALUE"""),611.0)</f>
        <v>611</v>
      </c>
      <c r="J192" s="146">
        <f>IFERROR(__xludf.DUMMYFUNCTION("""COMPUTED_VALUE"""),21.0)</f>
        <v>21</v>
      </c>
      <c r="K192" s="146">
        <f>IFERROR(__xludf.DUMMYFUNCTION("""COMPUTED_VALUE"""),21.0)</f>
        <v>21</v>
      </c>
      <c r="L192" s="146">
        <f>IFERROR(__xludf.DUMMYFUNCTION("""COMPUTED_VALUE"""),566.0)</f>
        <v>566</v>
      </c>
      <c r="M192" s="146">
        <f>IFERROR(__xludf.DUMMYFUNCTION("""COMPUTED_VALUE"""),566.0)</f>
        <v>566</v>
      </c>
      <c r="N192" s="146">
        <f>IFERROR(__xludf.DUMMYFUNCTION("""COMPUTED_VALUE"""),1.0)</f>
        <v>1</v>
      </c>
      <c r="O192" s="146">
        <f>IFERROR(__xludf.DUMMYFUNCTION("""COMPUTED_VALUE"""),1.0)</f>
        <v>1</v>
      </c>
      <c r="P192" s="146">
        <f>IFERROR(__xludf.DUMMYFUNCTION("""COMPUTED_VALUE"""),132.0)</f>
        <v>132</v>
      </c>
      <c r="Q192" s="146"/>
      <c r="R192" s="146"/>
      <c r="T192" s="131" t="str">
        <f>IFERROR(__xludf.DUMMYFUNCTION("""COMPUTED_VALUE"""),"Y")</f>
        <v>Y</v>
      </c>
      <c r="U192" s="131" t="str">
        <f>IFERROR(__xludf.DUMMYFUNCTION("""COMPUTED_VALUE"""),"4")</f>
        <v>4</v>
      </c>
      <c r="V192" s="131"/>
      <c r="W192" s="144">
        <f>IFERROR(__xludf.DUMMYFUNCTION("""COMPUTED_VALUE"""),45673.0)</f>
        <v>45673</v>
      </c>
      <c r="X192" s="144">
        <f>IFERROR(__xludf.DUMMYFUNCTION("""COMPUTED_VALUE"""),45680.0)</f>
        <v>45680</v>
      </c>
      <c r="Y192" s="144">
        <f>IFERROR(__xludf.DUMMYFUNCTION("""COMPUTED_VALUE"""),45701.0)</f>
        <v>45701</v>
      </c>
      <c r="Z192" s="131" t="str">
        <f>IFERROR(__xludf.DUMMYFUNCTION("""COMPUTED_VALUE"""),"DC40")</f>
        <v>DC40</v>
      </c>
      <c r="AA192" s="131">
        <f>IFERROR(__xludf.DUMMYFUNCTION("""COMPUTED_VALUE"""),623.0)</f>
        <v>623</v>
      </c>
      <c r="AB192" s="131">
        <f>IFERROR(__xludf.DUMMYFUNCTION("""COMPUTED_VALUE"""),639.0)</f>
        <v>639</v>
      </c>
      <c r="AC192" s="131">
        <f>IFERROR(__xludf.DUMMYFUNCTION("""COMPUTED_VALUE"""),9.0)</f>
        <v>9</v>
      </c>
      <c r="AD192" s="131">
        <f>IFERROR(__xludf.DUMMYFUNCTION("""COMPUTED_VALUE"""),9.0)</f>
        <v>9</v>
      </c>
      <c r="AE192" s="131">
        <f>IFERROR(__xludf.DUMMYFUNCTION("""COMPUTED_VALUE"""),568.0)</f>
        <v>568</v>
      </c>
      <c r="AF192" s="131">
        <f>IFERROR(__xludf.DUMMYFUNCTION("""COMPUTED_VALUE"""),568.0)</f>
        <v>568</v>
      </c>
      <c r="AG192" s="131">
        <f>IFERROR(__xludf.DUMMYFUNCTION("""COMPUTED_VALUE"""),1.0)</f>
        <v>1</v>
      </c>
      <c r="AH192" s="131">
        <f>IFERROR(__xludf.DUMMYFUNCTION("""COMPUTED_VALUE"""),1.0)</f>
        <v>1</v>
      </c>
      <c r="AI192" s="131">
        <f>IFERROR(__xludf.DUMMYFUNCTION("""COMPUTED_VALUE"""),132.0)</f>
        <v>132</v>
      </c>
      <c r="AJ192" s="131"/>
      <c r="AK192" s="131"/>
    </row>
    <row r="193">
      <c r="A193" s="145" t="str">
        <f>IFERROR(__xludf.DUMMYFUNCTION("""COMPUTED_VALUE"""),"Y")</f>
        <v>Y</v>
      </c>
      <c r="B193" s="146" t="str">
        <f>IFERROR(__xludf.DUMMYFUNCTION("""COMPUTED_VALUE"""),"4")</f>
        <v>4</v>
      </c>
      <c r="C193" s="146"/>
      <c r="D193" s="147">
        <f>IFERROR(__xludf.DUMMYFUNCTION("""COMPUTED_VALUE"""),45673.0)</f>
        <v>45673</v>
      </c>
      <c r="E193" s="147">
        <f>IFERROR(__xludf.DUMMYFUNCTION("""COMPUTED_VALUE"""),45680.0)</f>
        <v>45680</v>
      </c>
      <c r="F193" s="147">
        <f>IFERROR(__xludf.DUMMYFUNCTION("""COMPUTED_VALUE"""),45701.0)</f>
        <v>45701</v>
      </c>
      <c r="G193" s="146" t="str">
        <f>IFERROR(__xludf.DUMMYFUNCTION("""COMPUTED_VALUE"""),"DC40")</f>
        <v>DC40</v>
      </c>
      <c r="H193" s="148">
        <f>IFERROR(__xludf.DUMMYFUNCTION("""COMPUTED_VALUE"""),623.0)</f>
        <v>623</v>
      </c>
      <c r="I193" s="148">
        <f>IFERROR(__xludf.DUMMYFUNCTION("""COMPUTED_VALUE"""),639.0)</f>
        <v>639</v>
      </c>
      <c r="J193" s="146">
        <f>IFERROR(__xludf.DUMMYFUNCTION("""COMPUTED_VALUE"""),9.0)</f>
        <v>9</v>
      </c>
      <c r="K193" s="146">
        <f>IFERROR(__xludf.DUMMYFUNCTION("""COMPUTED_VALUE"""),9.0)</f>
        <v>9</v>
      </c>
      <c r="L193" s="146">
        <f>IFERROR(__xludf.DUMMYFUNCTION("""COMPUTED_VALUE"""),568.0)</f>
        <v>568</v>
      </c>
      <c r="M193" s="146">
        <f>IFERROR(__xludf.DUMMYFUNCTION("""COMPUTED_VALUE"""),568.0)</f>
        <v>568</v>
      </c>
      <c r="N193" s="146">
        <f>IFERROR(__xludf.DUMMYFUNCTION("""COMPUTED_VALUE"""),1.0)</f>
        <v>1</v>
      </c>
      <c r="O193" s="146">
        <f>IFERROR(__xludf.DUMMYFUNCTION("""COMPUTED_VALUE"""),1.0)</f>
        <v>1</v>
      </c>
      <c r="P193" s="146">
        <f>IFERROR(__xludf.DUMMYFUNCTION("""COMPUTED_VALUE"""),132.0)</f>
        <v>132</v>
      </c>
      <c r="Q193" s="146"/>
      <c r="R193" s="146"/>
      <c r="T193" s="131" t="str">
        <f>IFERROR(__xludf.DUMMYFUNCTION("""COMPUTED_VALUE"""),"Y")</f>
        <v>Y</v>
      </c>
      <c r="U193" s="131" t="str">
        <f>IFERROR(__xludf.DUMMYFUNCTION("""COMPUTED_VALUE"""),"4")</f>
        <v>4</v>
      </c>
      <c r="V193" s="131"/>
      <c r="W193" s="144">
        <f>IFERROR(__xludf.DUMMYFUNCTION("""COMPUTED_VALUE"""),45673.0)</f>
        <v>45673</v>
      </c>
      <c r="X193" s="144">
        <f>IFERROR(__xludf.DUMMYFUNCTION("""COMPUTED_VALUE"""),45680.0)</f>
        <v>45680</v>
      </c>
      <c r="Y193" s="144">
        <f>IFERROR(__xludf.DUMMYFUNCTION("""COMPUTED_VALUE"""),45701.0)</f>
        <v>45701</v>
      </c>
      <c r="Z193" s="131" t="str">
        <f>IFERROR(__xludf.DUMMYFUNCTION("""COMPUTED_VALUE"""),"DC40")</f>
        <v>DC40</v>
      </c>
      <c r="AA193" s="131"/>
      <c r="AB193" s="131"/>
      <c r="AC193" s="131"/>
      <c r="AD193" s="131"/>
      <c r="AE193" s="131"/>
      <c r="AF193" s="131"/>
      <c r="AG193" s="131"/>
      <c r="AH193" s="131"/>
      <c r="AI193" s="131">
        <f>IFERROR(__xludf.DUMMYFUNCTION("""COMPUTED_VALUE"""),132.0)</f>
        <v>132</v>
      </c>
      <c r="AJ193" s="131"/>
      <c r="AK193" s="131"/>
    </row>
    <row r="194">
      <c r="A194" s="145" t="str">
        <f>IFERROR(__xludf.DUMMYFUNCTION("""COMPUTED_VALUE"""),"Y")</f>
        <v>Y</v>
      </c>
      <c r="B194" s="146" t="str">
        <f>IFERROR(__xludf.DUMMYFUNCTION("""COMPUTED_VALUE"""),"4")</f>
        <v>4</v>
      </c>
      <c r="C194" s="146"/>
      <c r="D194" s="147">
        <f>IFERROR(__xludf.DUMMYFUNCTION("""COMPUTED_VALUE"""),45673.0)</f>
        <v>45673</v>
      </c>
      <c r="E194" s="147">
        <f>IFERROR(__xludf.DUMMYFUNCTION("""COMPUTED_VALUE"""),45680.0)</f>
        <v>45680</v>
      </c>
      <c r="F194" s="147">
        <f>IFERROR(__xludf.DUMMYFUNCTION("""COMPUTED_VALUE"""),45701.0)</f>
        <v>45701</v>
      </c>
      <c r="G194" s="146" t="str">
        <f>IFERROR(__xludf.DUMMYFUNCTION("""COMPUTED_VALUE"""),"DC40")</f>
        <v>DC40</v>
      </c>
      <c r="H194" s="148"/>
      <c r="I194" s="148"/>
      <c r="J194" s="146"/>
      <c r="K194" s="146"/>
      <c r="L194" s="146"/>
      <c r="M194" s="146"/>
      <c r="N194" s="146"/>
      <c r="O194" s="146"/>
      <c r="P194" s="146">
        <f>IFERROR(__xludf.DUMMYFUNCTION("""COMPUTED_VALUE"""),132.0)</f>
        <v>132</v>
      </c>
      <c r="Q194" s="146"/>
      <c r="R194" s="146"/>
      <c r="T194" s="131" t="str">
        <f>IFERROR(__xludf.DUMMYFUNCTION("""COMPUTED_VALUE"""),"Y")</f>
        <v>Y</v>
      </c>
      <c r="U194" s="131" t="str">
        <f>IFERROR(__xludf.DUMMYFUNCTION("""COMPUTED_VALUE"""),"4")</f>
        <v>4</v>
      </c>
      <c r="V194" s="131"/>
      <c r="W194" s="144">
        <f>IFERROR(__xludf.DUMMYFUNCTION("""COMPUTED_VALUE"""),45675.0)</f>
        <v>45675</v>
      </c>
      <c r="X194" s="144">
        <f>IFERROR(__xludf.DUMMYFUNCTION("""COMPUTED_VALUE"""),45682.0)</f>
        <v>45682</v>
      </c>
      <c r="Y194" s="144">
        <f>IFERROR(__xludf.DUMMYFUNCTION("""COMPUTED_VALUE"""),45703.0)</f>
        <v>45703</v>
      </c>
      <c r="Z194" s="131" t="str">
        <f>IFERROR(__xludf.DUMMYFUNCTION("""COMPUTED_VALUE"""),"BRG12")</f>
        <v>BRG12</v>
      </c>
      <c r="AA194" s="131">
        <f>IFERROR(__xludf.DUMMYFUNCTION("""COMPUTED_VALUE"""),2335.0)</f>
        <v>2335</v>
      </c>
      <c r="AB194" s="131">
        <f>IFERROR(__xludf.DUMMYFUNCTION("""COMPUTED_VALUE"""),2345.0)</f>
        <v>2345</v>
      </c>
      <c r="AC194" s="131">
        <f>IFERROR(__xludf.DUMMYFUNCTION("""COMPUTED_VALUE"""),6.0)</f>
        <v>6</v>
      </c>
      <c r="AD194" s="131">
        <f>IFERROR(__xludf.DUMMYFUNCTION("""COMPUTED_VALUE"""),6.0)</f>
        <v>6</v>
      </c>
      <c r="AE194" s="131">
        <f>IFERROR(__xludf.DUMMYFUNCTION("""COMPUTED_VALUE"""),2270.0)</f>
        <v>2270</v>
      </c>
      <c r="AF194" s="131">
        <f>IFERROR(__xludf.DUMMYFUNCTION("""COMPUTED_VALUE"""),2322.0)</f>
        <v>2322</v>
      </c>
      <c r="AG194" s="131">
        <f>IFERROR(__xludf.DUMMYFUNCTION("""COMPUTED_VALUE"""),27.0)</f>
        <v>27</v>
      </c>
      <c r="AH194" s="131">
        <f>IFERROR(__xludf.DUMMYFUNCTION("""COMPUTED_VALUE"""),27.0)</f>
        <v>27</v>
      </c>
      <c r="AI194" s="131">
        <f>IFERROR(__xludf.DUMMYFUNCTION("""COMPUTED_VALUE"""),133.0)</f>
        <v>133</v>
      </c>
      <c r="AJ194" s="131"/>
      <c r="AK194" s="131"/>
    </row>
    <row r="195">
      <c r="A195" s="145" t="str">
        <f>IFERROR(__xludf.DUMMYFUNCTION("""COMPUTED_VALUE"""),"Y")</f>
        <v>Y</v>
      </c>
      <c r="B195" s="146" t="str">
        <f>IFERROR(__xludf.DUMMYFUNCTION("""COMPUTED_VALUE"""),"4")</f>
        <v>4</v>
      </c>
      <c r="C195" s="146"/>
      <c r="D195" s="147">
        <f>IFERROR(__xludf.DUMMYFUNCTION("""COMPUTED_VALUE"""),45675.0)</f>
        <v>45675</v>
      </c>
      <c r="E195" s="147">
        <f>IFERROR(__xludf.DUMMYFUNCTION("""COMPUTED_VALUE"""),45682.0)</f>
        <v>45682</v>
      </c>
      <c r="F195" s="147">
        <f>IFERROR(__xludf.DUMMYFUNCTION("""COMPUTED_VALUE"""),45703.0)</f>
        <v>45703</v>
      </c>
      <c r="G195" s="146" t="str">
        <f>IFERROR(__xludf.DUMMYFUNCTION("""COMPUTED_VALUE"""),"BRG12")</f>
        <v>BRG12</v>
      </c>
      <c r="H195" s="148">
        <f>IFERROR(__xludf.DUMMYFUNCTION("""COMPUTED_VALUE"""),2335.0)</f>
        <v>2335</v>
      </c>
      <c r="I195" s="148">
        <f>IFERROR(__xludf.DUMMYFUNCTION("""COMPUTED_VALUE"""),2345.0)</f>
        <v>2345</v>
      </c>
      <c r="J195" s="146">
        <f>IFERROR(__xludf.DUMMYFUNCTION("""COMPUTED_VALUE"""),6.0)</f>
        <v>6</v>
      </c>
      <c r="K195" s="146">
        <f>IFERROR(__xludf.DUMMYFUNCTION("""COMPUTED_VALUE"""),6.0)</f>
        <v>6</v>
      </c>
      <c r="L195" s="146">
        <f>IFERROR(__xludf.DUMMYFUNCTION("""COMPUTED_VALUE"""),2270.0)</f>
        <v>2270</v>
      </c>
      <c r="M195" s="146">
        <f>IFERROR(__xludf.DUMMYFUNCTION("""COMPUTED_VALUE"""),2322.0)</f>
        <v>2322</v>
      </c>
      <c r="N195" s="146">
        <f>IFERROR(__xludf.DUMMYFUNCTION("""COMPUTED_VALUE"""),27.0)</f>
        <v>27</v>
      </c>
      <c r="O195" s="146">
        <f>IFERROR(__xludf.DUMMYFUNCTION("""COMPUTED_VALUE"""),27.0)</f>
        <v>27</v>
      </c>
      <c r="P195" s="146">
        <f>IFERROR(__xludf.DUMMYFUNCTION("""COMPUTED_VALUE"""),133.0)</f>
        <v>133</v>
      </c>
      <c r="Q195" s="146"/>
      <c r="R195" s="146"/>
      <c r="T195" s="131" t="str">
        <f>IFERROR(__xludf.DUMMYFUNCTION("""COMPUTED_VALUE"""),"Y")</f>
        <v>Y</v>
      </c>
      <c r="U195" s="131" t="str">
        <f>IFERROR(__xludf.DUMMYFUNCTION("""COMPUTED_VALUE"""),"4")</f>
        <v>4</v>
      </c>
      <c r="V195" s="131"/>
      <c r="W195" s="144">
        <f>IFERROR(__xludf.DUMMYFUNCTION("""COMPUTED_VALUE"""),45675.0)</f>
        <v>45675</v>
      </c>
      <c r="X195" s="144">
        <f>IFERROR(__xludf.DUMMYFUNCTION("""COMPUTED_VALUE"""),45682.0)</f>
        <v>45682</v>
      </c>
      <c r="Y195" s="144">
        <f>IFERROR(__xludf.DUMMYFUNCTION("""COMPUTED_VALUE"""),45703.0)</f>
        <v>45703</v>
      </c>
      <c r="Z195" s="131" t="str">
        <f>IFERROR(__xludf.DUMMYFUNCTION("""COMPUTED_VALUE"""),"DC40")</f>
        <v>DC40</v>
      </c>
      <c r="AA195" s="131">
        <f>IFERROR(__xludf.DUMMYFUNCTION("""COMPUTED_VALUE"""),643.0)</f>
        <v>643</v>
      </c>
      <c r="AB195" s="131">
        <f>IFERROR(__xludf.DUMMYFUNCTION("""COMPUTED_VALUE"""),655.0)</f>
        <v>655</v>
      </c>
      <c r="AC195" s="131">
        <f>IFERROR(__xludf.DUMMYFUNCTION("""COMPUTED_VALUE"""),7.0)</f>
        <v>7</v>
      </c>
      <c r="AD195" s="131">
        <f>IFERROR(__xludf.DUMMYFUNCTION("""COMPUTED_VALUE"""),7.0)</f>
        <v>7</v>
      </c>
      <c r="AE195" s="131">
        <f>IFERROR(__xludf.DUMMYFUNCTION("""COMPUTED_VALUE"""),622.0)</f>
        <v>622</v>
      </c>
      <c r="AF195" s="131">
        <f>IFERROR(__xludf.DUMMYFUNCTION("""COMPUTED_VALUE"""),640.0)</f>
        <v>640</v>
      </c>
      <c r="AG195" s="131">
        <f>IFERROR(__xludf.DUMMYFUNCTION("""COMPUTED_VALUE"""),10.0)</f>
        <v>10</v>
      </c>
      <c r="AH195" s="131">
        <f>IFERROR(__xludf.DUMMYFUNCTION("""COMPUTED_VALUE"""),10.0)</f>
        <v>10</v>
      </c>
      <c r="AI195" s="131">
        <f>IFERROR(__xludf.DUMMYFUNCTION("""COMPUTED_VALUE"""),134.0)</f>
        <v>134</v>
      </c>
      <c r="AJ195" s="131"/>
      <c r="AK195" s="131"/>
    </row>
    <row r="196">
      <c r="A196" s="145" t="str">
        <f>IFERROR(__xludf.DUMMYFUNCTION("""COMPUTED_VALUE"""),"Y")</f>
        <v>Y</v>
      </c>
      <c r="B196" s="146" t="str">
        <f>IFERROR(__xludf.DUMMYFUNCTION("""COMPUTED_VALUE"""),"4")</f>
        <v>4</v>
      </c>
      <c r="C196" s="146"/>
      <c r="D196" s="147">
        <f>IFERROR(__xludf.DUMMYFUNCTION("""COMPUTED_VALUE"""),45675.0)</f>
        <v>45675</v>
      </c>
      <c r="E196" s="147">
        <f>IFERROR(__xludf.DUMMYFUNCTION("""COMPUTED_VALUE"""),45682.0)</f>
        <v>45682</v>
      </c>
      <c r="F196" s="147">
        <f>IFERROR(__xludf.DUMMYFUNCTION("""COMPUTED_VALUE"""),45703.0)</f>
        <v>45703</v>
      </c>
      <c r="G196" s="146" t="str">
        <f>IFERROR(__xludf.DUMMYFUNCTION("""COMPUTED_VALUE"""),"DC40")</f>
        <v>DC40</v>
      </c>
      <c r="H196" s="148">
        <f>IFERROR(__xludf.DUMMYFUNCTION("""COMPUTED_VALUE"""),643.0)</f>
        <v>643</v>
      </c>
      <c r="I196" s="148">
        <f>IFERROR(__xludf.DUMMYFUNCTION("""COMPUTED_VALUE"""),655.0)</f>
        <v>655</v>
      </c>
      <c r="J196" s="146">
        <f>IFERROR(__xludf.DUMMYFUNCTION("""COMPUTED_VALUE"""),7.0)</f>
        <v>7</v>
      </c>
      <c r="K196" s="146">
        <f>IFERROR(__xludf.DUMMYFUNCTION("""COMPUTED_VALUE"""),7.0)</f>
        <v>7</v>
      </c>
      <c r="L196" s="146">
        <f>IFERROR(__xludf.DUMMYFUNCTION("""COMPUTED_VALUE"""),622.0)</f>
        <v>622</v>
      </c>
      <c r="M196" s="146">
        <f>IFERROR(__xludf.DUMMYFUNCTION("""COMPUTED_VALUE"""),640.0)</f>
        <v>640</v>
      </c>
      <c r="N196" s="146">
        <f>IFERROR(__xludf.DUMMYFUNCTION("""COMPUTED_VALUE"""),10.0)</f>
        <v>10</v>
      </c>
      <c r="O196" s="146">
        <f>IFERROR(__xludf.DUMMYFUNCTION("""COMPUTED_VALUE"""),10.0)</f>
        <v>10</v>
      </c>
      <c r="P196" s="146">
        <f>IFERROR(__xludf.DUMMYFUNCTION("""COMPUTED_VALUE"""),134.0)</f>
        <v>134</v>
      </c>
      <c r="Q196" s="146"/>
      <c r="R196" s="146"/>
      <c r="T196" s="131" t="str">
        <f>IFERROR(__xludf.DUMMYFUNCTION("""COMPUTED_VALUE"""),"Y")</f>
        <v>Y</v>
      </c>
      <c r="U196" s="131" t="str">
        <f>IFERROR(__xludf.DUMMYFUNCTION("""COMPUTED_VALUE"""),"4")</f>
        <v>4</v>
      </c>
      <c r="V196" s="131"/>
      <c r="W196" s="144">
        <f>IFERROR(__xludf.DUMMYFUNCTION("""COMPUTED_VALUE"""),45675.0)</f>
        <v>45675</v>
      </c>
      <c r="X196" s="144">
        <f>IFERROR(__xludf.DUMMYFUNCTION("""COMPUTED_VALUE"""),45682.0)</f>
        <v>45682</v>
      </c>
      <c r="Y196" s="144">
        <f>IFERROR(__xludf.DUMMYFUNCTION("""COMPUTED_VALUE"""),45703.0)</f>
        <v>45703</v>
      </c>
      <c r="Z196" s="131" t="str">
        <f>IFERROR(__xludf.DUMMYFUNCTION("""COMPUTED_VALUE"""),"DC40")</f>
        <v>DC40</v>
      </c>
      <c r="AA196" s="131"/>
      <c r="AB196" s="131"/>
      <c r="AC196" s="131"/>
      <c r="AD196" s="131"/>
      <c r="AE196" s="131">
        <f>IFERROR(__xludf.DUMMYFUNCTION("""COMPUTED_VALUE"""),658.0)</f>
        <v>658</v>
      </c>
      <c r="AF196" s="131">
        <f>IFERROR(__xludf.DUMMYFUNCTION("""COMPUTED_VALUE"""),680.0)</f>
        <v>680</v>
      </c>
      <c r="AG196" s="131">
        <f>IFERROR(__xludf.DUMMYFUNCTION("""COMPUTED_VALUE"""),12.0)</f>
        <v>12</v>
      </c>
      <c r="AH196" s="131">
        <f>IFERROR(__xludf.DUMMYFUNCTION("""COMPUTED_VALUE"""),12.0)</f>
        <v>12</v>
      </c>
      <c r="AI196" s="131">
        <f>IFERROR(__xludf.DUMMYFUNCTION("""COMPUTED_VALUE"""),134.0)</f>
        <v>134</v>
      </c>
      <c r="AJ196" s="131"/>
      <c r="AK196" s="131"/>
    </row>
    <row r="197">
      <c r="A197" s="145" t="str">
        <f>IFERROR(__xludf.DUMMYFUNCTION("""COMPUTED_VALUE"""),"Y")</f>
        <v>Y</v>
      </c>
      <c r="B197" s="146" t="str">
        <f>IFERROR(__xludf.DUMMYFUNCTION("""COMPUTED_VALUE"""),"4")</f>
        <v>4</v>
      </c>
      <c r="C197" s="146"/>
      <c r="D197" s="147">
        <f>IFERROR(__xludf.DUMMYFUNCTION("""COMPUTED_VALUE"""),45675.0)</f>
        <v>45675</v>
      </c>
      <c r="E197" s="147">
        <f>IFERROR(__xludf.DUMMYFUNCTION("""COMPUTED_VALUE"""),45682.0)</f>
        <v>45682</v>
      </c>
      <c r="F197" s="147">
        <f>IFERROR(__xludf.DUMMYFUNCTION("""COMPUTED_VALUE"""),45703.0)</f>
        <v>45703</v>
      </c>
      <c r="G197" s="146" t="str">
        <f>IFERROR(__xludf.DUMMYFUNCTION("""COMPUTED_VALUE"""),"DC40")</f>
        <v>DC40</v>
      </c>
      <c r="H197" s="148"/>
      <c r="I197" s="148"/>
      <c r="J197" s="146"/>
      <c r="K197" s="146"/>
      <c r="L197" s="146">
        <f>IFERROR(__xludf.DUMMYFUNCTION("""COMPUTED_VALUE"""),658.0)</f>
        <v>658</v>
      </c>
      <c r="M197" s="146">
        <f>IFERROR(__xludf.DUMMYFUNCTION("""COMPUTED_VALUE"""),680.0)</f>
        <v>680</v>
      </c>
      <c r="N197" s="146">
        <f>IFERROR(__xludf.DUMMYFUNCTION("""COMPUTED_VALUE"""),12.0)</f>
        <v>12</v>
      </c>
      <c r="O197" s="146">
        <f>IFERROR(__xludf.DUMMYFUNCTION("""COMPUTED_VALUE"""),12.0)</f>
        <v>12</v>
      </c>
      <c r="P197" s="146">
        <f>IFERROR(__xludf.DUMMYFUNCTION("""COMPUTED_VALUE"""),134.0)</f>
        <v>134</v>
      </c>
      <c r="Q197" s="146"/>
      <c r="R197" s="146"/>
      <c r="T197" s="131" t="str">
        <f>IFERROR(__xludf.DUMMYFUNCTION("""COMPUTED_VALUE"""),"Y")</f>
        <v>Y</v>
      </c>
      <c r="U197" s="131" t="str">
        <f>IFERROR(__xludf.DUMMYFUNCTION("""COMPUTED_VALUE"""),"4")</f>
        <v>4</v>
      </c>
      <c r="V197" s="131"/>
      <c r="W197" s="144">
        <f>IFERROR(__xludf.DUMMYFUNCTION("""COMPUTED_VALUE"""),45675.0)</f>
        <v>45675</v>
      </c>
      <c r="X197" s="144">
        <f>IFERROR(__xludf.DUMMYFUNCTION("""COMPUTED_VALUE"""),45682.0)</f>
        <v>45682</v>
      </c>
      <c r="Y197" s="144">
        <f>IFERROR(__xludf.DUMMYFUNCTION("""COMPUTED_VALUE"""),45703.0)</f>
        <v>45703</v>
      </c>
      <c r="Z197" s="131" t="str">
        <f>IFERROR(__xludf.DUMMYFUNCTION("""COMPUTED_VALUE"""),"DC40")</f>
        <v>DC40</v>
      </c>
      <c r="AA197" s="131"/>
      <c r="AB197" s="131"/>
      <c r="AC197" s="131"/>
      <c r="AD197" s="131"/>
      <c r="AE197" s="131">
        <f>IFERROR(__xludf.DUMMYFUNCTION("""COMPUTED_VALUE"""),613.0)</f>
        <v>613</v>
      </c>
      <c r="AF197" s="131">
        <f>IFERROR(__xludf.DUMMYFUNCTION("""COMPUTED_VALUE"""),613.0)</f>
        <v>613</v>
      </c>
      <c r="AG197" s="131">
        <f>IFERROR(__xludf.DUMMYFUNCTION("""COMPUTED_VALUE"""),1.0)</f>
        <v>1</v>
      </c>
      <c r="AH197" s="131">
        <f>IFERROR(__xludf.DUMMYFUNCTION("""COMPUTED_VALUE"""),1.0)</f>
        <v>1</v>
      </c>
      <c r="AI197" s="131">
        <f>IFERROR(__xludf.DUMMYFUNCTION("""COMPUTED_VALUE"""),134.0)</f>
        <v>134</v>
      </c>
      <c r="AJ197" s="131"/>
      <c r="AK197" s="131"/>
    </row>
    <row r="198">
      <c r="A198" s="145" t="str">
        <f>IFERROR(__xludf.DUMMYFUNCTION("""COMPUTED_VALUE"""),"Y")</f>
        <v>Y</v>
      </c>
      <c r="B198" s="146" t="str">
        <f>IFERROR(__xludf.DUMMYFUNCTION("""COMPUTED_VALUE"""),"4")</f>
        <v>4</v>
      </c>
      <c r="C198" s="146"/>
      <c r="D198" s="147">
        <f>IFERROR(__xludf.DUMMYFUNCTION("""COMPUTED_VALUE"""),45675.0)</f>
        <v>45675</v>
      </c>
      <c r="E198" s="147">
        <f>IFERROR(__xludf.DUMMYFUNCTION("""COMPUTED_VALUE"""),45682.0)</f>
        <v>45682</v>
      </c>
      <c r="F198" s="147">
        <f>IFERROR(__xludf.DUMMYFUNCTION("""COMPUTED_VALUE"""),45703.0)</f>
        <v>45703</v>
      </c>
      <c r="G198" s="146" t="str">
        <f>IFERROR(__xludf.DUMMYFUNCTION("""COMPUTED_VALUE"""),"DC40")</f>
        <v>DC40</v>
      </c>
      <c r="H198" s="148"/>
      <c r="I198" s="148"/>
      <c r="J198" s="146"/>
      <c r="K198" s="146"/>
      <c r="L198" s="146">
        <f>IFERROR(__xludf.DUMMYFUNCTION("""COMPUTED_VALUE"""),613.0)</f>
        <v>613</v>
      </c>
      <c r="M198" s="146">
        <f>IFERROR(__xludf.DUMMYFUNCTION("""COMPUTED_VALUE"""),613.0)</f>
        <v>613</v>
      </c>
      <c r="N198" s="146">
        <f>IFERROR(__xludf.DUMMYFUNCTION("""COMPUTED_VALUE"""),1.0)</f>
        <v>1</v>
      </c>
      <c r="O198" s="146">
        <f>IFERROR(__xludf.DUMMYFUNCTION("""COMPUTED_VALUE"""),1.0)</f>
        <v>1</v>
      </c>
      <c r="P198" s="146">
        <f>IFERROR(__xludf.DUMMYFUNCTION("""COMPUTED_VALUE"""),134.0)</f>
        <v>134</v>
      </c>
      <c r="Q198" s="146"/>
      <c r="R198" s="146"/>
      <c r="T198" s="131" t="str">
        <f>IFERROR(__xludf.DUMMYFUNCTION("""COMPUTED_VALUE"""),"Y")</f>
        <v>Y</v>
      </c>
      <c r="U198" s="131" t="str">
        <f>IFERROR(__xludf.DUMMYFUNCTION("""COMPUTED_VALUE"""),"4")</f>
        <v>4</v>
      </c>
      <c r="V198" s="131"/>
      <c r="W198" s="144">
        <f>IFERROR(__xludf.DUMMYFUNCTION("""COMPUTED_VALUE"""),45676.0)</f>
        <v>45676</v>
      </c>
      <c r="X198" s="144">
        <f>IFERROR(__xludf.DUMMYFUNCTION("""COMPUTED_VALUE"""),45683.0)</f>
        <v>45683</v>
      </c>
      <c r="Y198" s="144">
        <f>IFERROR(__xludf.DUMMYFUNCTION("""COMPUTED_VALUE"""),45704.0)</f>
        <v>45704</v>
      </c>
      <c r="Z198" s="131" t="str">
        <f>IFERROR(__xludf.DUMMYFUNCTION("""COMPUTED_VALUE"""),"D35-3R")</f>
        <v>D35-3R</v>
      </c>
      <c r="AA198" s="131">
        <f>IFERROR(__xludf.DUMMYFUNCTION("""COMPUTED_VALUE"""),81.0)</f>
        <v>81</v>
      </c>
      <c r="AB198" s="131">
        <f>IFERROR(__xludf.DUMMYFUNCTION("""COMPUTED_VALUE"""),97.0)</f>
        <v>97</v>
      </c>
      <c r="AC198" s="131">
        <f>IFERROR(__xludf.DUMMYFUNCTION("""COMPUTED_VALUE"""),9.0)</f>
        <v>9</v>
      </c>
      <c r="AD198" s="131">
        <f>IFERROR(__xludf.DUMMYFUNCTION("""COMPUTED_VALUE"""),9.0)</f>
        <v>9</v>
      </c>
      <c r="AE198" s="131">
        <f>IFERROR(__xludf.DUMMYFUNCTION("""COMPUTED_VALUE"""),106.0)</f>
        <v>106</v>
      </c>
      <c r="AF198" s="131">
        <f>IFERROR(__xludf.DUMMYFUNCTION("""COMPUTED_VALUE"""),170.0)</f>
        <v>170</v>
      </c>
      <c r="AG198" s="131">
        <f>IFERROR(__xludf.DUMMYFUNCTION("""COMPUTED_VALUE"""),33.0)</f>
        <v>33</v>
      </c>
      <c r="AH198" s="131">
        <f>IFERROR(__xludf.DUMMYFUNCTION("""COMPUTED_VALUE"""),33.0)</f>
        <v>33</v>
      </c>
      <c r="AI198" s="131"/>
      <c r="AJ198" s="131"/>
      <c r="AK198" s="131"/>
    </row>
    <row r="199">
      <c r="A199" s="145" t="str">
        <f>IFERROR(__xludf.DUMMYFUNCTION("""COMPUTED_VALUE"""),"Y")</f>
        <v>Y</v>
      </c>
      <c r="B199" s="146" t="str">
        <f>IFERROR(__xludf.DUMMYFUNCTION("""COMPUTED_VALUE"""),"4")</f>
        <v>4</v>
      </c>
      <c r="C199" s="146"/>
      <c r="D199" s="147">
        <f>IFERROR(__xludf.DUMMYFUNCTION("""COMPUTED_VALUE"""),45676.0)</f>
        <v>45676</v>
      </c>
      <c r="E199" s="147">
        <f>IFERROR(__xludf.DUMMYFUNCTION("""COMPUTED_VALUE"""),45683.0)</f>
        <v>45683</v>
      </c>
      <c r="F199" s="147">
        <f>IFERROR(__xludf.DUMMYFUNCTION("""COMPUTED_VALUE"""),45704.0)</f>
        <v>45704</v>
      </c>
      <c r="G199" s="146" t="str">
        <f>IFERROR(__xludf.DUMMYFUNCTION("""COMPUTED_VALUE"""),"D35-3R")</f>
        <v>D35-3R</v>
      </c>
      <c r="H199" s="148">
        <f>IFERROR(__xludf.DUMMYFUNCTION("""COMPUTED_VALUE"""),81.0)</f>
        <v>81</v>
      </c>
      <c r="I199" s="148">
        <f>IFERROR(__xludf.DUMMYFUNCTION("""COMPUTED_VALUE"""),97.0)</f>
        <v>97</v>
      </c>
      <c r="J199" s="146">
        <f>IFERROR(__xludf.DUMMYFUNCTION("""COMPUTED_VALUE"""),9.0)</f>
        <v>9</v>
      </c>
      <c r="K199" s="146">
        <f>IFERROR(__xludf.DUMMYFUNCTION("""COMPUTED_VALUE"""),9.0)</f>
        <v>9</v>
      </c>
      <c r="L199" s="146">
        <f>IFERROR(__xludf.DUMMYFUNCTION("""COMPUTED_VALUE"""),106.0)</f>
        <v>106</v>
      </c>
      <c r="M199" s="146">
        <f>IFERROR(__xludf.DUMMYFUNCTION("""COMPUTED_VALUE"""),170.0)</f>
        <v>170</v>
      </c>
      <c r="N199" s="146">
        <f>IFERROR(__xludf.DUMMYFUNCTION("""COMPUTED_VALUE"""),33.0)</f>
        <v>33</v>
      </c>
      <c r="O199" s="146">
        <f>IFERROR(__xludf.DUMMYFUNCTION("""COMPUTED_VALUE"""),33.0)</f>
        <v>33</v>
      </c>
      <c r="P199" s="146"/>
      <c r="Q199" s="146"/>
      <c r="R199" s="146"/>
      <c r="T199" s="131" t="str">
        <f>IFERROR(__xludf.DUMMYFUNCTION("""COMPUTED_VALUE"""),"Y")</f>
        <v>Y</v>
      </c>
      <c r="U199" s="131" t="str">
        <f>IFERROR(__xludf.DUMMYFUNCTION("""COMPUTED_VALUE"""),"4")</f>
        <v>4</v>
      </c>
      <c r="V199" s="131"/>
      <c r="W199" s="144">
        <f>IFERROR(__xludf.DUMMYFUNCTION("""COMPUTED_VALUE"""),45676.0)</f>
        <v>45676</v>
      </c>
      <c r="X199" s="144">
        <f>IFERROR(__xludf.DUMMYFUNCTION("""COMPUTED_VALUE"""),45683.0)</f>
        <v>45683</v>
      </c>
      <c r="Y199" s="144">
        <f>IFERROR(__xludf.DUMMYFUNCTION("""COMPUTED_VALUE"""),45704.0)</f>
        <v>45704</v>
      </c>
      <c r="Z199" s="131" t="str">
        <f>IFERROR(__xludf.DUMMYFUNCTION("""COMPUTED_VALUE"""),"D35-3R")</f>
        <v>D35-3R</v>
      </c>
      <c r="AA199" s="131">
        <f>IFERROR(__xludf.DUMMYFUNCTION("""COMPUTED_VALUE"""),173.0)</f>
        <v>173</v>
      </c>
      <c r="AB199" s="131">
        <f>IFERROR(__xludf.DUMMYFUNCTION("""COMPUTED_VALUE"""),247.0)</f>
        <v>247</v>
      </c>
      <c r="AC199" s="131">
        <f>IFERROR(__xludf.DUMMYFUNCTION("""COMPUTED_VALUE"""),38.0)</f>
        <v>38</v>
      </c>
      <c r="AD199" s="131">
        <f>IFERROR(__xludf.DUMMYFUNCTION("""COMPUTED_VALUE"""),38.0)</f>
        <v>38</v>
      </c>
      <c r="AE199" s="131"/>
      <c r="AF199" s="131"/>
      <c r="AG199" s="131"/>
      <c r="AH199" s="131"/>
      <c r="AI199" s="131"/>
      <c r="AJ199" s="131"/>
      <c r="AK199" s="131"/>
    </row>
    <row r="200">
      <c r="A200" s="145" t="str">
        <f>IFERROR(__xludf.DUMMYFUNCTION("""COMPUTED_VALUE"""),"Y")</f>
        <v>Y</v>
      </c>
      <c r="B200" s="146" t="str">
        <f>IFERROR(__xludf.DUMMYFUNCTION("""COMPUTED_VALUE"""),"4")</f>
        <v>4</v>
      </c>
      <c r="C200" s="146"/>
      <c r="D200" s="147">
        <f>IFERROR(__xludf.DUMMYFUNCTION("""COMPUTED_VALUE"""),45676.0)</f>
        <v>45676</v>
      </c>
      <c r="E200" s="147">
        <f>IFERROR(__xludf.DUMMYFUNCTION("""COMPUTED_VALUE"""),45683.0)</f>
        <v>45683</v>
      </c>
      <c r="F200" s="147">
        <f>IFERROR(__xludf.DUMMYFUNCTION("""COMPUTED_VALUE"""),45704.0)</f>
        <v>45704</v>
      </c>
      <c r="G200" s="146" t="str">
        <f>IFERROR(__xludf.DUMMYFUNCTION("""COMPUTED_VALUE"""),"D35-3R")</f>
        <v>D35-3R</v>
      </c>
      <c r="H200" s="148">
        <f>IFERROR(__xludf.DUMMYFUNCTION("""COMPUTED_VALUE"""),173.0)</f>
        <v>173</v>
      </c>
      <c r="I200" s="148">
        <f>IFERROR(__xludf.DUMMYFUNCTION("""COMPUTED_VALUE"""),247.0)</f>
        <v>247</v>
      </c>
      <c r="J200" s="146">
        <f>IFERROR(__xludf.DUMMYFUNCTION("""COMPUTED_VALUE"""),38.0)</f>
        <v>38</v>
      </c>
      <c r="K200" s="146">
        <f>IFERROR(__xludf.DUMMYFUNCTION("""COMPUTED_VALUE"""),38.0)</f>
        <v>38</v>
      </c>
      <c r="L200" s="146"/>
      <c r="M200" s="146"/>
      <c r="N200" s="146"/>
      <c r="O200" s="146"/>
      <c r="P200" s="146"/>
      <c r="Q200" s="146"/>
      <c r="R200" s="146"/>
      <c r="T200" s="131" t="str">
        <f>IFERROR(__xludf.DUMMYFUNCTION("""COMPUTED_VALUE"""),"Y")</f>
        <v>Y</v>
      </c>
      <c r="U200" s="131" t="str">
        <f>IFERROR(__xludf.DUMMYFUNCTION("""COMPUTED_VALUE"""),"4")</f>
        <v>4</v>
      </c>
      <c r="V200" s="131"/>
      <c r="W200" s="144">
        <f>IFERROR(__xludf.DUMMYFUNCTION("""COMPUTED_VALUE"""),45676.0)</f>
        <v>45676</v>
      </c>
      <c r="X200" s="144">
        <f>IFERROR(__xludf.DUMMYFUNCTION("""COMPUTED_VALUE"""),45683.0)</f>
        <v>45683</v>
      </c>
      <c r="Y200" s="144">
        <f>IFERROR(__xludf.DUMMYFUNCTION("""COMPUTED_VALUE"""),45704.0)</f>
        <v>45704</v>
      </c>
      <c r="Z200" s="131" t="str">
        <f>IFERROR(__xludf.DUMMYFUNCTION("""COMPUTED_VALUE"""),"BRG12")</f>
        <v>BRG12</v>
      </c>
      <c r="AA200" s="131">
        <f>IFERROR(__xludf.DUMMYFUNCTION("""COMPUTED_VALUE"""),2347.0)</f>
        <v>2347</v>
      </c>
      <c r="AB200" s="131">
        <f>IFERROR(__xludf.DUMMYFUNCTION("""COMPUTED_VALUE"""),2407.0)</f>
        <v>2407</v>
      </c>
      <c r="AC200" s="131">
        <f>IFERROR(__xludf.DUMMYFUNCTION("""COMPUTED_VALUE"""),31.0)</f>
        <v>31</v>
      </c>
      <c r="AD200" s="131">
        <f>IFERROR(__xludf.DUMMYFUNCTION("""COMPUTED_VALUE"""),31.0)</f>
        <v>31</v>
      </c>
      <c r="AE200" s="131">
        <f>IFERROR(__xludf.DUMMYFUNCTION("""COMPUTED_VALUE"""),2324.0)</f>
        <v>2324</v>
      </c>
      <c r="AF200" s="131">
        <f>IFERROR(__xludf.DUMMYFUNCTION("""COMPUTED_VALUE"""),2340.0)</f>
        <v>2340</v>
      </c>
      <c r="AG200" s="131">
        <f>IFERROR(__xludf.DUMMYFUNCTION("""COMPUTED_VALUE"""),9.0)</f>
        <v>9</v>
      </c>
      <c r="AH200" s="131">
        <f>IFERROR(__xludf.DUMMYFUNCTION("""COMPUTED_VALUE"""),9.0)</f>
        <v>9</v>
      </c>
      <c r="AI200" s="131">
        <f>IFERROR(__xludf.DUMMYFUNCTION("""COMPUTED_VALUE"""),135.0)</f>
        <v>135</v>
      </c>
      <c r="AJ200" s="131"/>
      <c r="AK200" s="131"/>
    </row>
    <row r="201">
      <c r="A201" s="145" t="str">
        <f>IFERROR(__xludf.DUMMYFUNCTION("""COMPUTED_VALUE"""),"Y")</f>
        <v>Y</v>
      </c>
      <c r="B201" s="146" t="str">
        <f>IFERROR(__xludf.DUMMYFUNCTION("""COMPUTED_VALUE"""),"4")</f>
        <v>4</v>
      </c>
      <c r="C201" s="146"/>
      <c r="D201" s="147">
        <f>IFERROR(__xludf.DUMMYFUNCTION("""COMPUTED_VALUE"""),45676.0)</f>
        <v>45676</v>
      </c>
      <c r="E201" s="147">
        <f>IFERROR(__xludf.DUMMYFUNCTION("""COMPUTED_VALUE"""),45683.0)</f>
        <v>45683</v>
      </c>
      <c r="F201" s="147">
        <f>IFERROR(__xludf.DUMMYFUNCTION("""COMPUTED_VALUE"""),45704.0)</f>
        <v>45704</v>
      </c>
      <c r="G201" s="146" t="str">
        <f>IFERROR(__xludf.DUMMYFUNCTION("""COMPUTED_VALUE"""),"BRG12")</f>
        <v>BRG12</v>
      </c>
      <c r="H201" s="148">
        <f>IFERROR(__xludf.DUMMYFUNCTION("""COMPUTED_VALUE"""),2347.0)</f>
        <v>2347</v>
      </c>
      <c r="I201" s="148">
        <f>IFERROR(__xludf.DUMMYFUNCTION("""COMPUTED_VALUE"""),2407.0)</f>
        <v>2407</v>
      </c>
      <c r="J201" s="146">
        <f>IFERROR(__xludf.DUMMYFUNCTION("""COMPUTED_VALUE"""),31.0)</f>
        <v>31</v>
      </c>
      <c r="K201" s="146">
        <f>IFERROR(__xludf.DUMMYFUNCTION("""COMPUTED_VALUE"""),31.0)</f>
        <v>31</v>
      </c>
      <c r="L201" s="146">
        <f>IFERROR(__xludf.DUMMYFUNCTION("""COMPUTED_VALUE"""),2324.0)</f>
        <v>2324</v>
      </c>
      <c r="M201" s="146">
        <f>IFERROR(__xludf.DUMMYFUNCTION("""COMPUTED_VALUE"""),2340.0)</f>
        <v>2340</v>
      </c>
      <c r="N201" s="146">
        <f>IFERROR(__xludf.DUMMYFUNCTION("""COMPUTED_VALUE"""),9.0)</f>
        <v>9</v>
      </c>
      <c r="O201" s="146">
        <f>IFERROR(__xludf.DUMMYFUNCTION("""COMPUTED_VALUE"""),9.0)</f>
        <v>9</v>
      </c>
      <c r="P201" s="146">
        <f>IFERROR(__xludf.DUMMYFUNCTION("""COMPUTED_VALUE"""),135.0)</f>
        <v>135</v>
      </c>
      <c r="Q201" s="146"/>
      <c r="R201" s="146"/>
      <c r="T201" s="131" t="str">
        <f>IFERROR(__xludf.DUMMYFUNCTION("""COMPUTED_VALUE"""),"Y")</f>
        <v>Y</v>
      </c>
      <c r="U201" s="131" t="str">
        <f>IFERROR(__xludf.DUMMYFUNCTION("""COMPUTED_VALUE"""),"4")</f>
        <v>4</v>
      </c>
      <c r="V201" s="131"/>
      <c r="W201" s="144">
        <f>IFERROR(__xludf.DUMMYFUNCTION("""COMPUTED_VALUE"""),45677.0)</f>
        <v>45677</v>
      </c>
      <c r="X201" s="144">
        <f>IFERROR(__xludf.DUMMYFUNCTION("""COMPUTED_VALUE"""),45684.0)</f>
        <v>45684</v>
      </c>
      <c r="Y201" s="144">
        <f>IFERROR(__xludf.DUMMYFUNCTION("""COMPUTED_VALUE"""),45705.0)</f>
        <v>45705</v>
      </c>
      <c r="Z201" s="131" t="str">
        <f>IFERROR(__xludf.DUMMYFUNCTION("""COMPUTED_VALUE"""),"BRG12")</f>
        <v>BRG12</v>
      </c>
      <c r="AA201" s="131"/>
      <c r="AB201" s="131"/>
      <c r="AC201" s="131"/>
      <c r="AD201" s="131"/>
      <c r="AE201" s="131">
        <f>IFERROR(__xludf.DUMMYFUNCTION("""COMPUTED_VALUE"""),2342.0)</f>
        <v>2342</v>
      </c>
      <c r="AF201" s="131">
        <f>IFERROR(__xludf.DUMMYFUNCTION("""COMPUTED_VALUE"""),2406.0)</f>
        <v>2406</v>
      </c>
      <c r="AG201" s="131">
        <f>IFERROR(__xludf.DUMMYFUNCTION("""COMPUTED_VALUE"""),33.0)</f>
        <v>33</v>
      </c>
      <c r="AH201" s="131">
        <f>IFERROR(__xludf.DUMMYFUNCTION("""COMPUTED_VALUE"""),33.0)</f>
        <v>33</v>
      </c>
      <c r="AI201" s="131">
        <f>IFERROR(__xludf.DUMMYFUNCTION("""COMPUTED_VALUE"""),140.0)</f>
        <v>140</v>
      </c>
      <c r="AJ201" s="131"/>
      <c r="AK201" s="131"/>
    </row>
    <row r="202">
      <c r="A202" s="145" t="str">
        <f>IFERROR(__xludf.DUMMYFUNCTION("""COMPUTED_VALUE"""),"Y")</f>
        <v>Y</v>
      </c>
      <c r="B202" s="146" t="str">
        <f>IFERROR(__xludf.DUMMYFUNCTION("""COMPUTED_VALUE"""),"4")</f>
        <v>4</v>
      </c>
      <c r="C202" s="146"/>
      <c r="D202" s="147">
        <f>IFERROR(__xludf.DUMMYFUNCTION("""COMPUTED_VALUE"""),45677.0)</f>
        <v>45677</v>
      </c>
      <c r="E202" s="147">
        <f>IFERROR(__xludf.DUMMYFUNCTION("""COMPUTED_VALUE"""),45684.0)</f>
        <v>45684</v>
      </c>
      <c r="F202" s="147">
        <f>IFERROR(__xludf.DUMMYFUNCTION("""COMPUTED_VALUE"""),45705.0)</f>
        <v>45705</v>
      </c>
      <c r="G202" s="146" t="str">
        <f>IFERROR(__xludf.DUMMYFUNCTION("""COMPUTED_VALUE"""),"BRG12")</f>
        <v>BRG12</v>
      </c>
      <c r="H202" s="148"/>
      <c r="I202" s="148"/>
      <c r="J202" s="146"/>
      <c r="K202" s="146"/>
      <c r="L202" s="146">
        <f>IFERROR(__xludf.DUMMYFUNCTION("""COMPUTED_VALUE"""),2342.0)</f>
        <v>2342</v>
      </c>
      <c r="M202" s="146">
        <f>IFERROR(__xludf.DUMMYFUNCTION("""COMPUTED_VALUE"""),2406.0)</f>
        <v>2406</v>
      </c>
      <c r="N202" s="146">
        <f>IFERROR(__xludf.DUMMYFUNCTION("""COMPUTED_VALUE"""),33.0)</f>
        <v>33</v>
      </c>
      <c r="O202" s="146">
        <f>IFERROR(__xludf.DUMMYFUNCTION("""COMPUTED_VALUE"""),33.0)</f>
        <v>33</v>
      </c>
      <c r="P202" s="146">
        <f>IFERROR(__xludf.DUMMYFUNCTION("""COMPUTED_VALUE"""),140.0)</f>
        <v>140</v>
      </c>
      <c r="Q202" s="146"/>
      <c r="R202" s="146"/>
      <c r="T202" s="131" t="str">
        <f>IFERROR(__xludf.DUMMYFUNCTION("""COMPUTED_VALUE"""),"Y")</f>
        <v>Y</v>
      </c>
      <c r="U202" s="131" t="str">
        <f>IFERROR(__xludf.DUMMYFUNCTION("""COMPUTED_VALUE"""),"4")</f>
        <v>4</v>
      </c>
      <c r="V202" s="131"/>
      <c r="W202" s="144">
        <f>IFERROR(__xludf.DUMMYFUNCTION("""COMPUTED_VALUE"""),45677.0)</f>
        <v>45677</v>
      </c>
      <c r="X202" s="144">
        <f>IFERROR(__xludf.DUMMYFUNCTION("""COMPUTED_VALUE"""),45684.0)</f>
        <v>45684</v>
      </c>
      <c r="Y202" s="144">
        <f>IFERROR(__xludf.DUMMYFUNCTION("""COMPUTED_VALUE"""),45705.0)</f>
        <v>45705</v>
      </c>
      <c r="Z202" s="131" t="str">
        <f>IFERROR(__xludf.DUMMYFUNCTION("""COMPUTED_VALUE"""),"DC40")</f>
        <v>DC40</v>
      </c>
      <c r="AA202" s="131">
        <f>IFERROR(__xludf.DUMMYFUNCTION("""COMPUTED_VALUE"""),657.0)</f>
        <v>657</v>
      </c>
      <c r="AB202" s="131">
        <f>IFERROR(__xludf.DUMMYFUNCTION("""COMPUTED_VALUE"""),679.0)</f>
        <v>679</v>
      </c>
      <c r="AC202" s="131">
        <f>IFERROR(__xludf.DUMMYFUNCTION("""COMPUTED_VALUE"""),12.0)</f>
        <v>12</v>
      </c>
      <c r="AD202" s="131">
        <f>IFERROR(__xludf.DUMMYFUNCTION("""COMPUTED_VALUE"""),12.0)</f>
        <v>12</v>
      </c>
      <c r="AE202" s="131">
        <f>IFERROR(__xludf.DUMMYFUNCTION("""COMPUTED_VALUE"""),642.0)</f>
        <v>642</v>
      </c>
      <c r="AF202" s="131">
        <f>IFERROR(__xludf.DUMMYFUNCTION("""COMPUTED_VALUE"""),646.0)</f>
        <v>646</v>
      </c>
      <c r="AG202" s="131">
        <f>IFERROR(__xludf.DUMMYFUNCTION("""COMPUTED_VALUE"""),3.0)</f>
        <v>3</v>
      </c>
      <c r="AH202" s="131">
        <f>IFERROR(__xludf.DUMMYFUNCTION("""COMPUTED_VALUE"""),3.0)</f>
        <v>3</v>
      </c>
      <c r="AI202" s="131">
        <f>IFERROR(__xludf.DUMMYFUNCTION("""COMPUTED_VALUE"""),137.0)</f>
        <v>137</v>
      </c>
      <c r="AJ202" s="131"/>
      <c r="AK202" s="131"/>
    </row>
    <row r="203">
      <c r="A203" s="145" t="str">
        <f>IFERROR(__xludf.DUMMYFUNCTION("""COMPUTED_VALUE"""),"Y")</f>
        <v>Y</v>
      </c>
      <c r="B203" s="146" t="str">
        <f>IFERROR(__xludf.DUMMYFUNCTION("""COMPUTED_VALUE"""),"4")</f>
        <v>4</v>
      </c>
      <c r="C203" s="146"/>
      <c r="D203" s="147">
        <f>IFERROR(__xludf.DUMMYFUNCTION("""COMPUTED_VALUE"""),45677.0)</f>
        <v>45677</v>
      </c>
      <c r="E203" s="147">
        <f>IFERROR(__xludf.DUMMYFUNCTION("""COMPUTED_VALUE"""),45684.0)</f>
        <v>45684</v>
      </c>
      <c r="F203" s="147">
        <f>IFERROR(__xludf.DUMMYFUNCTION("""COMPUTED_VALUE"""),45705.0)</f>
        <v>45705</v>
      </c>
      <c r="G203" s="146" t="str">
        <f>IFERROR(__xludf.DUMMYFUNCTION("""COMPUTED_VALUE"""),"DC40")</f>
        <v>DC40</v>
      </c>
      <c r="H203" s="148">
        <f>IFERROR(__xludf.DUMMYFUNCTION("""COMPUTED_VALUE"""),657.0)</f>
        <v>657</v>
      </c>
      <c r="I203" s="148">
        <f>IFERROR(__xludf.DUMMYFUNCTION("""COMPUTED_VALUE"""),679.0)</f>
        <v>679</v>
      </c>
      <c r="J203" s="146">
        <f>IFERROR(__xludf.DUMMYFUNCTION("""COMPUTED_VALUE"""),12.0)</f>
        <v>12</v>
      </c>
      <c r="K203" s="146">
        <f>IFERROR(__xludf.DUMMYFUNCTION("""COMPUTED_VALUE"""),12.0)</f>
        <v>12</v>
      </c>
      <c r="L203" s="146">
        <f>IFERROR(__xludf.DUMMYFUNCTION("""COMPUTED_VALUE"""),642.0)</f>
        <v>642</v>
      </c>
      <c r="M203" s="146">
        <f>IFERROR(__xludf.DUMMYFUNCTION("""COMPUTED_VALUE"""),646.0)</f>
        <v>646</v>
      </c>
      <c r="N203" s="146">
        <f>IFERROR(__xludf.DUMMYFUNCTION("""COMPUTED_VALUE"""),3.0)</f>
        <v>3</v>
      </c>
      <c r="O203" s="146">
        <f>IFERROR(__xludf.DUMMYFUNCTION("""COMPUTED_VALUE"""),3.0)</f>
        <v>3</v>
      </c>
      <c r="P203" s="146">
        <f>IFERROR(__xludf.DUMMYFUNCTION("""COMPUTED_VALUE"""),137.0)</f>
        <v>137</v>
      </c>
      <c r="Q203" s="146"/>
      <c r="R203" s="146"/>
      <c r="T203" s="131" t="str">
        <f>IFERROR(__xludf.DUMMYFUNCTION("""COMPUTED_VALUE"""),"Y")</f>
        <v>Y</v>
      </c>
      <c r="U203" s="131" t="str">
        <f>IFERROR(__xludf.DUMMYFUNCTION("""COMPUTED_VALUE"""),"4")</f>
        <v>4</v>
      </c>
      <c r="V203" s="131"/>
      <c r="W203" s="144">
        <f>IFERROR(__xludf.DUMMYFUNCTION("""COMPUTED_VALUE"""),45677.0)</f>
        <v>45677</v>
      </c>
      <c r="X203" s="144">
        <f>IFERROR(__xludf.DUMMYFUNCTION("""COMPUTED_VALUE"""),45684.0)</f>
        <v>45684</v>
      </c>
      <c r="Y203" s="144">
        <f>IFERROR(__xludf.DUMMYFUNCTION("""COMPUTED_VALUE"""),45705.0)</f>
        <v>45705</v>
      </c>
      <c r="Z203" s="131" t="str">
        <f>IFERROR(__xludf.DUMMYFUNCTION("""COMPUTED_VALUE"""),"DC40")</f>
        <v>DC40</v>
      </c>
      <c r="AA203" s="131"/>
      <c r="AB203" s="131"/>
      <c r="AC203" s="131"/>
      <c r="AD203" s="131"/>
      <c r="AE203" s="131">
        <f>IFERROR(__xludf.DUMMYFUNCTION("""COMPUTED_VALUE"""),502.0)</f>
        <v>502</v>
      </c>
      <c r="AF203" s="131">
        <f>IFERROR(__xludf.DUMMYFUNCTION("""COMPUTED_VALUE"""),502.0)</f>
        <v>502</v>
      </c>
      <c r="AG203" s="131">
        <f>IFERROR(__xludf.DUMMYFUNCTION("""COMPUTED_VALUE"""),1.0)</f>
        <v>1</v>
      </c>
      <c r="AH203" s="131">
        <f>IFERROR(__xludf.DUMMYFUNCTION("""COMPUTED_VALUE"""),1.0)</f>
        <v>1</v>
      </c>
      <c r="AI203" s="131">
        <f>IFERROR(__xludf.DUMMYFUNCTION("""COMPUTED_VALUE"""),137.0)</f>
        <v>137</v>
      </c>
      <c r="AJ203" s="131"/>
      <c r="AK203" s="131"/>
    </row>
    <row r="204">
      <c r="A204" s="145" t="str">
        <f>IFERROR(__xludf.DUMMYFUNCTION("""COMPUTED_VALUE"""),"Y")</f>
        <v>Y</v>
      </c>
      <c r="B204" s="146" t="str">
        <f>IFERROR(__xludf.DUMMYFUNCTION("""COMPUTED_VALUE"""),"4")</f>
        <v>4</v>
      </c>
      <c r="C204" s="146"/>
      <c r="D204" s="147">
        <f>IFERROR(__xludf.DUMMYFUNCTION("""COMPUTED_VALUE"""),45677.0)</f>
        <v>45677</v>
      </c>
      <c r="E204" s="147">
        <f>IFERROR(__xludf.DUMMYFUNCTION("""COMPUTED_VALUE"""),45684.0)</f>
        <v>45684</v>
      </c>
      <c r="F204" s="147">
        <f>IFERROR(__xludf.DUMMYFUNCTION("""COMPUTED_VALUE"""),45705.0)</f>
        <v>45705</v>
      </c>
      <c r="G204" s="146" t="str">
        <f>IFERROR(__xludf.DUMMYFUNCTION("""COMPUTED_VALUE"""),"DC40")</f>
        <v>DC40</v>
      </c>
      <c r="H204" s="148"/>
      <c r="I204" s="148"/>
      <c r="J204" s="146"/>
      <c r="K204" s="146"/>
      <c r="L204" s="146">
        <f>IFERROR(__xludf.DUMMYFUNCTION("""COMPUTED_VALUE"""),502.0)</f>
        <v>502</v>
      </c>
      <c r="M204" s="146">
        <f>IFERROR(__xludf.DUMMYFUNCTION("""COMPUTED_VALUE"""),502.0)</f>
        <v>502</v>
      </c>
      <c r="N204" s="146">
        <f>IFERROR(__xludf.DUMMYFUNCTION("""COMPUTED_VALUE"""),1.0)</f>
        <v>1</v>
      </c>
      <c r="O204" s="146">
        <f>IFERROR(__xludf.DUMMYFUNCTION("""COMPUTED_VALUE"""),1.0)</f>
        <v>1</v>
      </c>
      <c r="P204" s="146">
        <f>IFERROR(__xludf.DUMMYFUNCTION("""COMPUTED_VALUE"""),137.0)</f>
        <v>137</v>
      </c>
      <c r="Q204" s="146"/>
      <c r="R204" s="146"/>
      <c r="T204" s="131" t="str">
        <f>IFERROR(__xludf.DUMMYFUNCTION("""COMPUTED_VALUE"""),"Y")</f>
        <v>Y</v>
      </c>
      <c r="U204" s="131" t="str">
        <f>IFERROR(__xludf.DUMMYFUNCTION("""COMPUTED_VALUE"""),"4")</f>
        <v>4</v>
      </c>
      <c r="V204" s="131"/>
      <c r="W204" s="144">
        <f>IFERROR(__xludf.DUMMYFUNCTION("""COMPUTED_VALUE"""),45677.0)</f>
        <v>45677</v>
      </c>
      <c r="X204" s="144">
        <f>IFERROR(__xludf.DUMMYFUNCTION("""COMPUTED_VALUE"""),45684.0)</f>
        <v>45684</v>
      </c>
      <c r="Y204" s="144">
        <f>IFERROR(__xludf.DUMMYFUNCTION("""COMPUTED_VALUE"""),45705.0)</f>
        <v>45705</v>
      </c>
      <c r="Z204" s="131" t="str">
        <f>IFERROR(__xludf.DUMMYFUNCTION("""COMPUTED_VALUE"""),"DC34")</f>
        <v>DC34</v>
      </c>
      <c r="AA204" s="131">
        <f>IFERROR(__xludf.DUMMYFUNCTION("""COMPUTED_VALUE"""),343.0)</f>
        <v>343</v>
      </c>
      <c r="AB204" s="131">
        <f>IFERROR(__xludf.DUMMYFUNCTION("""COMPUTED_VALUE"""),393.0)</f>
        <v>393</v>
      </c>
      <c r="AC204" s="131">
        <f>IFERROR(__xludf.DUMMYFUNCTION("""COMPUTED_VALUE"""),26.0)</f>
        <v>26</v>
      </c>
      <c r="AD204" s="131">
        <f>IFERROR(__xludf.DUMMYFUNCTION("""COMPUTED_VALUE"""),26.0)</f>
        <v>26</v>
      </c>
      <c r="AE204" s="131">
        <f>IFERROR(__xludf.DUMMYFUNCTION("""COMPUTED_VALUE"""),254.0)</f>
        <v>254</v>
      </c>
      <c r="AF204" s="131">
        <f>IFERROR(__xludf.DUMMYFUNCTION("""COMPUTED_VALUE"""),340.0)</f>
        <v>340</v>
      </c>
      <c r="AG204" s="131">
        <f>IFERROR(__xludf.DUMMYFUNCTION("""COMPUTED_VALUE"""),44.0)</f>
        <v>44</v>
      </c>
      <c r="AH204" s="131">
        <f>IFERROR(__xludf.DUMMYFUNCTION("""COMPUTED_VALUE"""),44.0)</f>
        <v>44</v>
      </c>
      <c r="AI204" s="131">
        <f>IFERROR(__xludf.DUMMYFUNCTION("""COMPUTED_VALUE"""),139.0)</f>
        <v>139</v>
      </c>
      <c r="AJ204" s="131"/>
      <c r="AK204" s="131"/>
    </row>
    <row r="205">
      <c r="A205" s="145" t="str">
        <f>IFERROR(__xludf.DUMMYFUNCTION("""COMPUTED_VALUE"""),"Y")</f>
        <v>Y</v>
      </c>
      <c r="B205" s="146" t="str">
        <f>IFERROR(__xludf.DUMMYFUNCTION("""COMPUTED_VALUE"""),"4")</f>
        <v>4</v>
      </c>
      <c r="C205" s="146"/>
      <c r="D205" s="147">
        <f>IFERROR(__xludf.DUMMYFUNCTION("""COMPUTED_VALUE"""),45677.0)</f>
        <v>45677</v>
      </c>
      <c r="E205" s="147">
        <f>IFERROR(__xludf.DUMMYFUNCTION("""COMPUTED_VALUE"""),45684.0)</f>
        <v>45684</v>
      </c>
      <c r="F205" s="147">
        <f>IFERROR(__xludf.DUMMYFUNCTION("""COMPUTED_VALUE"""),45705.0)</f>
        <v>45705</v>
      </c>
      <c r="G205" s="146" t="str">
        <f>IFERROR(__xludf.DUMMYFUNCTION("""COMPUTED_VALUE"""),"DC34")</f>
        <v>DC34</v>
      </c>
      <c r="H205" s="148">
        <f>IFERROR(__xludf.DUMMYFUNCTION("""COMPUTED_VALUE"""),343.0)</f>
        <v>343</v>
      </c>
      <c r="I205" s="148">
        <f>IFERROR(__xludf.DUMMYFUNCTION("""COMPUTED_VALUE"""),393.0)</f>
        <v>393</v>
      </c>
      <c r="J205" s="146">
        <f>IFERROR(__xludf.DUMMYFUNCTION("""COMPUTED_VALUE"""),26.0)</f>
        <v>26</v>
      </c>
      <c r="K205" s="146">
        <f>IFERROR(__xludf.DUMMYFUNCTION("""COMPUTED_VALUE"""),26.0)</f>
        <v>26</v>
      </c>
      <c r="L205" s="146">
        <f>IFERROR(__xludf.DUMMYFUNCTION("""COMPUTED_VALUE"""),254.0)</f>
        <v>254</v>
      </c>
      <c r="M205" s="146">
        <f>IFERROR(__xludf.DUMMYFUNCTION("""COMPUTED_VALUE"""),340.0)</f>
        <v>340</v>
      </c>
      <c r="N205" s="146">
        <f>IFERROR(__xludf.DUMMYFUNCTION("""COMPUTED_VALUE"""),44.0)</f>
        <v>44</v>
      </c>
      <c r="O205" s="146">
        <f>IFERROR(__xludf.DUMMYFUNCTION("""COMPUTED_VALUE"""),44.0)</f>
        <v>44</v>
      </c>
      <c r="P205" s="146">
        <f>IFERROR(__xludf.DUMMYFUNCTION("""COMPUTED_VALUE"""),139.0)</f>
        <v>139</v>
      </c>
      <c r="Q205" s="146"/>
      <c r="R205" s="146"/>
      <c r="T205" s="131" t="str">
        <f>IFERROR(__xludf.DUMMYFUNCTION("""COMPUTED_VALUE"""),"Y")</f>
        <v>Y</v>
      </c>
      <c r="U205" s="131" t="str">
        <f>IFERROR(__xludf.DUMMYFUNCTION("""COMPUTED_VALUE"""),"4")</f>
        <v>4</v>
      </c>
      <c r="V205" s="131"/>
      <c r="W205" s="144">
        <f>IFERROR(__xludf.DUMMYFUNCTION("""COMPUTED_VALUE"""),45677.0)</f>
        <v>45677</v>
      </c>
      <c r="X205" s="144">
        <f>IFERROR(__xludf.DUMMYFUNCTION("""COMPUTED_VALUE"""),45684.0)</f>
        <v>45684</v>
      </c>
      <c r="Y205" s="144">
        <f>IFERROR(__xludf.DUMMYFUNCTION("""COMPUTED_VALUE"""),45705.0)</f>
        <v>45705</v>
      </c>
      <c r="Z205" s="131" t="str">
        <f>IFERROR(__xludf.DUMMYFUNCTION("""COMPUTED_VALUE"""),"BRG9")</f>
        <v>BRG9</v>
      </c>
      <c r="AA205" s="131"/>
      <c r="AB205" s="131"/>
      <c r="AC205" s="131"/>
      <c r="AD205" s="131"/>
      <c r="AE205" s="131">
        <f>IFERROR(__xludf.DUMMYFUNCTION("""COMPUTED_VALUE"""),16.0)</f>
        <v>16</v>
      </c>
      <c r="AF205" s="131">
        <f>IFERROR(__xludf.DUMMYFUNCTION("""COMPUTED_VALUE"""),48.0)</f>
        <v>48</v>
      </c>
      <c r="AG205" s="131">
        <f>IFERROR(__xludf.DUMMYFUNCTION("""COMPUTED_VALUE"""),17.0)</f>
        <v>17</v>
      </c>
      <c r="AH205" s="131">
        <f>IFERROR(__xludf.DUMMYFUNCTION("""COMPUTED_VALUE"""),17.0)</f>
        <v>17</v>
      </c>
      <c r="AI205" s="131">
        <f>IFERROR(__xludf.DUMMYFUNCTION("""COMPUTED_VALUE"""),138.0)</f>
        <v>138</v>
      </c>
      <c r="AJ205" s="131" t="str">
        <f>IFERROR(__xludf.DUMMYFUNCTION("""COMPUTED_VALUE"""),"S21,G22")</f>
        <v>S21,G22</v>
      </c>
      <c r="AK205" s="131">
        <f>IFERROR(__xludf.DUMMYFUNCTION("""COMPUTED_VALUE"""),37.05)</f>
        <v>37.05</v>
      </c>
    </row>
    <row r="206">
      <c r="A206" s="145" t="str">
        <f>IFERROR(__xludf.DUMMYFUNCTION("""COMPUTED_VALUE"""),"Y")</f>
        <v>Y</v>
      </c>
      <c r="B206" s="146" t="str">
        <f>IFERROR(__xludf.DUMMYFUNCTION("""COMPUTED_VALUE"""),"4")</f>
        <v>4</v>
      </c>
      <c r="C206" s="146"/>
      <c r="D206" s="147">
        <f>IFERROR(__xludf.DUMMYFUNCTION("""COMPUTED_VALUE"""),45677.0)</f>
        <v>45677</v>
      </c>
      <c r="E206" s="147">
        <f>IFERROR(__xludf.DUMMYFUNCTION("""COMPUTED_VALUE"""),45684.0)</f>
        <v>45684</v>
      </c>
      <c r="F206" s="147">
        <f>IFERROR(__xludf.DUMMYFUNCTION("""COMPUTED_VALUE"""),45705.0)</f>
        <v>45705</v>
      </c>
      <c r="G206" s="146" t="str">
        <f>IFERROR(__xludf.DUMMYFUNCTION("""COMPUTED_VALUE"""),"BRG9")</f>
        <v>BRG9</v>
      </c>
      <c r="H206" s="148"/>
      <c r="I206" s="148"/>
      <c r="J206" s="146"/>
      <c r="K206" s="146"/>
      <c r="L206" s="146">
        <f>IFERROR(__xludf.DUMMYFUNCTION("""COMPUTED_VALUE"""),16.0)</f>
        <v>16</v>
      </c>
      <c r="M206" s="146">
        <f>IFERROR(__xludf.DUMMYFUNCTION("""COMPUTED_VALUE"""),48.0)</f>
        <v>48</v>
      </c>
      <c r="N206" s="146">
        <f>IFERROR(__xludf.DUMMYFUNCTION("""COMPUTED_VALUE"""),17.0)</f>
        <v>17</v>
      </c>
      <c r="O206" s="146">
        <f>IFERROR(__xludf.DUMMYFUNCTION("""COMPUTED_VALUE"""),17.0)</f>
        <v>17</v>
      </c>
      <c r="P206" s="146">
        <f>IFERROR(__xludf.DUMMYFUNCTION("""COMPUTED_VALUE"""),138.0)</f>
        <v>138</v>
      </c>
      <c r="Q206" s="146" t="str">
        <f>IFERROR(__xludf.DUMMYFUNCTION("""COMPUTED_VALUE"""),"S21,G22")</f>
        <v>S21,G22</v>
      </c>
      <c r="R206" s="146">
        <f>IFERROR(__xludf.DUMMYFUNCTION("""COMPUTED_VALUE"""),37.05)</f>
        <v>37.05</v>
      </c>
      <c r="T206" s="131" t="str">
        <f>IFERROR(__xludf.DUMMYFUNCTION("""COMPUTED_VALUE"""),"Y")</f>
        <v>Y</v>
      </c>
      <c r="U206" s="131" t="str">
        <f>IFERROR(__xludf.DUMMYFUNCTION("""COMPUTED_VALUE"""),"4")</f>
        <v>4</v>
      </c>
      <c r="V206" s="131"/>
      <c r="W206" s="144">
        <f>IFERROR(__xludf.DUMMYFUNCTION("""COMPUTED_VALUE"""),45678.0)</f>
        <v>45678</v>
      </c>
      <c r="X206" s="144">
        <f>IFERROR(__xludf.DUMMYFUNCTION("""COMPUTED_VALUE"""),45685.0)</f>
        <v>45685</v>
      </c>
      <c r="Y206" s="144">
        <f>IFERROR(__xludf.DUMMYFUNCTION("""COMPUTED_VALUE"""),45706.0)</f>
        <v>45706</v>
      </c>
      <c r="Z206" s="131" t="str">
        <f>IFERROR(__xludf.DUMMYFUNCTION("""COMPUTED_VALUE"""),"D35-3R")</f>
        <v>D35-3R</v>
      </c>
      <c r="AA206" s="131">
        <f>IFERROR(__xludf.DUMMYFUNCTION("""COMPUTED_VALUE"""),55.0)</f>
        <v>55</v>
      </c>
      <c r="AB206" s="131">
        <f>IFERROR(__xludf.DUMMYFUNCTION("""COMPUTED_VALUE"""),77.0)</f>
        <v>77</v>
      </c>
      <c r="AC206" s="131">
        <f>IFERROR(__xludf.DUMMYFUNCTION("""COMPUTED_VALUE"""),12.0)</f>
        <v>12</v>
      </c>
      <c r="AD206" s="131">
        <f>IFERROR(__xludf.DUMMYFUNCTION("""COMPUTED_VALUE"""),12.0)</f>
        <v>12</v>
      </c>
      <c r="AE206" s="131">
        <f>IFERROR(__xludf.DUMMYFUNCTION("""COMPUTED_VALUE"""),174.0)</f>
        <v>174</v>
      </c>
      <c r="AF206" s="131">
        <f>IFERROR(__xludf.DUMMYFUNCTION("""COMPUTED_VALUE"""),180.0)</f>
        <v>180</v>
      </c>
      <c r="AG206" s="131">
        <f>IFERROR(__xludf.DUMMYFUNCTION("""COMPUTED_VALUE"""),4.0)</f>
        <v>4</v>
      </c>
      <c r="AH206" s="131">
        <f>IFERROR(__xludf.DUMMYFUNCTION("""COMPUTED_VALUE"""),4.0)</f>
        <v>4</v>
      </c>
      <c r="AI206" s="131"/>
      <c r="AJ206" s="131"/>
      <c r="AK206" s="131"/>
    </row>
    <row r="207">
      <c r="A207" s="145" t="str">
        <f>IFERROR(__xludf.DUMMYFUNCTION("""COMPUTED_VALUE"""),"Y")</f>
        <v>Y</v>
      </c>
      <c r="B207" s="146" t="str">
        <f>IFERROR(__xludf.DUMMYFUNCTION("""COMPUTED_VALUE"""),"4")</f>
        <v>4</v>
      </c>
      <c r="C207" s="146"/>
      <c r="D207" s="147">
        <f>IFERROR(__xludf.DUMMYFUNCTION("""COMPUTED_VALUE"""),45678.0)</f>
        <v>45678</v>
      </c>
      <c r="E207" s="147">
        <f>IFERROR(__xludf.DUMMYFUNCTION("""COMPUTED_VALUE"""),45685.0)</f>
        <v>45685</v>
      </c>
      <c r="F207" s="147">
        <f>IFERROR(__xludf.DUMMYFUNCTION("""COMPUTED_VALUE"""),45706.0)</f>
        <v>45706</v>
      </c>
      <c r="G207" s="146" t="str">
        <f>IFERROR(__xludf.DUMMYFUNCTION("""COMPUTED_VALUE"""),"D35-3R")</f>
        <v>D35-3R</v>
      </c>
      <c r="H207" s="148">
        <f>IFERROR(__xludf.DUMMYFUNCTION("""COMPUTED_VALUE"""),55.0)</f>
        <v>55</v>
      </c>
      <c r="I207" s="148">
        <f>IFERROR(__xludf.DUMMYFUNCTION("""COMPUTED_VALUE"""),77.0)</f>
        <v>77</v>
      </c>
      <c r="J207" s="146">
        <f>IFERROR(__xludf.DUMMYFUNCTION("""COMPUTED_VALUE"""),12.0)</f>
        <v>12</v>
      </c>
      <c r="K207" s="146">
        <f>IFERROR(__xludf.DUMMYFUNCTION("""COMPUTED_VALUE"""),12.0)</f>
        <v>12</v>
      </c>
      <c r="L207" s="146">
        <f>IFERROR(__xludf.DUMMYFUNCTION("""COMPUTED_VALUE"""),174.0)</f>
        <v>174</v>
      </c>
      <c r="M207" s="146">
        <f>IFERROR(__xludf.DUMMYFUNCTION("""COMPUTED_VALUE"""),180.0)</f>
        <v>180</v>
      </c>
      <c r="N207" s="146">
        <f>IFERROR(__xludf.DUMMYFUNCTION("""COMPUTED_VALUE"""),4.0)</f>
        <v>4</v>
      </c>
      <c r="O207" s="146">
        <f>IFERROR(__xludf.DUMMYFUNCTION("""COMPUTED_VALUE"""),4.0)</f>
        <v>4</v>
      </c>
      <c r="P207" s="146"/>
      <c r="Q207" s="146"/>
      <c r="R207" s="146"/>
      <c r="T207" s="131" t="str">
        <f>IFERROR(__xludf.DUMMYFUNCTION("""COMPUTED_VALUE"""),"Y")</f>
        <v>Y</v>
      </c>
      <c r="U207" s="131" t="str">
        <f>IFERROR(__xludf.DUMMYFUNCTION("""COMPUTED_VALUE"""),"4")</f>
        <v>4</v>
      </c>
      <c r="V207" s="131"/>
      <c r="W207" s="144">
        <f>IFERROR(__xludf.DUMMYFUNCTION("""COMPUTED_VALUE"""),45678.0)</f>
        <v>45678</v>
      </c>
      <c r="X207" s="144">
        <f>IFERROR(__xludf.DUMMYFUNCTION("""COMPUTED_VALUE"""),45685.0)</f>
        <v>45685</v>
      </c>
      <c r="Y207" s="144">
        <f>IFERROR(__xludf.DUMMYFUNCTION("""COMPUTED_VALUE"""),45706.0)</f>
        <v>45706</v>
      </c>
      <c r="Z207" s="131" t="str">
        <f>IFERROR(__xludf.DUMMYFUNCTION("""COMPUTED_VALUE"""),"D35-3R")</f>
        <v>D35-3R</v>
      </c>
      <c r="AA207" s="131">
        <f>IFERROR(__xludf.DUMMYFUNCTION("""COMPUTED_VALUE"""),99.0)</f>
        <v>99</v>
      </c>
      <c r="AB207" s="131">
        <f>IFERROR(__xludf.DUMMYFUNCTION("""COMPUTED_VALUE"""),127.0)</f>
        <v>127</v>
      </c>
      <c r="AC207" s="131">
        <f>IFERROR(__xludf.DUMMYFUNCTION("""COMPUTED_VALUE"""),15.0)</f>
        <v>15</v>
      </c>
      <c r="AD207" s="131">
        <f>IFERROR(__xludf.DUMMYFUNCTION("""COMPUTED_VALUE"""),15.0)</f>
        <v>15</v>
      </c>
      <c r="AE207" s="131">
        <f>IFERROR(__xludf.DUMMYFUNCTION("""COMPUTED_VALUE"""),184.0)</f>
        <v>184</v>
      </c>
      <c r="AF207" s="131">
        <f>IFERROR(__xludf.DUMMYFUNCTION("""COMPUTED_VALUE"""),236.0)</f>
        <v>236</v>
      </c>
      <c r="AG207" s="131">
        <f>IFERROR(__xludf.DUMMYFUNCTION("""COMPUTED_VALUE"""),27.0)</f>
        <v>27</v>
      </c>
      <c r="AH207" s="131">
        <f>IFERROR(__xludf.DUMMYFUNCTION("""COMPUTED_VALUE"""),27.0)</f>
        <v>27</v>
      </c>
      <c r="AI207" s="131"/>
      <c r="AJ207" s="131"/>
      <c r="AK207" s="131"/>
    </row>
    <row r="208">
      <c r="A208" s="145" t="str">
        <f>IFERROR(__xludf.DUMMYFUNCTION("""COMPUTED_VALUE"""),"Y")</f>
        <v>Y</v>
      </c>
      <c r="B208" s="146" t="str">
        <f>IFERROR(__xludf.DUMMYFUNCTION("""COMPUTED_VALUE"""),"4")</f>
        <v>4</v>
      </c>
      <c r="C208" s="146"/>
      <c r="D208" s="147">
        <f>IFERROR(__xludf.DUMMYFUNCTION("""COMPUTED_VALUE"""),45678.0)</f>
        <v>45678</v>
      </c>
      <c r="E208" s="147">
        <f>IFERROR(__xludf.DUMMYFUNCTION("""COMPUTED_VALUE"""),45685.0)</f>
        <v>45685</v>
      </c>
      <c r="F208" s="147">
        <f>IFERROR(__xludf.DUMMYFUNCTION("""COMPUTED_VALUE"""),45706.0)</f>
        <v>45706</v>
      </c>
      <c r="G208" s="146" t="str">
        <f>IFERROR(__xludf.DUMMYFUNCTION("""COMPUTED_VALUE"""),"D35-3R")</f>
        <v>D35-3R</v>
      </c>
      <c r="H208" s="148">
        <f>IFERROR(__xludf.DUMMYFUNCTION("""COMPUTED_VALUE"""),99.0)</f>
        <v>99</v>
      </c>
      <c r="I208" s="148">
        <f>IFERROR(__xludf.DUMMYFUNCTION("""COMPUTED_VALUE"""),127.0)</f>
        <v>127</v>
      </c>
      <c r="J208" s="146">
        <f>IFERROR(__xludf.DUMMYFUNCTION("""COMPUTED_VALUE"""),15.0)</f>
        <v>15</v>
      </c>
      <c r="K208" s="146">
        <f>IFERROR(__xludf.DUMMYFUNCTION("""COMPUTED_VALUE"""),15.0)</f>
        <v>15</v>
      </c>
      <c r="L208" s="146">
        <f>IFERROR(__xludf.DUMMYFUNCTION("""COMPUTED_VALUE"""),184.0)</f>
        <v>184</v>
      </c>
      <c r="M208" s="146">
        <f>IFERROR(__xludf.DUMMYFUNCTION("""COMPUTED_VALUE"""),236.0)</f>
        <v>236</v>
      </c>
      <c r="N208" s="146">
        <f>IFERROR(__xludf.DUMMYFUNCTION("""COMPUTED_VALUE"""),27.0)</f>
        <v>27</v>
      </c>
      <c r="O208" s="146">
        <f>IFERROR(__xludf.DUMMYFUNCTION("""COMPUTED_VALUE"""),27.0)</f>
        <v>27</v>
      </c>
      <c r="P208" s="146"/>
      <c r="Q208" s="146"/>
      <c r="R208" s="146"/>
      <c r="T208" s="131" t="str">
        <f>IFERROR(__xludf.DUMMYFUNCTION("""COMPUTED_VALUE"""),"Y")</f>
        <v>Y</v>
      </c>
      <c r="U208" s="131" t="str">
        <f>IFERROR(__xludf.DUMMYFUNCTION("""COMPUTED_VALUE"""),"4")</f>
        <v>4</v>
      </c>
      <c r="V208" s="131"/>
      <c r="W208" s="144">
        <f>IFERROR(__xludf.DUMMYFUNCTION("""COMPUTED_VALUE"""),45678.0)</f>
        <v>45678</v>
      </c>
      <c r="X208" s="144">
        <f>IFERROR(__xludf.DUMMYFUNCTION("""COMPUTED_VALUE"""),45685.0)</f>
        <v>45685</v>
      </c>
      <c r="Y208" s="144">
        <f>IFERROR(__xludf.DUMMYFUNCTION("""COMPUTED_VALUE"""),45706.0)</f>
        <v>45706</v>
      </c>
      <c r="Z208" s="131" t="str">
        <f>IFERROR(__xludf.DUMMYFUNCTION("""COMPUTED_VALUE"""),"D35-3R")</f>
        <v>D35-3R</v>
      </c>
      <c r="AA208" s="131">
        <f>IFERROR(__xludf.DUMMYFUNCTION("""COMPUTED_VALUE"""),131.0)</f>
        <v>131</v>
      </c>
      <c r="AB208" s="131">
        <f>IFERROR(__xludf.DUMMYFUNCTION("""COMPUTED_VALUE"""),171.0)</f>
        <v>171</v>
      </c>
      <c r="AC208" s="131">
        <f>IFERROR(__xludf.DUMMYFUNCTION("""COMPUTED_VALUE"""),21.0)</f>
        <v>21</v>
      </c>
      <c r="AD208" s="131">
        <f>IFERROR(__xludf.DUMMYFUNCTION("""COMPUTED_VALUE"""),21.0)</f>
        <v>21</v>
      </c>
      <c r="AE208" s="131"/>
      <c r="AF208" s="131"/>
      <c r="AG208" s="131"/>
      <c r="AH208" s="131"/>
      <c r="AI208" s="131"/>
      <c r="AJ208" s="131"/>
      <c r="AK208" s="131"/>
    </row>
    <row r="209">
      <c r="A209" s="145" t="str">
        <f>IFERROR(__xludf.DUMMYFUNCTION("""COMPUTED_VALUE"""),"Y")</f>
        <v>Y</v>
      </c>
      <c r="B209" s="146" t="str">
        <f>IFERROR(__xludf.DUMMYFUNCTION("""COMPUTED_VALUE"""),"4")</f>
        <v>4</v>
      </c>
      <c r="C209" s="146"/>
      <c r="D209" s="147">
        <f>IFERROR(__xludf.DUMMYFUNCTION("""COMPUTED_VALUE"""),45678.0)</f>
        <v>45678</v>
      </c>
      <c r="E209" s="147">
        <f>IFERROR(__xludf.DUMMYFUNCTION("""COMPUTED_VALUE"""),45685.0)</f>
        <v>45685</v>
      </c>
      <c r="F209" s="147">
        <f>IFERROR(__xludf.DUMMYFUNCTION("""COMPUTED_VALUE"""),45706.0)</f>
        <v>45706</v>
      </c>
      <c r="G209" s="146" t="str">
        <f>IFERROR(__xludf.DUMMYFUNCTION("""COMPUTED_VALUE"""),"D35-3R")</f>
        <v>D35-3R</v>
      </c>
      <c r="H209" s="148">
        <f>IFERROR(__xludf.DUMMYFUNCTION("""COMPUTED_VALUE"""),131.0)</f>
        <v>131</v>
      </c>
      <c r="I209" s="148">
        <f>IFERROR(__xludf.DUMMYFUNCTION("""COMPUTED_VALUE"""),171.0)</f>
        <v>171</v>
      </c>
      <c r="J209" s="146">
        <f>IFERROR(__xludf.DUMMYFUNCTION("""COMPUTED_VALUE"""),21.0)</f>
        <v>21</v>
      </c>
      <c r="K209" s="146">
        <f>IFERROR(__xludf.DUMMYFUNCTION("""COMPUTED_VALUE"""),21.0)</f>
        <v>21</v>
      </c>
      <c r="L209" s="146"/>
      <c r="M209" s="146"/>
      <c r="N209" s="146"/>
      <c r="O209" s="146"/>
      <c r="P209" s="146"/>
      <c r="Q209" s="146"/>
      <c r="R209" s="146"/>
      <c r="T209" s="131" t="str">
        <f>IFERROR(__xludf.DUMMYFUNCTION("""COMPUTED_VALUE"""),"Y")</f>
        <v>Y</v>
      </c>
      <c r="U209" s="131" t="str">
        <f>IFERROR(__xludf.DUMMYFUNCTION("""COMPUTED_VALUE"""),"4")</f>
        <v>4</v>
      </c>
      <c r="V209" s="131"/>
      <c r="W209" s="144">
        <f>IFERROR(__xludf.DUMMYFUNCTION("""COMPUTED_VALUE"""),45678.0)</f>
        <v>45678</v>
      </c>
      <c r="X209" s="144">
        <f>IFERROR(__xludf.DUMMYFUNCTION("""COMPUTED_VALUE"""),45685.0)</f>
        <v>45685</v>
      </c>
      <c r="Y209" s="144">
        <f>IFERROR(__xludf.DUMMYFUNCTION("""COMPUTED_VALUE"""),45706.0)</f>
        <v>45706</v>
      </c>
      <c r="Z209" s="131" t="str">
        <f>IFERROR(__xludf.DUMMYFUNCTION("""COMPUTED_VALUE"""),"BRG12")</f>
        <v>BRG12</v>
      </c>
      <c r="AA209" s="131">
        <f>IFERROR(__xludf.DUMMYFUNCTION("""COMPUTED_VALUE"""),2465.0)</f>
        <v>2465</v>
      </c>
      <c r="AB209" s="131">
        <f>IFERROR(__xludf.DUMMYFUNCTION("""COMPUTED_VALUE"""),2535.0)</f>
        <v>2535</v>
      </c>
      <c r="AC209" s="131">
        <f>IFERROR(__xludf.DUMMYFUNCTION("""COMPUTED_VALUE"""),36.0)</f>
        <v>36</v>
      </c>
      <c r="AD209" s="131">
        <f>IFERROR(__xludf.DUMMYFUNCTION("""COMPUTED_VALUE"""),36.0)</f>
        <v>36</v>
      </c>
      <c r="AE209" s="131"/>
      <c r="AF209" s="131"/>
      <c r="AG209" s="131"/>
      <c r="AH209" s="131"/>
      <c r="AI209" s="131">
        <f>IFERROR(__xludf.DUMMYFUNCTION("""COMPUTED_VALUE"""),141.0)</f>
        <v>141</v>
      </c>
      <c r="AJ209" s="131"/>
      <c r="AK209" s="131"/>
    </row>
    <row r="210">
      <c r="A210" s="145" t="str">
        <f>IFERROR(__xludf.DUMMYFUNCTION("""COMPUTED_VALUE"""),"Y")</f>
        <v>Y</v>
      </c>
      <c r="B210" s="146" t="str">
        <f>IFERROR(__xludf.DUMMYFUNCTION("""COMPUTED_VALUE"""),"4")</f>
        <v>4</v>
      </c>
      <c r="C210" s="146"/>
      <c r="D210" s="147">
        <f>IFERROR(__xludf.DUMMYFUNCTION("""COMPUTED_VALUE"""),45678.0)</f>
        <v>45678</v>
      </c>
      <c r="E210" s="147">
        <f>IFERROR(__xludf.DUMMYFUNCTION("""COMPUTED_VALUE"""),45685.0)</f>
        <v>45685</v>
      </c>
      <c r="F210" s="147">
        <f>IFERROR(__xludf.DUMMYFUNCTION("""COMPUTED_VALUE"""),45706.0)</f>
        <v>45706</v>
      </c>
      <c r="G210" s="146" t="str">
        <f>IFERROR(__xludf.DUMMYFUNCTION("""COMPUTED_VALUE"""),"BRG12")</f>
        <v>BRG12</v>
      </c>
      <c r="H210" s="148">
        <f>IFERROR(__xludf.DUMMYFUNCTION("""COMPUTED_VALUE"""),2465.0)</f>
        <v>2465</v>
      </c>
      <c r="I210" s="148">
        <f>IFERROR(__xludf.DUMMYFUNCTION("""COMPUTED_VALUE"""),2535.0)</f>
        <v>2535</v>
      </c>
      <c r="J210" s="146">
        <f>IFERROR(__xludf.DUMMYFUNCTION("""COMPUTED_VALUE"""),36.0)</f>
        <v>36</v>
      </c>
      <c r="K210" s="146">
        <f>IFERROR(__xludf.DUMMYFUNCTION("""COMPUTED_VALUE"""),36.0)</f>
        <v>36</v>
      </c>
      <c r="L210" s="146"/>
      <c r="M210" s="146"/>
      <c r="N210" s="146"/>
      <c r="O210" s="146"/>
      <c r="P210" s="146">
        <f>IFERROR(__xludf.DUMMYFUNCTION("""COMPUTED_VALUE"""),141.0)</f>
        <v>141</v>
      </c>
      <c r="Q210" s="146"/>
      <c r="R210" s="146"/>
      <c r="T210" s="131" t="str">
        <f>IFERROR(__xludf.DUMMYFUNCTION("""COMPUTED_VALUE"""),"Y")</f>
        <v>Y</v>
      </c>
      <c r="U210" s="131" t="str">
        <f>IFERROR(__xludf.DUMMYFUNCTION("""COMPUTED_VALUE"""),"4")</f>
        <v>4</v>
      </c>
      <c r="V210" s="131"/>
      <c r="W210" s="144">
        <f>IFERROR(__xludf.DUMMYFUNCTION("""COMPUTED_VALUE"""),45678.0)</f>
        <v>45678</v>
      </c>
      <c r="X210" s="144">
        <f>IFERROR(__xludf.DUMMYFUNCTION("""COMPUTED_VALUE"""),45685.0)</f>
        <v>45685</v>
      </c>
      <c r="Y210" s="144">
        <f>IFERROR(__xludf.DUMMYFUNCTION("""COMPUTED_VALUE"""),45706.0)</f>
        <v>45706</v>
      </c>
      <c r="Z210" s="131" t="str">
        <f>IFERROR(__xludf.DUMMYFUNCTION("""COMPUTED_VALUE"""),"BRG9")</f>
        <v>BRG9</v>
      </c>
      <c r="AA210" s="131">
        <f>IFERROR(__xludf.DUMMYFUNCTION("""COMPUTED_VALUE"""),17.0)</f>
        <v>17</v>
      </c>
      <c r="AB210" s="131">
        <f>IFERROR(__xludf.DUMMYFUNCTION("""COMPUTED_VALUE"""),47.0)</f>
        <v>47</v>
      </c>
      <c r="AC210" s="131">
        <f>IFERROR(__xludf.DUMMYFUNCTION("""COMPUTED_VALUE"""),16.0)</f>
        <v>16</v>
      </c>
      <c r="AD210" s="131">
        <f>IFERROR(__xludf.DUMMYFUNCTION("""COMPUTED_VALUE"""),16.0)</f>
        <v>16</v>
      </c>
      <c r="AE210" s="131">
        <f>IFERROR(__xludf.DUMMYFUNCTION("""COMPUTED_VALUE"""),50.0)</f>
        <v>50</v>
      </c>
      <c r="AF210" s="131">
        <f>IFERROR(__xludf.DUMMYFUNCTION("""COMPUTED_VALUE"""),104.0)</f>
        <v>104</v>
      </c>
      <c r="AG210" s="131">
        <f>IFERROR(__xludf.DUMMYFUNCTION("""COMPUTED_VALUE"""),28.0)</f>
        <v>28</v>
      </c>
      <c r="AH210" s="131">
        <f>IFERROR(__xludf.DUMMYFUNCTION("""COMPUTED_VALUE"""),28.0)</f>
        <v>28</v>
      </c>
      <c r="AI210" s="131">
        <f>IFERROR(__xludf.DUMMYFUNCTION("""COMPUTED_VALUE"""),143.0)</f>
        <v>143</v>
      </c>
      <c r="AJ210" s="131" t="str">
        <f>IFERROR(__xludf.DUMMYFUNCTION("""COMPUTED_VALUE"""),"S22,G23")</f>
        <v>S22,G23</v>
      </c>
      <c r="AK210" s="131"/>
    </row>
    <row r="211">
      <c r="A211" s="145" t="str">
        <f>IFERROR(__xludf.DUMMYFUNCTION("""COMPUTED_VALUE"""),"Y")</f>
        <v>Y</v>
      </c>
      <c r="B211" s="146" t="str">
        <f>IFERROR(__xludf.DUMMYFUNCTION("""COMPUTED_VALUE"""),"4")</f>
        <v>4</v>
      </c>
      <c r="C211" s="146"/>
      <c r="D211" s="147">
        <f>IFERROR(__xludf.DUMMYFUNCTION("""COMPUTED_VALUE"""),45678.0)</f>
        <v>45678</v>
      </c>
      <c r="E211" s="147">
        <f>IFERROR(__xludf.DUMMYFUNCTION("""COMPUTED_VALUE"""),45685.0)</f>
        <v>45685</v>
      </c>
      <c r="F211" s="147">
        <f>IFERROR(__xludf.DUMMYFUNCTION("""COMPUTED_VALUE"""),45706.0)</f>
        <v>45706</v>
      </c>
      <c r="G211" s="146" t="str">
        <f>IFERROR(__xludf.DUMMYFUNCTION("""COMPUTED_VALUE"""),"BRG9")</f>
        <v>BRG9</v>
      </c>
      <c r="H211" s="148">
        <f>IFERROR(__xludf.DUMMYFUNCTION("""COMPUTED_VALUE"""),17.0)</f>
        <v>17</v>
      </c>
      <c r="I211" s="148">
        <f>IFERROR(__xludf.DUMMYFUNCTION("""COMPUTED_VALUE"""),47.0)</f>
        <v>47</v>
      </c>
      <c r="J211" s="146">
        <f>IFERROR(__xludf.DUMMYFUNCTION("""COMPUTED_VALUE"""),16.0)</f>
        <v>16</v>
      </c>
      <c r="K211" s="146">
        <f>IFERROR(__xludf.DUMMYFUNCTION("""COMPUTED_VALUE"""),16.0)</f>
        <v>16</v>
      </c>
      <c r="L211" s="146">
        <f>IFERROR(__xludf.DUMMYFUNCTION("""COMPUTED_VALUE"""),50.0)</f>
        <v>50</v>
      </c>
      <c r="M211" s="146">
        <f>IFERROR(__xludf.DUMMYFUNCTION("""COMPUTED_VALUE"""),104.0)</f>
        <v>104</v>
      </c>
      <c r="N211" s="146">
        <f>IFERROR(__xludf.DUMMYFUNCTION("""COMPUTED_VALUE"""),28.0)</f>
        <v>28</v>
      </c>
      <c r="O211" s="146">
        <f>IFERROR(__xludf.DUMMYFUNCTION("""COMPUTED_VALUE"""),28.0)</f>
        <v>28</v>
      </c>
      <c r="P211" s="146">
        <f>IFERROR(__xludf.DUMMYFUNCTION("""COMPUTED_VALUE"""),143.0)</f>
        <v>143</v>
      </c>
      <c r="Q211" s="146" t="str">
        <f>IFERROR(__xludf.DUMMYFUNCTION("""COMPUTED_VALUE"""),"S22,G23")</f>
        <v>S22,G23</v>
      </c>
      <c r="R211" s="146"/>
      <c r="T211" s="131" t="str">
        <f>IFERROR(__xludf.DUMMYFUNCTION("""COMPUTED_VALUE"""),"Y")</f>
        <v>Y</v>
      </c>
      <c r="U211" s="131" t="str">
        <f>IFERROR(__xludf.DUMMYFUNCTION("""COMPUTED_VALUE"""),"4")</f>
        <v>4</v>
      </c>
      <c r="V211" s="131"/>
      <c r="W211" s="144">
        <f>IFERROR(__xludf.DUMMYFUNCTION("""COMPUTED_VALUE"""),45679.0)</f>
        <v>45679</v>
      </c>
      <c r="X211" s="144">
        <f>IFERROR(__xludf.DUMMYFUNCTION("""COMPUTED_VALUE"""),45686.0)</f>
        <v>45686</v>
      </c>
      <c r="Y211" s="144">
        <f>IFERROR(__xludf.DUMMYFUNCTION("""COMPUTED_VALUE"""),45707.0)</f>
        <v>45707</v>
      </c>
      <c r="Z211" s="131" t="str">
        <f>IFERROR(__xludf.DUMMYFUNCTION("""COMPUTED_VALUE"""),"BRG12")</f>
        <v>BRG12</v>
      </c>
      <c r="AA211" s="131">
        <f>IFERROR(__xludf.DUMMYFUNCTION("""COMPUTED_VALUE"""),2561.0)</f>
        <v>2561</v>
      </c>
      <c r="AB211" s="131">
        <f>IFERROR(__xludf.DUMMYFUNCTION("""COMPUTED_VALUE"""),2613.0)</f>
        <v>2613</v>
      </c>
      <c r="AC211" s="131">
        <f>IFERROR(__xludf.DUMMYFUNCTION("""COMPUTED_VALUE"""),27.0)</f>
        <v>27</v>
      </c>
      <c r="AD211" s="131">
        <f>IFERROR(__xludf.DUMMYFUNCTION("""COMPUTED_VALUE"""),27.0)</f>
        <v>27</v>
      </c>
      <c r="AE211" s="131">
        <f>IFERROR(__xludf.DUMMYFUNCTION("""COMPUTED_VALUE"""),2466.0)</f>
        <v>2466</v>
      </c>
      <c r="AF211" s="131">
        <f>IFERROR(__xludf.DUMMYFUNCTION("""COMPUTED_VALUE"""),2502.0)</f>
        <v>2502</v>
      </c>
      <c r="AG211" s="131">
        <f>IFERROR(__xludf.DUMMYFUNCTION("""COMPUTED_VALUE"""),19.0)</f>
        <v>19</v>
      </c>
      <c r="AH211" s="131">
        <f>IFERROR(__xludf.DUMMYFUNCTION("""COMPUTED_VALUE"""),19.0)</f>
        <v>19</v>
      </c>
      <c r="AI211" s="131">
        <f>IFERROR(__xludf.DUMMYFUNCTION("""COMPUTED_VALUE"""),144.0)</f>
        <v>144</v>
      </c>
      <c r="AJ211" s="131"/>
      <c r="AK211" s="131"/>
    </row>
    <row r="212">
      <c r="A212" s="145" t="str">
        <f>IFERROR(__xludf.DUMMYFUNCTION("""COMPUTED_VALUE"""),"Y")</f>
        <v>Y</v>
      </c>
      <c r="B212" s="146" t="str">
        <f>IFERROR(__xludf.DUMMYFUNCTION("""COMPUTED_VALUE"""),"4")</f>
        <v>4</v>
      </c>
      <c r="C212" s="146"/>
      <c r="D212" s="147">
        <f>IFERROR(__xludf.DUMMYFUNCTION("""COMPUTED_VALUE"""),45679.0)</f>
        <v>45679</v>
      </c>
      <c r="E212" s="147">
        <f>IFERROR(__xludf.DUMMYFUNCTION("""COMPUTED_VALUE"""),45686.0)</f>
        <v>45686</v>
      </c>
      <c r="F212" s="147">
        <f>IFERROR(__xludf.DUMMYFUNCTION("""COMPUTED_VALUE"""),45707.0)</f>
        <v>45707</v>
      </c>
      <c r="G212" s="146" t="str">
        <f>IFERROR(__xludf.DUMMYFUNCTION("""COMPUTED_VALUE"""),"BRG12")</f>
        <v>BRG12</v>
      </c>
      <c r="H212" s="148">
        <f>IFERROR(__xludf.DUMMYFUNCTION("""COMPUTED_VALUE"""),2561.0)</f>
        <v>2561</v>
      </c>
      <c r="I212" s="148">
        <f>IFERROR(__xludf.DUMMYFUNCTION("""COMPUTED_VALUE"""),2613.0)</f>
        <v>2613</v>
      </c>
      <c r="J212" s="146">
        <f>IFERROR(__xludf.DUMMYFUNCTION("""COMPUTED_VALUE"""),27.0)</f>
        <v>27</v>
      </c>
      <c r="K212" s="146">
        <f>IFERROR(__xludf.DUMMYFUNCTION("""COMPUTED_VALUE"""),27.0)</f>
        <v>27</v>
      </c>
      <c r="L212" s="146">
        <f>IFERROR(__xludf.DUMMYFUNCTION("""COMPUTED_VALUE"""),2466.0)</f>
        <v>2466</v>
      </c>
      <c r="M212" s="146">
        <f>IFERROR(__xludf.DUMMYFUNCTION("""COMPUTED_VALUE"""),2502.0)</f>
        <v>2502</v>
      </c>
      <c r="N212" s="146">
        <f>IFERROR(__xludf.DUMMYFUNCTION("""COMPUTED_VALUE"""),19.0)</f>
        <v>19</v>
      </c>
      <c r="O212" s="146">
        <f>IFERROR(__xludf.DUMMYFUNCTION("""COMPUTED_VALUE"""),19.0)</f>
        <v>19</v>
      </c>
      <c r="P212" s="146">
        <f>IFERROR(__xludf.DUMMYFUNCTION("""COMPUTED_VALUE"""),144.0)</f>
        <v>144</v>
      </c>
      <c r="Q212" s="146"/>
      <c r="R212" s="146"/>
      <c r="T212" s="131" t="str">
        <f>IFERROR(__xludf.DUMMYFUNCTION("""COMPUTED_VALUE"""),"Y")</f>
        <v>Y</v>
      </c>
      <c r="U212" s="131" t="str">
        <f>IFERROR(__xludf.DUMMYFUNCTION("""COMPUTED_VALUE"""),"4")</f>
        <v>4</v>
      </c>
      <c r="V212" s="131"/>
      <c r="W212" s="144">
        <f>IFERROR(__xludf.DUMMYFUNCTION("""COMPUTED_VALUE"""),45679.0)</f>
        <v>45679</v>
      </c>
      <c r="X212" s="144">
        <f>IFERROR(__xludf.DUMMYFUNCTION("""COMPUTED_VALUE"""),45686.0)</f>
        <v>45686</v>
      </c>
      <c r="Y212" s="144">
        <f>IFERROR(__xludf.DUMMYFUNCTION("""COMPUTED_VALUE"""),45707.0)</f>
        <v>45707</v>
      </c>
      <c r="Z212" s="131" t="str">
        <f>IFERROR(__xludf.DUMMYFUNCTION("""COMPUTED_VALUE"""),"BRG9")</f>
        <v>BRG9</v>
      </c>
      <c r="AA212" s="131">
        <f>IFERROR(__xludf.DUMMYFUNCTION("""COMPUTED_VALUE"""),49.0)</f>
        <v>49</v>
      </c>
      <c r="AB212" s="131">
        <f>IFERROR(__xludf.DUMMYFUNCTION("""COMPUTED_VALUE"""),61.0)</f>
        <v>61</v>
      </c>
      <c r="AC212" s="131">
        <f>IFERROR(__xludf.DUMMYFUNCTION("""COMPUTED_VALUE"""),7.0)</f>
        <v>7</v>
      </c>
      <c r="AD212" s="131">
        <f>IFERROR(__xludf.DUMMYFUNCTION("""COMPUTED_VALUE"""),7.0)</f>
        <v>7</v>
      </c>
      <c r="AE212" s="131">
        <f>IFERROR(__xludf.DUMMYFUNCTION("""COMPUTED_VALUE"""),106.0)</f>
        <v>106</v>
      </c>
      <c r="AF212" s="131">
        <f>IFERROR(__xludf.DUMMYFUNCTION("""COMPUTED_VALUE"""),162.0)</f>
        <v>162</v>
      </c>
      <c r="AG212" s="131">
        <f>IFERROR(__xludf.DUMMYFUNCTION("""COMPUTED_VALUE"""),29.0)</f>
        <v>29</v>
      </c>
      <c r="AH212" s="131">
        <f>IFERROR(__xludf.DUMMYFUNCTION("""COMPUTED_VALUE"""),29.0)</f>
        <v>29</v>
      </c>
      <c r="AI212" s="131">
        <f>IFERROR(__xludf.DUMMYFUNCTION("""COMPUTED_VALUE"""),145.0)</f>
        <v>145</v>
      </c>
      <c r="AJ212" s="131" t="str">
        <f>IFERROR(__xludf.DUMMYFUNCTION("""COMPUTED_VALUE"""),"S22,G23")</f>
        <v>S22,G23</v>
      </c>
      <c r="AK212" s="131"/>
    </row>
    <row r="213">
      <c r="A213" s="145" t="str">
        <f>IFERROR(__xludf.DUMMYFUNCTION("""COMPUTED_VALUE"""),"Y")</f>
        <v>Y</v>
      </c>
      <c r="B213" s="146" t="str">
        <f>IFERROR(__xludf.DUMMYFUNCTION("""COMPUTED_VALUE"""),"4")</f>
        <v>4</v>
      </c>
      <c r="C213" s="146"/>
      <c r="D213" s="147">
        <f>IFERROR(__xludf.DUMMYFUNCTION("""COMPUTED_VALUE"""),45679.0)</f>
        <v>45679</v>
      </c>
      <c r="E213" s="147">
        <f>IFERROR(__xludf.DUMMYFUNCTION("""COMPUTED_VALUE"""),45686.0)</f>
        <v>45686</v>
      </c>
      <c r="F213" s="147">
        <f>IFERROR(__xludf.DUMMYFUNCTION("""COMPUTED_VALUE"""),45707.0)</f>
        <v>45707</v>
      </c>
      <c r="G213" s="146" t="str">
        <f>IFERROR(__xludf.DUMMYFUNCTION("""COMPUTED_VALUE"""),"BRG9")</f>
        <v>BRG9</v>
      </c>
      <c r="H213" s="148">
        <f>IFERROR(__xludf.DUMMYFUNCTION("""COMPUTED_VALUE"""),49.0)</f>
        <v>49</v>
      </c>
      <c r="I213" s="148">
        <f>IFERROR(__xludf.DUMMYFUNCTION("""COMPUTED_VALUE"""),61.0)</f>
        <v>61</v>
      </c>
      <c r="J213" s="146">
        <f>IFERROR(__xludf.DUMMYFUNCTION("""COMPUTED_VALUE"""),7.0)</f>
        <v>7</v>
      </c>
      <c r="K213" s="146">
        <f>IFERROR(__xludf.DUMMYFUNCTION("""COMPUTED_VALUE"""),7.0)</f>
        <v>7</v>
      </c>
      <c r="L213" s="146">
        <f>IFERROR(__xludf.DUMMYFUNCTION("""COMPUTED_VALUE"""),106.0)</f>
        <v>106</v>
      </c>
      <c r="M213" s="146">
        <f>IFERROR(__xludf.DUMMYFUNCTION("""COMPUTED_VALUE"""),162.0)</f>
        <v>162</v>
      </c>
      <c r="N213" s="146">
        <f>IFERROR(__xludf.DUMMYFUNCTION("""COMPUTED_VALUE"""),29.0)</f>
        <v>29</v>
      </c>
      <c r="O213" s="146">
        <f>IFERROR(__xludf.DUMMYFUNCTION("""COMPUTED_VALUE"""),29.0)</f>
        <v>29</v>
      </c>
      <c r="P213" s="146">
        <f>IFERROR(__xludf.DUMMYFUNCTION("""COMPUTED_VALUE"""),145.0)</f>
        <v>145</v>
      </c>
      <c r="Q213" s="146" t="str">
        <f>IFERROR(__xludf.DUMMYFUNCTION("""COMPUTED_VALUE"""),"S22,G23")</f>
        <v>S22,G23</v>
      </c>
      <c r="R213" s="146"/>
      <c r="T213" s="131" t="str">
        <f>IFERROR(__xludf.DUMMYFUNCTION("""COMPUTED_VALUE"""),"Y")</f>
        <v>Y</v>
      </c>
      <c r="U213" s="131" t="str">
        <f>IFERROR(__xludf.DUMMYFUNCTION("""COMPUTED_VALUE"""),"4")</f>
        <v>4</v>
      </c>
      <c r="V213" s="131"/>
      <c r="W213" s="144">
        <f>IFERROR(__xludf.DUMMYFUNCTION("""COMPUTED_VALUE"""),45680.0)</f>
        <v>45680</v>
      </c>
      <c r="X213" s="144">
        <f>IFERROR(__xludf.DUMMYFUNCTION("""COMPUTED_VALUE"""),45687.0)</f>
        <v>45687</v>
      </c>
      <c r="Y213" s="144">
        <f>IFERROR(__xludf.DUMMYFUNCTION("""COMPUTED_VALUE"""),45708.0)</f>
        <v>45708</v>
      </c>
      <c r="Z213" s="131" t="str">
        <f>IFERROR(__xludf.DUMMYFUNCTION("""COMPUTED_VALUE"""),"BRG12")</f>
        <v>BRG12</v>
      </c>
      <c r="AA213" s="131">
        <f>IFERROR(__xludf.DUMMYFUNCTION("""COMPUTED_VALUE"""),2615.0)</f>
        <v>2615</v>
      </c>
      <c r="AB213" s="131">
        <f>IFERROR(__xludf.DUMMYFUNCTION("""COMPUTED_VALUE"""),2625.0)</f>
        <v>2625</v>
      </c>
      <c r="AC213" s="131">
        <f>IFERROR(__xludf.DUMMYFUNCTION("""COMPUTED_VALUE"""),6.0)</f>
        <v>6</v>
      </c>
      <c r="AD213" s="131">
        <f>IFERROR(__xludf.DUMMYFUNCTION("""COMPUTED_VALUE"""),6.0)</f>
        <v>6</v>
      </c>
      <c r="AE213" s="131">
        <f>IFERROR(__xludf.DUMMYFUNCTION("""COMPUTED_VALUE"""),2504.0)</f>
        <v>2504</v>
      </c>
      <c r="AF213" s="131">
        <f>IFERROR(__xludf.DUMMYFUNCTION("""COMPUTED_VALUE"""),2534.0)</f>
        <v>2534</v>
      </c>
      <c r="AG213" s="131">
        <f>IFERROR(__xludf.DUMMYFUNCTION("""COMPUTED_VALUE"""),16.0)</f>
        <v>16</v>
      </c>
      <c r="AH213" s="131">
        <f>IFERROR(__xludf.DUMMYFUNCTION("""COMPUTED_VALUE"""),16.0)</f>
        <v>16</v>
      </c>
      <c r="AI213" s="131">
        <f>IFERROR(__xludf.DUMMYFUNCTION("""COMPUTED_VALUE"""),147.0)</f>
        <v>147</v>
      </c>
      <c r="AJ213" s="131"/>
      <c r="AK213" s="131"/>
    </row>
    <row r="214">
      <c r="A214" s="145" t="str">
        <f>IFERROR(__xludf.DUMMYFUNCTION("""COMPUTED_VALUE"""),"Y")</f>
        <v>Y</v>
      </c>
      <c r="B214" s="146" t="str">
        <f>IFERROR(__xludf.DUMMYFUNCTION("""COMPUTED_VALUE"""),"4")</f>
        <v>4</v>
      </c>
      <c r="C214" s="146"/>
      <c r="D214" s="147">
        <f>IFERROR(__xludf.DUMMYFUNCTION("""COMPUTED_VALUE"""),45680.0)</f>
        <v>45680</v>
      </c>
      <c r="E214" s="147">
        <f>IFERROR(__xludf.DUMMYFUNCTION("""COMPUTED_VALUE"""),45687.0)</f>
        <v>45687</v>
      </c>
      <c r="F214" s="147">
        <f>IFERROR(__xludf.DUMMYFUNCTION("""COMPUTED_VALUE"""),45708.0)</f>
        <v>45708</v>
      </c>
      <c r="G214" s="146" t="str">
        <f>IFERROR(__xludf.DUMMYFUNCTION("""COMPUTED_VALUE"""),"BRG12")</f>
        <v>BRG12</v>
      </c>
      <c r="H214" s="148">
        <f>IFERROR(__xludf.DUMMYFUNCTION("""COMPUTED_VALUE"""),2615.0)</f>
        <v>2615</v>
      </c>
      <c r="I214" s="148">
        <f>IFERROR(__xludf.DUMMYFUNCTION("""COMPUTED_VALUE"""),2625.0)</f>
        <v>2625</v>
      </c>
      <c r="J214" s="146">
        <f>IFERROR(__xludf.DUMMYFUNCTION("""COMPUTED_VALUE"""),6.0)</f>
        <v>6</v>
      </c>
      <c r="K214" s="146">
        <f>IFERROR(__xludf.DUMMYFUNCTION("""COMPUTED_VALUE"""),6.0)</f>
        <v>6</v>
      </c>
      <c r="L214" s="146">
        <f>IFERROR(__xludf.DUMMYFUNCTION("""COMPUTED_VALUE"""),2504.0)</f>
        <v>2504</v>
      </c>
      <c r="M214" s="146">
        <f>IFERROR(__xludf.DUMMYFUNCTION("""COMPUTED_VALUE"""),2534.0)</f>
        <v>2534</v>
      </c>
      <c r="N214" s="146">
        <f>IFERROR(__xludf.DUMMYFUNCTION("""COMPUTED_VALUE"""),16.0)</f>
        <v>16</v>
      </c>
      <c r="O214" s="146">
        <f>IFERROR(__xludf.DUMMYFUNCTION("""COMPUTED_VALUE"""),16.0)</f>
        <v>16</v>
      </c>
      <c r="P214" s="146">
        <f>IFERROR(__xludf.DUMMYFUNCTION("""COMPUTED_VALUE"""),147.0)</f>
        <v>147</v>
      </c>
      <c r="Q214" s="146"/>
      <c r="R214" s="146"/>
      <c r="T214" s="131" t="str">
        <f>IFERROR(__xludf.DUMMYFUNCTION("""COMPUTED_VALUE"""),"Y")</f>
        <v>Y</v>
      </c>
      <c r="U214" s="131" t="str">
        <f>IFERROR(__xludf.DUMMYFUNCTION("""COMPUTED_VALUE"""),"4")</f>
        <v>4</v>
      </c>
      <c r="V214" s="131"/>
      <c r="W214" s="144">
        <f>IFERROR(__xludf.DUMMYFUNCTION("""COMPUTED_VALUE"""),45680.0)</f>
        <v>45680</v>
      </c>
      <c r="X214" s="144">
        <f>IFERROR(__xludf.DUMMYFUNCTION("""COMPUTED_VALUE"""),45687.0)</f>
        <v>45687</v>
      </c>
      <c r="Y214" s="144">
        <f>IFERROR(__xludf.DUMMYFUNCTION("""COMPUTED_VALUE"""),45708.0)</f>
        <v>45708</v>
      </c>
      <c r="Z214" s="131" t="str">
        <f>IFERROR(__xludf.DUMMYFUNCTION("""COMPUTED_VALUE"""),"DC34")</f>
        <v>DC34</v>
      </c>
      <c r="AA214" s="131">
        <f>IFERROR(__xludf.DUMMYFUNCTION("""COMPUTED_VALUE"""),395.0)</f>
        <v>395</v>
      </c>
      <c r="AB214" s="131">
        <f>IFERROR(__xludf.DUMMYFUNCTION("""COMPUTED_VALUE"""),399.0)</f>
        <v>399</v>
      </c>
      <c r="AC214" s="131">
        <f>IFERROR(__xludf.DUMMYFUNCTION("""COMPUTED_VALUE"""),3.0)</f>
        <v>3</v>
      </c>
      <c r="AD214" s="131">
        <f>IFERROR(__xludf.DUMMYFUNCTION("""COMPUTED_VALUE"""),3.0)</f>
        <v>3</v>
      </c>
      <c r="AE214" s="131">
        <f>IFERROR(__xludf.DUMMYFUNCTION("""COMPUTED_VALUE"""),342.0)</f>
        <v>342</v>
      </c>
      <c r="AF214" s="131">
        <f>IFERROR(__xludf.DUMMYFUNCTION("""COMPUTED_VALUE"""),376.0)</f>
        <v>376</v>
      </c>
      <c r="AG214" s="131">
        <f>IFERROR(__xludf.DUMMYFUNCTION("""COMPUTED_VALUE"""),18.0)</f>
        <v>18</v>
      </c>
      <c r="AH214" s="131">
        <f>IFERROR(__xludf.DUMMYFUNCTION("""COMPUTED_VALUE"""),18.0)</f>
        <v>18</v>
      </c>
      <c r="AI214" s="131">
        <f>IFERROR(__xludf.DUMMYFUNCTION("""COMPUTED_VALUE"""),148.0)</f>
        <v>148</v>
      </c>
      <c r="AJ214" s="131"/>
      <c r="AK214" s="131"/>
    </row>
    <row r="215">
      <c r="A215" s="145" t="str">
        <f>IFERROR(__xludf.DUMMYFUNCTION("""COMPUTED_VALUE"""),"Y")</f>
        <v>Y</v>
      </c>
      <c r="B215" s="146" t="str">
        <f>IFERROR(__xludf.DUMMYFUNCTION("""COMPUTED_VALUE"""),"4")</f>
        <v>4</v>
      </c>
      <c r="C215" s="146"/>
      <c r="D215" s="147">
        <f>IFERROR(__xludf.DUMMYFUNCTION("""COMPUTED_VALUE"""),45680.0)</f>
        <v>45680</v>
      </c>
      <c r="E215" s="147">
        <f>IFERROR(__xludf.DUMMYFUNCTION("""COMPUTED_VALUE"""),45687.0)</f>
        <v>45687</v>
      </c>
      <c r="F215" s="147">
        <f>IFERROR(__xludf.DUMMYFUNCTION("""COMPUTED_VALUE"""),45708.0)</f>
        <v>45708</v>
      </c>
      <c r="G215" s="146" t="str">
        <f>IFERROR(__xludf.DUMMYFUNCTION("""COMPUTED_VALUE"""),"DC34")</f>
        <v>DC34</v>
      </c>
      <c r="H215" s="148">
        <f>IFERROR(__xludf.DUMMYFUNCTION("""COMPUTED_VALUE"""),395.0)</f>
        <v>395</v>
      </c>
      <c r="I215" s="148">
        <f>IFERROR(__xludf.DUMMYFUNCTION("""COMPUTED_VALUE"""),399.0)</f>
        <v>399</v>
      </c>
      <c r="J215" s="146">
        <f>IFERROR(__xludf.DUMMYFUNCTION("""COMPUTED_VALUE"""),3.0)</f>
        <v>3</v>
      </c>
      <c r="K215" s="146">
        <f>IFERROR(__xludf.DUMMYFUNCTION("""COMPUTED_VALUE"""),3.0)</f>
        <v>3</v>
      </c>
      <c r="L215" s="146">
        <f>IFERROR(__xludf.DUMMYFUNCTION("""COMPUTED_VALUE"""),342.0)</f>
        <v>342</v>
      </c>
      <c r="M215" s="146">
        <f>IFERROR(__xludf.DUMMYFUNCTION("""COMPUTED_VALUE"""),376.0)</f>
        <v>376</v>
      </c>
      <c r="N215" s="146">
        <f>IFERROR(__xludf.DUMMYFUNCTION("""COMPUTED_VALUE"""),18.0)</f>
        <v>18</v>
      </c>
      <c r="O215" s="146">
        <f>IFERROR(__xludf.DUMMYFUNCTION("""COMPUTED_VALUE"""),18.0)</f>
        <v>18</v>
      </c>
      <c r="P215" s="146">
        <f>IFERROR(__xludf.DUMMYFUNCTION("""COMPUTED_VALUE"""),148.0)</f>
        <v>148</v>
      </c>
      <c r="Q215" s="146"/>
      <c r="R215" s="146"/>
      <c r="T215" s="131" t="str">
        <f>IFERROR(__xludf.DUMMYFUNCTION("""COMPUTED_VALUE"""),"Y")</f>
        <v>Y</v>
      </c>
      <c r="U215" s="131" t="str">
        <f>IFERROR(__xludf.DUMMYFUNCTION("""COMPUTED_VALUE"""),"4")</f>
        <v>4</v>
      </c>
      <c r="V215" s="131"/>
      <c r="W215" s="144">
        <f>IFERROR(__xludf.DUMMYFUNCTION("""COMPUTED_VALUE"""),45680.0)</f>
        <v>45680</v>
      </c>
      <c r="X215" s="144">
        <f>IFERROR(__xludf.DUMMYFUNCTION("""COMPUTED_VALUE"""),45687.0)</f>
        <v>45687</v>
      </c>
      <c r="Y215" s="144">
        <f>IFERROR(__xludf.DUMMYFUNCTION("""COMPUTED_VALUE"""),45708.0)</f>
        <v>45708</v>
      </c>
      <c r="Z215" s="131" t="str">
        <f>IFERROR(__xludf.DUMMYFUNCTION("""COMPUTED_VALUE"""),"BRG9")</f>
        <v>BRG9</v>
      </c>
      <c r="AA215" s="131">
        <f>IFERROR(__xludf.DUMMYFUNCTION("""COMPUTED_VALUE"""),63.0)</f>
        <v>63</v>
      </c>
      <c r="AB215" s="131">
        <f>IFERROR(__xludf.DUMMYFUNCTION("""COMPUTED_VALUE"""),91.0)</f>
        <v>91</v>
      </c>
      <c r="AC215" s="131">
        <f>IFERROR(__xludf.DUMMYFUNCTION("""COMPUTED_VALUE"""),15.0)</f>
        <v>15</v>
      </c>
      <c r="AD215" s="131">
        <f>IFERROR(__xludf.DUMMYFUNCTION("""COMPUTED_VALUE"""),15.0)</f>
        <v>15</v>
      </c>
      <c r="AE215" s="131"/>
      <c r="AF215" s="131"/>
      <c r="AG215" s="131"/>
      <c r="AH215" s="131"/>
      <c r="AI215" s="131">
        <f>IFERROR(__xludf.DUMMYFUNCTION("""COMPUTED_VALUE"""),146.0)</f>
        <v>146</v>
      </c>
      <c r="AJ215" s="131" t="str">
        <f>IFERROR(__xludf.DUMMYFUNCTION("""COMPUTED_VALUE"""),"S23,G24")</f>
        <v>S23,G24</v>
      </c>
      <c r="AK215" s="131"/>
    </row>
    <row r="216">
      <c r="A216" s="145" t="str">
        <f>IFERROR(__xludf.DUMMYFUNCTION("""COMPUTED_VALUE"""),"Y")</f>
        <v>Y</v>
      </c>
      <c r="B216" s="146" t="str">
        <f>IFERROR(__xludf.DUMMYFUNCTION("""COMPUTED_VALUE"""),"4")</f>
        <v>4</v>
      </c>
      <c r="C216" s="146"/>
      <c r="D216" s="147">
        <f>IFERROR(__xludf.DUMMYFUNCTION("""COMPUTED_VALUE"""),45680.0)</f>
        <v>45680</v>
      </c>
      <c r="E216" s="147">
        <f>IFERROR(__xludf.DUMMYFUNCTION("""COMPUTED_VALUE"""),45687.0)</f>
        <v>45687</v>
      </c>
      <c r="F216" s="147">
        <f>IFERROR(__xludf.DUMMYFUNCTION("""COMPUTED_VALUE"""),45708.0)</f>
        <v>45708</v>
      </c>
      <c r="G216" s="146" t="str">
        <f>IFERROR(__xludf.DUMMYFUNCTION("""COMPUTED_VALUE"""),"BRG9")</f>
        <v>BRG9</v>
      </c>
      <c r="H216" s="148">
        <f>IFERROR(__xludf.DUMMYFUNCTION("""COMPUTED_VALUE"""),63.0)</f>
        <v>63</v>
      </c>
      <c r="I216" s="148">
        <f>IFERROR(__xludf.DUMMYFUNCTION("""COMPUTED_VALUE"""),91.0)</f>
        <v>91</v>
      </c>
      <c r="J216" s="146">
        <f>IFERROR(__xludf.DUMMYFUNCTION("""COMPUTED_VALUE"""),15.0)</f>
        <v>15</v>
      </c>
      <c r="K216" s="146">
        <f>IFERROR(__xludf.DUMMYFUNCTION("""COMPUTED_VALUE"""),15.0)</f>
        <v>15</v>
      </c>
      <c r="L216" s="146"/>
      <c r="M216" s="146"/>
      <c r="N216" s="146"/>
      <c r="O216" s="146"/>
      <c r="P216" s="146">
        <f>IFERROR(__xludf.DUMMYFUNCTION("""COMPUTED_VALUE"""),146.0)</f>
        <v>146</v>
      </c>
      <c r="Q216" s="146" t="str">
        <f>IFERROR(__xludf.DUMMYFUNCTION("""COMPUTED_VALUE"""),"S23,G24")</f>
        <v>S23,G24</v>
      </c>
      <c r="R216" s="146"/>
      <c r="T216" s="131" t="str">
        <f>IFERROR(__xludf.DUMMYFUNCTION("""COMPUTED_VALUE"""),"Y")</f>
        <v>Y</v>
      </c>
      <c r="U216" s="131" t="str">
        <f>IFERROR(__xludf.DUMMYFUNCTION("""COMPUTED_VALUE"""),"4")</f>
        <v>4</v>
      </c>
      <c r="V216" s="131"/>
      <c r="W216" s="144">
        <f>IFERROR(__xludf.DUMMYFUNCTION("""COMPUTED_VALUE"""),45687.0)</f>
        <v>45687</v>
      </c>
      <c r="X216" s="144">
        <f>IFERROR(__xludf.DUMMYFUNCTION("""COMPUTED_VALUE"""),45694.0)</f>
        <v>45694</v>
      </c>
      <c r="Y216" s="144">
        <f>IFERROR(__xludf.DUMMYFUNCTION("""COMPUTED_VALUE"""),45715.0)</f>
        <v>45715</v>
      </c>
      <c r="Z216" s="131" t="str">
        <f>IFERROR(__xludf.DUMMYFUNCTION("""COMPUTED_VALUE"""),"D35-3R")</f>
        <v>D35-3R</v>
      </c>
      <c r="AA216" s="131">
        <f>IFERROR(__xludf.DUMMYFUNCTION("""COMPUTED_VALUE"""),249.0)</f>
        <v>249</v>
      </c>
      <c r="AB216" s="131">
        <f>IFERROR(__xludf.DUMMYFUNCTION("""COMPUTED_VALUE"""),299.0)</f>
        <v>299</v>
      </c>
      <c r="AC216" s="131">
        <f>IFERROR(__xludf.DUMMYFUNCTION("""COMPUTED_VALUE"""),26.0)</f>
        <v>26</v>
      </c>
      <c r="AD216" s="131">
        <f>IFERROR(__xludf.DUMMYFUNCTION("""COMPUTED_VALUE"""),26.0)</f>
        <v>26</v>
      </c>
      <c r="AE216" s="131">
        <f>IFERROR(__xludf.DUMMYFUNCTION("""COMPUTED_VALUE"""),302.0)</f>
        <v>302</v>
      </c>
      <c r="AF216" s="131">
        <f>IFERROR(__xludf.DUMMYFUNCTION("""COMPUTED_VALUE"""),390.0)</f>
        <v>390</v>
      </c>
      <c r="AG216" s="131">
        <f>IFERROR(__xludf.DUMMYFUNCTION("""COMPUTED_VALUE"""),45.0)</f>
        <v>45</v>
      </c>
      <c r="AH216" s="131">
        <f>IFERROR(__xludf.DUMMYFUNCTION("""COMPUTED_VALUE"""),45.0)</f>
        <v>45</v>
      </c>
      <c r="AI216" s="131"/>
      <c r="AJ216" s="131"/>
      <c r="AK216" s="131"/>
    </row>
    <row r="217">
      <c r="A217" s="145" t="str">
        <f>IFERROR(__xludf.DUMMYFUNCTION("""COMPUTED_VALUE"""),"Y")</f>
        <v>Y</v>
      </c>
      <c r="B217" s="146" t="str">
        <f>IFERROR(__xludf.DUMMYFUNCTION("""COMPUTED_VALUE"""),"4")</f>
        <v>4</v>
      </c>
      <c r="C217" s="146"/>
      <c r="D217" s="147">
        <f>IFERROR(__xludf.DUMMYFUNCTION("""COMPUTED_VALUE"""),45687.0)</f>
        <v>45687</v>
      </c>
      <c r="E217" s="147">
        <f>IFERROR(__xludf.DUMMYFUNCTION("""COMPUTED_VALUE"""),45694.0)</f>
        <v>45694</v>
      </c>
      <c r="F217" s="147">
        <f>IFERROR(__xludf.DUMMYFUNCTION("""COMPUTED_VALUE"""),45715.0)</f>
        <v>45715</v>
      </c>
      <c r="G217" s="146" t="str">
        <f>IFERROR(__xludf.DUMMYFUNCTION("""COMPUTED_VALUE"""),"D35-3R")</f>
        <v>D35-3R</v>
      </c>
      <c r="H217" s="148">
        <f>IFERROR(__xludf.DUMMYFUNCTION("""COMPUTED_VALUE"""),249.0)</f>
        <v>249</v>
      </c>
      <c r="I217" s="148">
        <f>IFERROR(__xludf.DUMMYFUNCTION("""COMPUTED_VALUE"""),299.0)</f>
        <v>299</v>
      </c>
      <c r="J217" s="146">
        <f>IFERROR(__xludf.DUMMYFUNCTION("""COMPUTED_VALUE"""),26.0)</f>
        <v>26</v>
      </c>
      <c r="K217" s="146">
        <f>IFERROR(__xludf.DUMMYFUNCTION("""COMPUTED_VALUE"""),26.0)</f>
        <v>26</v>
      </c>
      <c r="L217" s="146">
        <f>IFERROR(__xludf.DUMMYFUNCTION("""COMPUTED_VALUE"""),302.0)</f>
        <v>302</v>
      </c>
      <c r="M217" s="146">
        <f>IFERROR(__xludf.DUMMYFUNCTION("""COMPUTED_VALUE"""),390.0)</f>
        <v>390</v>
      </c>
      <c r="N217" s="146">
        <f>IFERROR(__xludf.DUMMYFUNCTION("""COMPUTED_VALUE"""),45.0)</f>
        <v>45</v>
      </c>
      <c r="O217" s="146">
        <f>IFERROR(__xludf.DUMMYFUNCTION("""COMPUTED_VALUE"""),45.0)</f>
        <v>45</v>
      </c>
      <c r="P217" s="146"/>
      <c r="Q217" s="146"/>
      <c r="R217" s="146"/>
      <c r="T217" s="131" t="str">
        <f>IFERROR(__xludf.DUMMYFUNCTION("""COMPUTED_VALUE"""),"Y")</f>
        <v>Y</v>
      </c>
      <c r="U217" s="131" t="str">
        <f>IFERROR(__xludf.DUMMYFUNCTION("""COMPUTED_VALUE"""),"4")</f>
        <v>4</v>
      </c>
      <c r="V217" s="131"/>
      <c r="W217" s="144">
        <f>IFERROR(__xludf.DUMMYFUNCTION("""COMPUTED_VALUE"""),45687.0)</f>
        <v>45687</v>
      </c>
      <c r="X217" s="144">
        <f>IFERROR(__xludf.DUMMYFUNCTION("""COMPUTED_VALUE"""),45694.0)</f>
        <v>45694</v>
      </c>
      <c r="Y217" s="144">
        <f>IFERROR(__xludf.DUMMYFUNCTION("""COMPUTED_VALUE"""),45715.0)</f>
        <v>45715</v>
      </c>
      <c r="Z217" s="131" t="str">
        <f>IFERROR(__xludf.DUMMYFUNCTION("""COMPUTED_VALUE"""),"BRG12")</f>
        <v>BRG12</v>
      </c>
      <c r="AA217" s="131">
        <f>IFERROR(__xludf.DUMMYFUNCTION("""COMPUTED_VALUE"""),2627.0)</f>
        <v>2627</v>
      </c>
      <c r="AB217" s="131">
        <f>IFERROR(__xludf.DUMMYFUNCTION("""COMPUTED_VALUE"""),2687.0)</f>
        <v>2687</v>
      </c>
      <c r="AC217" s="131">
        <f>IFERROR(__xludf.DUMMYFUNCTION("""COMPUTED_VALUE"""),31.0)</f>
        <v>31</v>
      </c>
      <c r="AD217" s="131">
        <f>IFERROR(__xludf.DUMMYFUNCTION("""COMPUTED_VALUE"""),31.0)</f>
        <v>31</v>
      </c>
      <c r="AE217" s="131">
        <f>IFERROR(__xludf.DUMMYFUNCTION("""COMPUTED_VALUE"""),2562.0)</f>
        <v>2562</v>
      </c>
      <c r="AF217" s="131">
        <f>IFERROR(__xludf.DUMMYFUNCTION("""COMPUTED_VALUE"""),2606.0)</f>
        <v>2606</v>
      </c>
      <c r="AG217" s="131">
        <f>IFERROR(__xludf.DUMMYFUNCTION("""COMPUTED_VALUE"""),23.0)</f>
        <v>23</v>
      </c>
      <c r="AH217" s="131">
        <f>IFERROR(__xludf.DUMMYFUNCTION("""COMPUTED_VALUE"""),23.0)</f>
        <v>23</v>
      </c>
      <c r="AI217" s="131">
        <f>IFERROR(__xludf.DUMMYFUNCTION("""COMPUTED_VALUE"""),150.0)</f>
        <v>150</v>
      </c>
      <c r="AJ217" s="131"/>
      <c r="AK217" s="131"/>
    </row>
    <row r="218">
      <c r="A218" s="145" t="str">
        <f>IFERROR(__xludf.DUMMYFUNCTION("""COMPUTED_VALUE"""),"Y")</f>
        <v>Y</v>
      </c>
      <c r="B218" s="146" t="str">
        <f>IFERROR(__xludf.DUMMYFUNCTION("""COMPUTED_VALUE"""),"4")</f>
        <v>4</v>
      </c>
      <c r="C218" s="146"/>
      <c r="D218" s="147">
        <f>IFERROR(__xludf.DUMMYFUNCTION("""COMPUTED_VALUE"""),45687.0)</f>
        <v>45687</v>
      </c>
      <c r="E218" s="147">
        <f>IFERROR(__xludf.DUMMYFUNCTION("""COMPUTED_VALUE"""),45694.0)</f>
        <v>45694</v>
      </c>
      <c r="F218" s="147">
        <f>IFERROR(__xludf.DUMMYFUNCTION("""COMPUTED_VALUE"""),45715.0)</f>
        <v>45715</v>
      </c>
      <c r="G218" s="146" t="str">
        <f>IFERROR(__xludf.DUMMYFUNCTION("""COMPUTED_VALUE"""),"BRG12")</f>
        <v>BRG12</v>
      </c>
      <c r="H218" s="148">
        <f>IFERROR(__xludf.DUMMYFUNCTION("""COMPUTED_VALUE"""),2627.0)</f>
        <v>2627</v>
      </c>
      <c r="I218" s="148">
        <f>IFERROR(__xludf.DUMMYFUNCTION("""COMPUTED_VALUE"""),2687.0)</f>
        <v>2687</v>
      </c>
      <c r="J218" s="146">
        <f>IFERROR(__xludf.DUMMYFUNCTION("""COMPUTED_VALUE"""),31.0)</f>
        <v>31</v>
      </c>
      <c r="K218" s="146">
        <f>IFERROR(__xludf.DUMMYFUNCTION("""COMPUTED_VALUE"""),31.0)</f>
        <v>31</v>
      </c>
      <c r="L218" s="146">
        <f>IFERROR(__xludf.DUMMYFUNCTION("""COMPUTED_VALUE"""),2562.0)</f>
        <v>2562</v>
      </c>
      <c r="M218" s="146">
        <f>IFERROR(__xludf.DUMMYFUNCTION("""COMPUTED_VALUE"""),2606.0)</f>
        <v>2606</v>
      </c>
      <c r="N218" s="146">
        <f>IFERROR(__xludf.DUMMYFUNCTION("""COMPUTED_VALUE"""),23.0)</f>
        <v>23</v>
      </c>
      <c r="O218" s="146">
        <f>IFERROR(__xludf.DUMMYFUNCTION("""COMPUTED_VALUE"""),23.0)</f>
        <v>23</v>
      </c>
      <c r="P218" s="146">
        <f>IFERROR(__xludf.DUMMYFUNCTION("""COMPUTED_VALUE"""),150.0)</f>
        <v>150</v>
      </c>
      <c r="Q218" s="146"/>
      <c r="R218" s="146"/>
      <c r="T218" s="131" t="str">
        <f>IFERROR(__xludf.DUMMYFUNCTION("""COMPUTED_VALUE"""),"Y")</f>
        <v>Y</v>
      </c>
      <c r="U218" s="131" t="str">
        <f>IFERROR(__xludf.DUMMYFUNCTION("""COMPUTED_VALUE"""),"4")</f>
        <v>4</v>
      </c>
      <c r="V218" s="131"/>
      <c r="W218" s="144">
        <f>IFERROR(__xludf.DUMMYFUNCTION("""COMPUTED_VALUE"""),45689.0)</f>
        <v>45689</v>
      </c>
      <c r="X218" s="144">
        <f>IFERROR(__xludf.DUMMYFUNCTION("""COMPUTED_VALUE"""),45696.0)</f>
        <v>45696</v>
      </c>
      <c r="Y218" s="144">
        <f>IFERROR(__xludf.DUMMYFUNCTION("""COMPUTED_VALUE"""),45717.0)</f>
        <v>45717</v>
      </c>
      <c r="Z218" s="131" t="str">
        <f>IFERROR(__xludf.DUMMYFUNCTION("""COMPUTED_VALUE"""),"BRG12")</f>
        <v>BRG12</v>
      </c>
      <c r="AA218" s="131">
        <f>IFERROR(__xludf.DUMMYFUNCTION("""COMPUTED_VALUE"""),2689.0)</f>
        <v>2689</v>
      </c>
      <c r="AB218" s="131">
        <f>IFERROR(__xludf.DUMMYFUNCTION("""COMPUTED_VALUE"""),2737.0)</f>
        <v>2737</v>
      </c>
      <c r="AC218" s="131">
        <f>IFERROR(__xludf.DUMMYFUNCTION("""COMPUTED_VALUE"""),25.0)</f>
        <v>25</v>
      </c>
      <c r="AD218" s="131">
        <f>IFERROR(__xludf.DUMMYFUNCTION("""COMPUTED_VALUE"""),25.0)</f>
        <v>25</v>
      </c>
      <c r="AE218" s="131">
        <f>IFERROR(__xludf.DUMMYFUNCTION("""COMPUTED_VALUE"""),2608.0)</f>
        <v>2608</v>
      </c>
      <c r="AF218" s="131">
        <f>IFERROR(__xludf.DUMMYFUNCTION("""COMPUTED_VALUE"""),2666.0)</f>
        <v>2666</v>
      </c>
      <c r="AG218" s="131">
        <f>IFERROR(__xludf.DUMMYFUNCTION("""COMPUTED_VALUE"""),30.0)</f>
        <v>30</v>
      </c>
      <c r="AH218" s="131">
        <f>IFERROR(__xludf.DUMMYFUNCTION("""COMPUTED_VALUE"""),30.0)</f>
        <v>30</v>
      </c>
      <c r="AI218" s="131">
        <f>IFERROR(__xludf.DUMMYFUNCTION("""COMPUTED_VALUE"""),151.0)</f>
        <v>151</v>
      </c>
      <c r="AJ218" s="131"/>
      <c r="AK218" s="131"/>
    </row>
    <row r="219">
      <c r="A219" s="145" t="str">
        <f>IFERROR(__xludf.DUMMYFUNCTION("""COMPUTED_VALUE"""),"Y")</f>
        <v>Y</v>
      </c>
      <c r="B219" s="146" t="str">
        <f>IFERROR(__xludf.DUMMYFUNCTION("""COMPUTED_VALUE"""),"4")</f>
        <v>4</v>
      </c>
      <c r="C219" s="146"/>
      <c r="D219" s="147">
        <f>IFERROR(__xludf.DUMMYFUNCTION("""COMPUTED_VALUE"""),45689.0)</f>
        <v>45689</v>
      </c>
      <c r="E219" s="147">
        <f>IFERROR(__xludf.DUMMYFUNCTION("""COMPUTED_VALUE"""),45696.0)</f>
        <v>45696</v>
      </c>
      <c r="F219" s="147">
        <f>IFERROR(__xludf.DUMMYFUNCTION("""COMPUTED_VALUE"""),45717.0)</f>
        <v>45717</v>
      </c>
      <c r="G219" s="146" t="str">
        <f>IFERROR(__xludf.DUMMYFUNCTION("""COMPUTED_VALUE"""),"BRG12")</f>
        <v>BRG12</v>
      </c>
      <c r="H219" s="148">
        <f>IFERROR(__xludf.DUMMYFUNCTION("""COMPUTED_VALUE"""),2689.0)</f>
        <v>2689</v>
      </c>
      <c r="I219" s="148">
        <f>IFERROR(__xludf.DUMMYFUNCTION("""COMPUTED_VALUE"""),2737.0)</f>
        <v>2737</v>
      </c>
      <c r="J219" s="146">
        <f>IFERROR(__xludf.DUMMYFUNCTION("""COMPUTED_VALUE"""),25.0)</f>
        <v>25</v>
      </c>
      <c r="K219" s="146">
        <f>IFERROR(__xludf.DUMMYFUNCTION("""COMPUTED_VALUE"""),25.0)</f>
        <v>25</v>
      </c>
      <c r="L219" s="146">
        <f>IFERROR(__xludf.DUMMYFUNCTION("""COMPUTED_VALUE"""),2608.0)</f>
        <v>2608</v>
      </c>
      <c r="M219" s="146">
        <f>IFERROR(__xludf.DUMMYFUNCTION("""COMPUTED_VALUE"""),2666.0)</f>
        <v>2666</v>
      </c>
      <c r="N219" s="146">
        <f>IFERROR(__xludf.DUMMYFUNCTION("""COMPUTED_VALUE"""),30.0)</f>
        <v>30</v>
      </c>
      <c r="O219" s="146">
        <f>IFERROR(__xludf.DUMMYFUNCTION("""COMPUTED_VALUE"""),30.0)</f>
        <v>30</v>
      </c>
      <c r="P219" s="146">
        <f>IFERROR(__xludf.DUMMYFUNCTION("""COMPUTED_VALUE"""),151.0)</f>
        <v>151</v>
      </c>
      <c r="Q219" s="146"/>
      <c r="R219" s="146"/>
      <c r="T219" s="131" t="str">
        <f>IFERROR(__xludf.DUMMYFUNCTION("""COMPUTED_VALUE"""),"Y")</f>
        <v>Y</v>
      </c>
      <c r="U219" s="131" t="str">
        <f>IFERROR(__xludf.DUMMYFUNCTION("""COMPUTED_VALUE"""),"4")</f>
        <v>4</v>
      </c>
      <c r="V219" s="131"/>
      <c r="W219" s="144">
        <f>IFERROR(__xludf.DUMMYFUNCTION("""COMPUTED_VALUE"""),45689.0)</f>
        <v>45689</v>
      </c>
      <c r="X219" s="144">
        <f>IFERROR(__xludf.DUMMYFUNCTION("""COMPUTED_VALUE"""),45696.0)</f>
        <v>45696</v>
      </c>
      <c r="Y219" s="144">
        <f>IFERROR(__xludf.DUMMYFUNCTION("""COMPUTED_VALUE"""),45717.0)</f>
        <v>45717</v>
      </c>
      <c r="Z219" s="131" t="str">
        <f>IFERROR(__xludf.DUMMYFUNCTION("""COMPUTED_VALUE"""),"DC34")</f>
        <v>DC34</v>
      </c>
      <c r="AA219" s="131">
        <f>IFERROR(__xludf.DUMMYFUNCTION("""COMPUTED_VALUE"""),401.0)</f>
        <v>401</v>
      </c>
      <c r="AB219" s="131">
        <f>IFERROR(__xludf.DUMMYFUNCTION("""COMPUTED_VALUE"""),539.0)</f>
        <v>539</v>
      </c>
      <c r="AC219" s="131">
        <f>IFERROR(__xludf.DUMMYFUNCTION("""COMPUTED_VALUE"""),70.0)</f>
        <v>70</v>
      </c>
      <c r="AD219" s="131">
        <f>IFERROR(__xludf.DUMMYFUNCTION("""COMPUTED_VALUE"""),70.0)</f>
        <v>70</v>
      </c>
      <c r="AE219" s="131"/>
      <c r="AF219" s="131"/>
      <c r="AG219" s="131"/>
      <c r="AH219" s="131"/>
      <c r="AI219" s="131">
        <f>IFERROR(__xludf.DUMMYFUNCTION("""COMPUTED_VALUE"""),153.0)</f>
        <v>153</v>
      </c>
      <c r="AJ219" s="131"/>
      <c r="AK219" s="131"/>
    </row>
    <row r="220">
      <c r="A220" s="145" t="str">
        <f>IFERROR(__xludf.DUMMYFUNCTION("""COMPUTED_VALUE"""),"Y")</f>
        <v>Y</v>
      </c>
      <c r="B220" s="146" t="str">
        <f>IFERROR(__xludf.DUMMYFUNCTION("""COMPUTED_VALUE"""),"4")</f>
        <v>4</v>
      </c>
      <c r="C220" s="146"/>
      <c r="D220" s="147">
        <f>IFERROR(__xludf.DUMMYFUNCTION("""COMPUTED_VALUE"""),45689.0)</f>
        <v>45689</v>
      </c>
      <c r="E220" s="147">
        <f>IFERROR(__xludf.DUMMYFUNCTION("""COMPUTED_VALUE"""),45696.0)</f>
        <v>45696</v>
      </c>
      <c r="F220" s="147">
        <f>IFERROR(__xludf.DUMMYFUNCTION("""COMPUTED_VALUE"""),45717.0)</f>
        <v>45717</v>
      </c>
      <c r="G220" s="146" t="str">
        <f>IFERROR(__xludf.DUMMYFUNCTION("""COMPUTED_VALUE"""),"DC34")</f>
        <v>DC34</v>
      </c>
      <c r="H220" s="148">
        <f>IFERROR(__xludf.DUMMYFUNCTION("""COMPUTED_VALUE"""),401.0)</f>
        <v>401</v>
      </c>
      <c r="I220" s="148">
        <f>IFERROR(__xludf.DUMMYFUNCTION("""COMPUTED_VALUE"""),539.0)</f>
        <v>539</v>
      </c>
      <c r="J220" s="146">
        <f>IFERROR(__xludf.DUMMYFUNCTION("""COMPUTED_VALUE"""),70.0)</f>
        <v>70</v>
      </c>
      <c r="K220" s="146">
        <f>IFERROR(__xludf.DUMMYFUNCTION("""COMPUTED_VALUE"""),70.0)</f>
        <v>70</v>
      </c>
      <c r="L220" s="146"/>
      <c r="M220" s="146"/>
      <c r="N220" s="146"/>
      <c r="O220" s="146"/>
      <c r="P220" s="146">
        <f>IFERROR(__xludf.DUMMYFUNCTION("""COMPUTED_VALUE"""),153.0)</f>
        <v>153</v>
      </c>
      <c r="Q220" s="146"/>
      <c r="R220" s="146"/>
      <c r="T220" s="131" t="str">
        <f>IFERROR(__xludf.DUMMYFUNCTION("""COMPUTED_VALUE"""),"Y")</f>
        <v>Y</v>
      </c>
      <c r="U220" s="131" t="str">
        <f>IFERROR(__xludf.DUMMYFUNCTION("""COMPUTED_VALUE"""),"4")</f>
        <v>4</v>
      </c>
      <c r="V220" s="131"/>
      <c r="W220" s="144">
        <f>IFERROR(__xludf.DUMMYFUNCTION("""COMPUTED_VALUE"""),45689.0)</f>
        <v>45689</v>
      </c>
      <c r="X220" s="144">
        <f>IFERROR(__xludf.DUMMYFUNCTION("""COMPUTED_VALUE"""),45696.0)</f>
        <v>45696</v>
      </c>
      <c r="Y220" s="144">
        <f>IFERROR(__xludf.DUMMYFUNCTION("""COMPUTED_VALUE"""),45717.0)</f>
        <v>45717</v>
      </c>
      <c r="Z220" s="131" t="str">
        <f>IFERROR(__xludf.DUMMYFUNCTION("""COMPUTED_VALUE"""),"BRG9")</f>
        <v>BRG9</v>
      </c>
      <c r="AA220" s="131">
        <f>IFERROR(__xludf.DUMMYFUNCTION("""COMPUTED_VALUE"""),93.0)</f>
        <v>93</v>
      </c>
      <c r="AB220" s="131">
        <f>IFERROR(__xludf.DUMMYFUNCTION("""COMPUTED_VALUE"""),141.0)</f>
        <v>141</v>
      </c>
      <c r="AC220" s="131">
        <f>IFERROR(__xludf.DUMMYFUNCTION("""COMPUTED_VALUE"""),25.0)</f>
        <v>25</v>
      </c>
      <c r="AD220" s="131">
        <f>IFERROR(__xludf.DUMMYFUNCTION("""COMPUTED_VALUE"""),25.0)</f>
        <v>25</v>
      </c>
      <c r="AE220" s="131">
        <f>IFERROR(__xludf.DUMMYFUNCTION("""COMPUTED_VALUE"""),164.0)</f>
        <v>164</v>
      </c>
      <c r="AF220" s="131">
        <f>IFERROR(__xludf.DUMMYFUNCTION("""COMPUTED_VALUE"""),182.0)</f>
        <v>182</v>
      </c>
      <c r="AG220" s="131">
        <f>IFERROR(__xludf.DUMMYFUNCTION("""COMPUTED_VALUE"""),10.0)</f>
        <v>10</v>
      </c>
      <c r="AH220" s="131">
        <f>IFERROR(__xludf.DUMMYFUNCTION("""COMPUTED_VALUE"""),10.0)</f>
        <v>10</v>
      </c>
      <c r="AI220" s="131">
        <f>IFERROR(__xludf.DUMMYFUNCTION("""COMPUTED_VALUE"""),152.0)</f>
        <v>152</v>
      </c>
      <c r="AJ220" s="131"/>
      <c r="AK220" s="131"/>
    </row>
    <row r="221">
      <c r="A221" s="145" t="str">
        <f>IFERROR(__xludf.DUMMYFUNCTION("""COMPUTED_VALUE"""),"Y")</f>
        <v>Y</v>
      </c>
      <c r="B221" s="146" t="str">
        <f>IFERROR(__xludf.DUMMYFUNCTION("""COMPUTED_VALUE"""),"4")</f>
        <v>4</v>
      </c>
      <c r="C221" s="146"/>
      <c r="D221" s="147">
        <f>IFERROR(__xludf.DUMMYFUNCTION("""COMPUTED_VALUE"""),45689.0)</f>
        <v>45689</v>
      </c>
      <c r="E221" s="147">
        <f>IFERROR(__xludf.DUMMYFUNCTION("""COMPUTED_VALUE"""),45696.0)</f>
        <v>45696</v>
      </c>
      <c r="F221" s="147">
        <f>IFERROR(__xludf.DUMMYFUNCTION("""COMPUTED_VALUE"""),45717.0)</f>
        <v>45717</v>
      </c>
      <c r="G221" s="146" t="str">
        <f>IFERROR(__xludf.DUMMYFUNCTION("""COMPUTED_VALUE"""),"BRG9")</f>
        <v>BRG9</v>
      </c>
      <c r="H221" s="148">
        <f>IFERROR(__xludf.DUMMYFUNCTION("""COMPUTED_VALUE"""),93.0)</f>
        <v>93</v>
      </c>
      <c r="I221" s="148">
        <f>IFERROR(__xludf.DUMMYFUNCTION("""COMPUTED_VALUE"""),141.0)</f>
        <v>141</v>
      </c>
      <c r="J221" s="146">
        <f>IFERROR(__xludf.DUMMYFUNCTION("""COMPUTED_VALUE"""),25.0)</f>
        <v>25</v>
      </c>
      <c r="K221" s="146">
        <f>IFERROR(__xludf.DUMMYFUNCTION("""COMPUTED_VALUE"""),25.0)</f>
        <v>25</v>
      </c>
      <c r="L221" s="146">
        <f>IFERROR(__xludf.DUMMYFUNCTION("""COMPUTED_VALUE"""),164.0)</f>
        <v>164</v>
      </c>
      <c r="M221" s="146">
        <f>IFERROR(__xludf.DUMMYFUNCTION("""COMPUTED_VALUE"""),182.0)</f>
        <v>182</v>
      </c>
      <c r="N221" s="146">
        <f>IFERROR(__xludf.DUMMYFUNCTION("""COMPUTED_VALUE"""),10.0)</f>
        <v>10</v>
      </c>
      <c r="O221" s="146">
        <f>IFERROR(__xludf.DUMMYFUNCTION("""COMPUTED_VALUE"""),10.0)</f>
        <v>10</v>
      </c>
      <c r="P221" s="146">
        <f>IFERROR(__xludf.DUMMYFUNCTION("""COMPUTED_VALUE"""),152.0)</f>
        <v>152</v>
      </c>
      <c r="Q221" s="146"/>
      <c r="R221" s="146"/>
      <c r="T221" s="131" t="str">
        <f>IFERROR(__xludf.DUMMYFUNCTION("""COMPUTED_VALUE"""),"Y")</f>
        <v>Y</v>
      </c>
      <c r="U221" s="131" t="str">
        <f>IFERROR(__xludf.DUMMYFUNCTION("""COMPUTED_VALUE"""),"4")</f>
        <v>4</v>
      </c>
      <c r="V221" s="131"/>
      <c r="W221" s="144">
        <f>IFERROR(__xludf.DUMMYFUNCTION("""COMPUTED_VALUE"""),45690.0)</f>
        <v>45690</v>
      </c>
      <c r="X221" s="144">
        <f>IFERROR(__xludf.DUMMYFUNCTION("""COMPUTED_VALUE"""),45697.0)</f>
        <v>45697</v>
      </c>
      <c r="Y221" s="144">
        <f>IFERROR(__xludf.DUMMYFUNCTION("""COMPUTED_VALUE"""),45718.0)</f>
        <v>45718</v>
      </c>
      <c r="Z221" s="131" t="str">
        <f>IFERROR(__xludf.DUMMYFUNCTION("""COMPUTED_VALUE"""),"BRG12")</f>
        <v>BRG12</v>
      </c>
      <c r="AA221" s="131"/>
      <c r="AB221" s="131"/>
      <c r="AC221" s="131"/>
      <c r="AD221" s="131"/>
      <c r="AE221" s="131">
        <f>IFERROR(__xludf.DUMMYFUNCTION("""COMPUTED_VALUE"""),2668.0)</f>
        <v>2668</v>
      </c>
      <c r="AF221" s="131">
        <f>IFERROR(__xludf.DUMMYFUNCTION("""COMPUTED_VALUE"""),2736.0)</f>
        <v>2736</v>
      </c>
      <c r="AG221" s="131">
        <f>IFERROR(__xludf.DUMMYFUNCTION("""COMPUTED_VALUE"""),35.0)</f>
        <v>35</v>
      </c>
      <c r="AH221" s="131">
        <f>IFERROR(__xludf.DUMMYFUNCTION("""COMPUTED_VALUE"""),35.0)</f>
        <v>35</v>
      </c>
      <c r="AI221" s="131">
        <f>IFERROR(__xludf.DUMMYFUNCTION("""COMPUTED_VALUE"""),154.0)</f>
        <v>154</v>
      </c>
      <c r="AJ221" s="131"/>
      <c r="AK221" s="131"/>
    </row>
    <row r="222">
      <c r="A222" s="145" t="str">
        <f>IFERROR(__xludf.DUMMYFUNCTION("""COMPUTED_VALUE"""),"Y")</f>
        <v>Y</v>
      </c>
      <c r="B222" s="146" t="str">
        <f>IFERROR(__xludf.DUMMYFUNCTION("""COMPUTED_VALUE"""),"4")</f>
        <v>4</v>
      </c>
      <c r="C222" s="146"/>
      <c r="D222" s="147">
        <f>IFERROR(__xludf.DUMMYFUNCTION("""COMPUTED_VALUE"""),45690.0)</f>
        <v>45690</v>
      </c>
      <c r="E222" s="147">
        <f>IFERROR(__xludf.DUMMYFUNCTION("""COMPUTED_VALUE"""),45697.0)</f>
        <v>45697</v>
      </c>
      <c r="F222" s="147">
        <f>IFERROR(__xludf.DUMMYFUNCTION("""COMPUTED_VALUE"""),45718.0)</f>
        <v>45718</v>
      </c>
      <c r="G222" s="146" t="str">
        <f>IFERROR(__xludf.DUMMYFUNCTION("""COMPUTED_VALUE"""),"BRG12")</f>
        <v>BRG12</v>
      </c>
      <c r="H222" s="148"/>
      <c r="I222" s="148"/>
      <c r="J222" s="146"/>
      <c r="K222" s="146"/>
      <c r="L222" s="146">
        <f>IFERROR(__xludf.DUMMYFUNCTION("""COMPUTED_VALUE"""),2668.0)</f>
        <v>2668</v>
      </c>
      <c r="M222" s="146">
        <f>IFERROR(__xludf.DUMMYFUNCTION("""COMPUTED_VALUE"""),2736.0)</f>
        <v>2736</v>
      </c>
      <c r="N222" s="146">
        <f>IFERROR(__xludf.DUMMYFUNCTION("""COMPUTED_VALUE"""),35.0)</f>
        <v>35</v>
      </c>
      <c r="O222" s="146">
        <f>IFERROR(__xludf.DUMMYFUNCTION("""COMPUTED_VALUE"""),35.0)</f>
        <v>35</v>
      </c>
      <c r="P222" s="146">
        <f>IFERROR(__xludf.DUMMYFUNCTION("""COMPUTED_VALUE"""),154.0)</f>
        <v>154</v>
      </c>
      <c r="Q222" s="146"/>
      <c r="R222" s="146"/>
      <c r="T222" s="131" t="str">
        <f>IFERROR(__xludf.DUMMYFUNCTION("""COMPUTED_VALUE"""),"Y")</f>
        <v>Y</v>
      </c>
      <c r="U222" s="131" t="str">
        <f>IFERROR(__xludf.DUMMYFUNCTION("""COMPUTED_VALUE"""),"4")</f>
        <v>4</v>
      </c>
      <c r="V222" s="131"/>
      <c r="W222" s="144">
        <f>IFERROR(__xludf.DUMMYFUNCTION("""COMPUTED_VALUE"""),45690.0)</f>
        <v>45690</v>
      </c>
      <c r="X222" s="144">
        <f>IFERROR(__xludf.DUMMYFUNCTION("""COMPUTED_VALUE"""),45697.0)</f>
        <v>45697</v>
      </c>
      <c r="Y222" s="144">
        <f>IFERROR(__xludf.DUMMYFUNCTION("""COMPUTED_VALUE"""),45718.0)</f>
        <v>45718</v>
      </c>
      <c r="Z222" s="131" t="str">
        <f>IFERROR(__xludf.DUMMYFUNCTION("""COMPUTED_VALUE"""),"BRG9")</f>
        <v>BRG9</v>
      </c>
      <c r="AA222" s="131">
        <f>IFERROR(__xludf.DUMMYFUNCTION("""COMPUTED_VALUE"""),143.0)</f>
        <v>143</v>
      </c>
      <c r="AB222" s="131">
        <f>IFERROR(__xludf.DUMMYFUNCTION("""COMPUTED_VALUE"""),173.0)</f>
        <v>173</v>
      </c>
      <c r="AC222" s="131">
        <f>IFERROR(__xludf.DUMMYFUNCTION("""COMPUTED_VALUE"""),16.0)</f>
        <v>16</v>
      </c>
      <c r="AD222" s="131">
        <f>IFERROR(__xludf.DUMMYFUNCTION("""COMPUTED_VALUE"""),16.0)</f>
        <v>16</v>
      </c>
      <c r="AE222" s="131"/>
      <c r="AF222" s="131"/>
      <c r="AG222" s="131"/>
      <c r="AH222" s="131"/>
      <c r="AI222" s="131">
        <f>IFERROR(__xludf.DUMMYFUNCTION("""COMPUTED_VALUE"""),156.0)</f>
        <v>156</v>
      </c>
      <c r="AJ222" s="131"/>
      <c r="AK222" s="131"/>
    </row>
    <row r="223">
      <c r="A223" s="145" t="str">
        <f>IFERROR(__xludf.DUMMYFUNCTION("""COMPUTED_VALUE"""),"Y")</f>
        <v>Y</v>
      </c>
      <c r="B223" s="146" t="str">
        <f>IFERROR(__xludf.DUMMYFUNCTION("""COMPUTED_VALUE"""),"4")</f>
        <v>4</v>
      </c>
      <c r="C223" s="146"/>
      <c r="D223" s="147">
        <f>IFERROR(__xludf.DUMMYFUNCTION("""COMPUTED_VALUE"""),45690.0)</f>
        <v>45690</v>
      </c>
      <c r="E223" s="147">
        <f>IFERROR(__xludf.DUMMYFUNCTION("""COMPUTED_VALUE"""),45697.0)</f>
        <v>45697</v>
      </c>
      <c r="F223" s="147">
        <f>IFERROR(__xludf.DUMMYFUNCTION("""COMPUTED_VALUE"""),45718.0)</f>
        <v>45718</v>
      </c>
      <c r="G223" s="146" t="str">
        <f>IFERROR(__xludf.DUMMYFUNCTION("""COMPUTED_VALUE"""),"BRG9")</f>
        <v>BRG9</v>
      </c>
      <c r="H223" s="148">
        <f>IFERROR(__xludf.DUMMYFUNCTION("""COMPUTED_VALUE"""),143.0)</f>
        <v>143</v>
      </c>
      <c r="I223" s="148">
        <f>IFERROR(__xludf.DUMMYFUNCTION("""COMPUTED_VALUE"""),173.0)</f>
        <v>173</v>
      </c>
      <c r="J223" s="146">
        <f>IFERROR(__xludf.DUMMYFUNCTION("""COMPUTED_VALUE"""),16.0)</f>
        <v>16</v>
      </c>
      <c r="K223" s="146">
        <f>IFERROR(__xludf.DUMMYFUNCTION("""COMPUTED_VALUE"""),16.0)</f>
        <v>16</v>
      </c>
      <c r="L223" s="146"/>
      <c r="M223" s="146"/>
      <c r="N223" s="146"/>
      <c r="O223" s="146"/>
      <c r="P223" s="146">
        <f>IFERROR(__xludf.DUMMYFUNCTION("""COMPUTED_VALUE"""),156.0)</f>
        <v>156</v>
      </c>
      <c r="Q223" s="146"/>
      <c r="R223" s="146"/>
      <c r="T223" s="131" t="str">
        <f>IFERROR(__xludf.DUMMYFUNCTION("""COMPUTED_VALUE"""),"Y")</f>
        <v>Y</v>
      </c>
      <c r="U223" s="131" t="str">
        <f>IFERROR(__xludf.DUMMYFUNCTION("""COMPUTED_VALUE"""),"4")</f>
        <v>4</v>
      </c>
      <c r="V223" s="131"/>
      <c r="W223" s="144">
        <f>IFERROR(__xludf.DUMMYFUNCTION("""COMPUTED_VALUE"""),45690.0)</f>
        <v>45690</v>
      </c>
      <c r="X223" s="144">
        <f>IFERROR(__xludf.DUMMYFUNCTION("""COMPUTED_VALUE"""),45697.0)</f>
        <v>45697</v>
      </c>
      <c r="Y223" s="144">
        <f>IFERROR(__xludf.DUMMYFUNCTION("""COMPUTED_VALUE"""),45718.0)</f>
        <v>45718</v>
      </c>
      <c r="Z223" s="131" t="str">
        <f>IFERROR(__xludf.DUMMYFUNCTION("""COMPUTED_VALUE"""),"BRG9")</f>
        <v>BRG9</v>
      </c>
      <c r="AA223" s="131">
        <f>IFERROR(__xludf.DUMMYFUNCTION("""COMPUTED_VALUE"""),219.0)</f>
        <v>219</v>
      </c>
      <c r="AB223" s="131">
        <f>IFERROR(__xludf.DUMMYFUNCTION("""COMPUTED_VALUE"""),233.0)</f>
        <v>233</v>
      </c>
      <c r="AC223" s="131">
        <f>IFERROR(__xludf.DUMMYFUNCTION("""COMPUTED_VALUE"""),8.0)</f>
        <v>8</v>
      </c>
      <c r="AD223" s="131">
        <f>IFERROR(__xludf.DUMMYFUNCTION("""COMPUTED_VALUE"""),8.0)</f>
        <v>8</v>
      </c>
      <c r="AE223" s="131">
        <f>IFERROR(__xludf.DUMMYFUNCTION("""COMPUTED_VALUE"""),184.0)</f>
        <v>184</v>
      </c>
      <c r="AF223" s="131">
        <f>IFERROR(__xludf.DUMMYFUNCTION("""COMPUTED_VALUE"""),216.0)</f>
        <v>216</v>
      </c>
      <c r="AG223" s="131">
        <f>IFERROR(__xludf.DUMMYFUNCTION("""COMPUTED_VALUE"""),17.0)</f>
        <v>17</v>
      </c>
      <c r="AH223" s="131">
        <f>IFERROR(__xludf.DUMMYFUNCTION("""COMPUTED_VALUE"""),17.0)</f>
        <v>17</v>
      </c>
      <c r="AI223" s="131">
        <f>IFERROR(__xludf.DUMMYFUNCTION("""COMPUTED_VALUE"""),156.0)</f>
        <v>156</v>
      </c>
      <c r="AJ223" s="131"/>
      <c r="AK223" s="131"/>
    </row>
    <row r="224">
      <c r="A224" s="145" t="str">
        <f>IFERROR(__xludf.DUMMYFUNCTION("""COMPUTED_VALUE"""),"Y")</f>
        <v>Y</v>
      </c>
      <c r="B224" s="146" t="str">
        <f>IFERROR(__xludf.DUMMYFUNCTION("""COMPUTED_VALUE"""),"4")</f>
        <v>4</v>
      </c>
      <c r="C224" s="146"/>
      <c r="D224" s="147">
        <f>IFERROR(__xludf.DUMMYFUNCTION("""COMPUTED_VALUE"""),45690.0)</f>
        <v>45690</v>
      </c>
      <c r="E224" s="147">
        <f>IFERROR(__xludf.DUMMYFUNCTION("""COMPUTED_VALUE"""),45697.0)</f>
        <v>45697</v>
      </c>
      <c r="F224" s="147">
        <f>IFERROR(__xludf.DUMMYFUNCTION("""COMPUTED_VALUE"""),45718.0)</f>
        <v>45718</v>
      </c>
      <c r="G224" s="146" t="str">
        <f>IFERROR(__xludf.DUMMYFUNCTION("""COMPUTED_VALUE"""),"BRG9")</f>
        <v>BRG9</v>
      </c>
      <c r="H224" s="148">
        <f>IFERROR(__xludf.DUMMYFUNCTION("""COMPUTED_VALUE"""),219.0)</f>
        <v>219</v>
      </c>
      <c r="I224" s="148">
        <f>IFERROR(__xludf.DUMMYFUNCTION("""COMPUTED_VALUE"""),233.0)</f>
        <v>233</v>
      </c>
      <c r="J224" s="146">
        <f>IFERROR(__xludf.DUMMYFUNCTION("""COMPUTED_VALUE"""),8.0)</f>
        <v>8</v>
      </c>
      <c r="K224" s="146">
        <f>IFERROR(__xludf.DUMMYFUNCTION("""COMPUTED_VALUE"""),8.0)</f>
        <v>8</v>
      </c>
      <c r="L224" s="146">
        <f>IFERROR(__xludf.DUMMYFUNCTION("""COMPUTED_VALUE"""),184.0)</f>
        <v>184</v>
      </c>
      <c r="M224" s="146">
        <f>IFERROR(__xludf.DUMMYFUNCTION("""COMPUTED_VALUE"""),216.0)</f>
        <v>216</v>
      </c>
      <c r="N224" s="146">
        <f>IFERROR(__xludf.DUMMYFUNCTION("""COMPUTED_VALUE"""),17.0)</f>
        <v>17</v>
      </c>
      <c r="O224" s="146">
        <f>IFERROR(__xludf.DUMMYFUNCTION("""COMPUTED_VALUE"""),17.0)</f>
        <v>17</v>
      </c>
      <c r="P224" s="146">
        <f>IFERROR(__xludf.DUMMYFUNCTION("""COMPUTED_VALUE"""),156.0)</f>
        <v>156</v>
      </c>
      <c r="Q224" s="146"/>
      <c r="R224" s="146"/>
      <c r="T224" s="131" t="str">
        <f>IFERROR(__xludf.DUMMYFUNCTION("""COMPUTED_VALUE"""),"Y")</f>
        <v>Y</v>
      </c>
      <c r="U224" s="131" t="str">
        <f>IFERROR(__xludf.DUMMYFUNCTION("""COMPUTED_VALUE"""),"5")</f>
        <v>5</v>
      </c>
      <c r="V224" s="131"/>
      <c r="W224" s="144">
        <f>IFERROR(__xludf.DUMMYFUNCTION("""COMPUTED_VALUE"""),45691.0)</f>
        <v>45691</v>
      </c>
      <c r="X224" s="144">
        <f>IFERROR(__xludf.DUMMYFUNCTION("""COMPUTED_VALUE"""),45698.0)</f>
        <v>45698</v>
      </c>
      <c r="Y224" s="144">
        <f>IFERROR(__xludf.DUMMYFUNCTION("""COMPUTED_VALUE"""),45719.0)</f>
        <v>45719</v>
      </c>
      <c r="Z224" s="131" t="str">
        <f>IFERROR(__xludf.DUMMYFUNCTION("""COMPUTED_VALUE"""),"DC34")</f>
        <v>DC34</v>
      </c>
      <c r="AA224" s="131">
        <f>IFERROR(__xludf.DUMMYFUNCTION("""COMPUTED_VALUE"""),541.0)</f>
        <v>541</v>
      </c>
      <c r="AB224" s="131">
        <f>IFERROR(__xludf.DUMMYFUNCTION("""COMPUTED_VALUE"""),583.0)</f>
        <v>583</v>
      </c>
      <c r="AC224" s="131">
        <f>IFERROR(__xludf.DUMMYFUNCTION("""COMPUTED_VALUE"""),22.0)</f>
        <v>22</v>
      </c>
      <c r="AD224" s="131">
        <f>IFERROR(__xludf.DUMMYFUNCTION("""COMPUTED_VALUE"""),22.0)</f>
        <v>22</v>
      </c>
      <c r="AE224" s="131">
        <f>IFERROR(__xludf.DUMMYFUNCTION("""COMPUTED_VALUE"""),378.0)</f>
        <v>378</v>
      </c>
      <c r="AF224" s="131">
        <f>IFERROR(__xludf.DUMMYFUNCTION("""COMPUTED_VALUE"""),506.0)</f>
        <v>506</v>
      </c>
      <c r="AG224" s="131">
        <f>IFERROR(__xludf.DUMMYFUNCTION("""COMPUTED_VALUE"""),65.0)</f>
        <v>65</v>
      </c>
      <c r="AH224" s="131">
        <f>IFERROR(__xludf.DUMMYFUNCTION("""COMPUTED_VALUE"""),65.0)</f>
        <v>65</v>
      </c>
      <c r="AI224" s="131">
        <f>IFERROR(__xludf.DUMMYFUNCTION("""COMPUTED_VALUE"""),159.0)</f>
        <v>159</v>
      </c>
      <c r="AJ224" s="131"/>
      <c r="AK224" s="131"/>
    </row>
    <row r="225">
      <c r="A225" s="145" t="str">
        <f>IFERROR(__xludf.DUMMYFUNCTION("""COMPUTED_VALUE"""),"Y")</f>
        <v>Y</v>
      </c>
      <c r="B225" s="146" t="str">
        <f>IFERROR(__xludf.DUMMYFUNCTION("""COMPUTED_VALUE"""),"5")</f>
        <v>5</v>
      </c>
      <c r="C225" s="146"/>
      <c r="D225" s="147">
        <f>IFERROR(__xludf.DUMMYFUNCTION("""COMPUTED_VALUE"""),45691.0)</f>
        <v>45691</v>
      </c>
      <c r="E225" s="147">
        <f>IFERROR(__xludf.DUMMYFUNCTION("""COMPUTED_VALUE"""),45698.0)</f>
        <v>45698</v>
      </c>
      <c r="F225" s="147">
        <f>IFERROR(__xludf.DUMMYFUNCTION("""COMPUTED_VALUE"""),45719.0)</f>
        <v>45719</v>
      </c>
      <c r="G225" s="146" t="str">
        <f>IFERROR(__xludf.DUMMYFUNCTION("""COMPUTED_VALUE"""),"DC34")</f>
        <v>DC34</v>
      </c>
      <c r="H225" s="148">
        <f>IFERROR(__xludf.DUMMYFUNCTION("""COMPUTED_VALUE"""),541.0)</f>
        <v>541</v>
      </c>
      <c r="I225" s="148">
        <f>IFERROR(__xludf.DUMMYFUNCTION("""COMPUTED_VALUE"""),583.0)</f>
        <v>583</v>
      </c>
      <c r="J225" s="146">
        <f>IFERROR(__xludf.DUMMYFUNCTION("""COMPUTED_VALUE"""),22.0)</f>
        <v>22</v>
      </c>
      <c r="K225" s="146">
        <f>IFERROR(__xludf.DUMMYFUNCTION("""COMPUTED_VALUE"""),22.0)</f>
        <v>22</v>
      </c>
      <c r="L225" s="146">
        <f>IFERROR(__xludf.DUMMYFUNCTION("""COMPUTED_VALUE"""),378.0)</f>
        <v>378</v>
      </c>
      <c r="M225" s="146">
        <f>IFERROR(__xludf.DUMMYFUNCTION("""COMPUTED_VALUE"""),506.0)</f>
        <v>506</v>
      </c>
      <c r="N225" s="146">
        <f>IFERROR(__xludf.DUMMYFUNCTION("""COMPUTED_VALUE"""),65.0)</f>
        <v>65</v>
      </c>
      <c r="O225" s="146">
        <f>IFERROR(__xludf.DUMMYFUNCTION("""COMPUTED_VALUE"""),65.0)</f>
        <v>65</v>
      </c>
      <c r="P225" s="146">
        <f>IFERROR(__xludf.DUMMYFUNCTION("""COMPUTED_VALUE"""),159.0)</f>
        <v>159</v>
      </c>
      <c r="Q225" s="146"/>
      <c r="R225" s="146"/>
      <c r="T225" s="131" t="str">
        <f>IFERROR(__xludf.DUMMYFUNCTION("""COMPUTED_VALUE"""),"Y")</f>
        <v>Y</v>
      </c>
      <c r="U225" s="131" t="str">
        <f>IFERROR(__xludf.DUMMYFUNCTION("""COMPUTED_VALUE"""),"5")</f>
        <v>5</v>
      </c>
      <c r="V225" s="131"/>
      <c r="W225" s="144">
        <f>IFERROR(__xludf.DUMMYFUNCTION("""COMPUTED_VALUE"""),45691.0)</f>
        <v>45691</v>
      </c>
      <c r="X225" s="144">
        <f>IFERROR(__xludf.DUMMYFUNCTION("""COMPUTED_VALUE"""),45698.0)</f>
        <v>45698</v>
      </c>
      <c r="Y225" s="144">
        <f>IFERROR(__xludf.DUMMYFUNCTION("""COMPUTED_VALUE"""),45719.0)</f>
        <v>45719</v>
      </c>
      <c r="Z225" s="131" t="str">
        <f>IFERROR(__xludf.DUMMYFUNCTION("""COMPUTED_VALUE"""),"BRG11")</f>
        <v>BRG11</v>
      </c>
      <c r="AA225" s="131">
        <f>IFERROR(__xludf.DUMMYFUNCTION("""COMPUTED_VALUE"""),353.0)</f>
        <v>353</v>
      </c>
      <c r="AB225" s="131">
        <f>IFERROR(__xludf.DUMMYFUNCTION("""COMPUTED_VALUE"""),431.0)</f>
        <v>431</v>
      </c>
      <c r="AC225" s="131">
        <f>IFERROR(__xludf.DUMMYFUNCTION("""COMPUTED_VALUE"""),40.0)</f>
        <v>40</v>
      </c>
      <c r="AD225" s="131">
        <f>IFERROR(__xludf.DUMMYFUNCTION("""COMPUTED_VALUE"""),40.0)</f>
        <v>40</v>
      </c>
      <c r="AE225" s="131"/>
      <c r="AF225" s="131"/>
      <c r="AG225" s="131"/>
      <c r="AH225" s="131"/>
      <c r="AI225" s="131">
        <f>IFERROR(__xludf.DUMMYFUNCTION("""COMPUTED_VALUE"""),157.0)</f>
        <v>157</v>
      </c>
      <c r="AJ225" s="131"/>
      <c r="AK225" s="131"/>
    </row>
    <row r="226">
      <c r="A226" s="145" t="str">
        <f>IFERROR(__xludf.DUMMYFUNCTION("""COMPUTED_VALUE"""),"Y")</f>
        <v>Y</v>
      </c>
      <c r="B226" s="146" t="str">
        <f>IFERROR(__xludf.DUMMYFUNCTION("""COMPUTED_VALUE"""),"5")</f>
        <v>5</v>
      </c>
      <c r="C226" s="146"/>
      <c r="D226" s="147">
        <f>IFERROR(__xludf.DUMMYFUNCTION("""COMPUTED_VALUE"""),45691.0)</f>
        <v>45691</v>
      </c>
      <c r="E226" s="147">
        <f>IFERROR(__xludf.DUMMYFUNCTION("""COMPUTED_VALUE"""),45698.0)</f>
        <v>45698</v>
      </c>
      <c r="F226" s="147">
        <f>IFERROR(__xludf.DUMMYFUNCTION("""COMPUTED_VALUE"""),45719.0)</f>
        <v>45719</v>
      </c>
      <c r="G226" s="146" t="str">
        <f>IFERROR(__xludf.DUMMYFUNCTION("""COMPUTED_VALUE"""),"BRG11")</f>
        <v>BRG11</v>
      </c>
      <c r="H226" s="148">
        <f>IFERROR(__xludf.DUMMYFUNCTION("""COMPUTED_VALUE"""),353.0)</f>
        <v>353</v>
      </c>
      <c r="I226" s="148">
        <f>IFERROR(__xludf.DUMMYFUNCTION("""COMPUTED_VALUE"""),431.0)</f>
        <v>431</v>
      </c>
      <c r="J226" s="146">
        <f>IFERROR(__xludf.DUMMYFUNCTION("""COMPUTED_VALUE"""),40.0)</f>
        <v>40</v>
      </c>
      <c r="K226" s="146">
        <f>IFERROR(__xludf.DUMMYFUNCTION("""COMPUTED_VALUE"""),40.0)</f>
        <v>40</v>
      </c>
      <c r="L226" s="146"/>
      <c r="M226" s="146"/>
      <c r="N226" s="146"/>
      <c r="O226" s="146"/>
      <c r="P226" s="146">
        <f>IFERROR(__xludf.DUMMYFUNCTION("""COMPUTED_VALUE"""),157.0)</f>
        <v>157</v>
      </c>
      <c r="Q226" s="146"/>
      <c r="R226" s="146"/>
      <c r="T226" s="131" t="str">
        <f>IFERROR(__xludf.DUMMYFUNCTION("""COMPUTED_VALUE"""),"Y")</f>
        <v>Y</v>
      </c>
      <c r="U226" s="131" t="str">
        <f>IFERROR(__xludf.DUMMYFUNCTION("""COMPUTED_VALUE"""),"5")</f>
        <v>5</v>
      </c>
      <c r="V226" s="131"/>
      <c r="W226" s="144">
        <f>IFERROR(__xludf.DUMMYFUNCTION("""COMPUTED_VALUE"""),45691.0)</f>
        <v>45691</v>
      </c>
      <c r="X226" s="144">
        <f>IFERROR(__xludf.DUMMYFUNCTION("""COMPUTED_VALUE"""),45698.0)</f>
        <v>45698</v>
      </c>
      <c r="Y226" s="144">
        <f>IFERROR(__xludf.DUMMYFUNCTION("""COMPUTED_VALUE"""),45719.0)</f>
        <v>45719</v>
      </c>
      <c r="Z226" s="131" t="str">
        <f>IFERROR(__xludf.DUMMYFUNCTION("""COMPUTED_VALUE"""),"BRG9")</f>
        <v>BRG9</v>
      </c>
      <c r="AA226" s="131">
        <f>IFERROR(__xludf.DUMMYFUNCTION("""COMPUTED_VALUE"""),175.0)</f>
        <v>175</v>
      </c>
      <c r="AB226" s="131">
        <f>IFERROR(__xludf.DUMMYFUNCTION("""COMPUTED_VALUE"""),209.0)</f>
        <v>209</v>
      </c>
      <c r="AC226" s="131">
        <f>IFERROR(__xludf.DUMMYFUNCTION("""COMPUTED_VALUE"""),18.0)</f>
        <v>18</v>
      </c>
      <c r="AD226" s="131">
        <f>IFERROR(__xludf.DUMMYFUNCTION("""COMPUTED_VALUE"""),18.0)</f>
        <v>18</v>
      </c>
      <c r="AE226" s="131">
        <f>IFERROR(__xludf.DUMMYFUNCTION("""COMPUTED_VALUE"""),218.0)</f>
        <v>218</v>
      </c>
      <c r="AF226" s="131">
        <f>IFERROR(__xludf.DUMMYFUNCTION("""COMPUTED_VALUE"""),218.0)</f>
        <v>218</v>
      </c>
      <c r="AG226" s="131">
        <f>IFERROR(__xludf.DUMMYFUNCTION("""COMPUTED_VALUE"""),1.0)</f>
        <v>1</v>
      </c>
      <c r="AH226" s="131">
        <f>IFERROR(__xludf.DUMMYFUNCTION("""COMPUTED_VALUE"""),1.0)</f>
        <v>1</v>
      </c>
      <c r="AI226" s="131">
        <f>IFERROR(__xludf.DUMMYFUNCTION("""COMPUTED_VALUE"""),158.0)</f>
        <v>158</v>
      </c>
      <c r="AJ226" s="131"/>
      <c r="AK226" s="131"/>
    </row>
    <row r="227">
      <c r="A227" s="145" t="str">
        <f>IFERROR(__xludf.DUMMYFUNCTION("""COMPUTED_VALUE"""),"Y")</f>
        <v>Y</v>
      </c>
      <c r="B227" s="146" t="str">
        <f>IFERROR(__xludf.DUMMYFUNCTION("""COMPUTED_VALUE"""),"5")</f>
        <v>5</v>
      </c>
      <c r="C227" s="146"/>
      <c r="D227" s="147">
        <f>IFERROR(__xludf.DUMMYFUNCTION("""COMPUTED_VALUE"""),45691.0)</f>
        <v>45691</v>
      </c>
      <c r="E227" s="147">
        <f>IFERROR(__xludf.DUMMYFUNCTION("""COMPUTED_VALUE"""),45698.0)</f>
        <v>45698</v>
      </c>
      <c r="F227" s="147">
        <f>IFERROR(__xludf.DUMMYFUNCTION("""COMPUTED_VALUE"""),45719.0)</f>
        <v>45719</v>
      </c>
      <c r="G227" s="146" t="str">
        <f>IFERROR(__xludf.DUMMYFUNCTION("""COMPUTED_VALUE"""),"BRG9")</f>
        <v>BRG9</v>
      </c>
      <c r="H227" s="148">
        <f>IFERROR(__xludf.DUMMYFUNCTION("""COMPUTED_VALUE"""),175.0)</f>
        <v>175</v>
      </c>
      <c r="I227" s="148">
        <f>IFERROR(__xludf.DUMMYFUNCTION("""COMPUTED_VALUE"""),209.0)</f>
        <v>209</v>
      </c>
      <c r="J227" s="146">
        <f>IFERROR(__xludf.DUMMYFUNCTION("""COMPUTED_VALUE"""),18.0)</f>
        <v>18</v>
      </c>
      <c r="K227" s="146">
        <f>IFERROR(__xludf.DUMMYFUNCTION("""COMPUTED_VALUE"""),18.0)</f>
        <v>18</v>
      </c>
      <c r="L227" s="146">
        <f>IFERROR(__xludf.DUMMYFUNCTION("""COMPUTED_VALUE"""),218.0)</f>
        <v>218</v>
      </c>
      <c r="M227" s="146">
        <f>IFERROR(__xludf.DUMMYFUNCTION("""COMPUTED_VALUE"""),218.0)</f>
        <v>218</v>
      </c>
      <c r="N227" s="146">
        <f>IFERROR(__xludf.DUMMYFUNCTION("""COMPUTED_VALUE"""),1.0)</f>
        <v>1</v>
      </c>
      <c r="O227" s="146">
        <f>IFERROR(__xludf.DUMMYFUNCTION("""COMPUTED_VALUE"""),1.0)</f>
        <v>1</v>
      </c>
      <c r="P227" s="146">
        <f>IFERROR(__xludf.DUMMYFUNCTION("""COMPUTED_VALUE"""),158.0)</f>
        <v>158</v>
      </c>
      <c r="Q227" s="146"/>
      <c r="R227" s="146"/>
      <c r="T227" s="131" t="str">
        <f>IFERROR(__xludf.DUMMYFUNCTION("""COMPUTED_VALUE"""),"Y")</f>
        <v>Y</v>
      </c>
      <c r="U227" s="131" t="str">
        <f>IFERROR(__xludf.DUMMYFUNCTION("""COMPUTED_VALUE"""),"5")</f>
        <v>5</v>
      </c>
      <c r="V227" s="131"/>
      <c r="W227" s="144">
        <f>IFERROR(__xludf.DUMMYFUNCTION("""COMPUTED_VALUE"""),45691.0)</f>
        <v>45691</v>
      </c>
      <c r="X227" s="144">
        <f>IFERROR(__xludf.DUMMYFUNCTION("""COMPUTED_VALUE"""),45698.0)</f>
        <v>45698</v>
      </c>
      <c r="Y227" s="144">
        <f>IFERROR(__xludf.DUMMYFUNCTION("""COMPUTED_VALUE"""),45719.0)</f>
        <v>45719</v>
      </c>
      <c r="Z227" s="131" t="str">
        <f>IFERROR(__xludf.DUMMYFUNCTION("""COMPUTED_VALUE"""),"BRG9")</f>
        <v>BRG9</v>
      </c>
      <c r="AA227" s="131">
        <f>IFERROR(__xludf.DUMMYFUNCTION("""COMPUTED_VALUE"""),235.0)</f>
        <v>235</v>
      </c>
      <c r="AB227" s="131">
        <f>IFERROR(__xludf.DUMMYFUNCTION("""COMPUTED_VALUE"""),277.0)</f>
        <v>277</v>
      </c>
      <c r="AC227" s="131">
        <f>IFERROR(__xludf.DUMMYFUNCTION("""COMPUTED_VALUE"""),22.0)</f>
        <v>22</v>
      </c>
      <c r="AD227" s="131">
        <f>IFERROR(__xludf.DUMMYFUNCTION("""COMPUTED_VALUE"""),22.0)</f>
        <v>22</v>
      </c>
      <c r="AE227" s="131">
        <f>IFERROR(__xludf.DUMMYFUNCTION("""COMPUTED_VALUE"""),222.0)</f>
        <v>222</v>
      </c>
      <c r="AF227" s="131">
        <f>IFERROR(__xludf.DUMMYFUNCTION("""COMPUTED_VALUE"""),230.0)</f>
        <v>230</v>
      </c>
      <c r="AG227" s="131">
        <f>IFERROR(__xludf.DUMMYFUNCTION("""COMPUTED_VALUE"""),5.0)</f>
        <v>5</v>
      </c>
      <c r="AH227" s="131">
        <f>IFERROR(__xludf.DUMMYFUNCTION("""COMPUTED_VALUE"""),5.0)</f>
        <v>5</v>
      </c>
      <c r="AI227" s="131">
        <f>IFERROR(__xludf.DUMMYFUNCTION("""COMPUTED_VALUE"""),158.0)</f>
        <v>158</v>
      </c>
      <c r="AJ227" s="131"/>
      <c r="AK227" s="131"/>
    </row>
    <row r="228">
      <c r="A228" s="145" t="str">
        <f>IFERROR(__xludf.DUMMYFUNCTION("""COMPUTED_VALUE"""),"Y")</f>
        <v>Y</v>
      </c>
      <c r="B228" s="146" t="str">
        <f>IFERROR(__xludf.DUMMYFUNCTION("""COMPUTED_VALUE"""),"5")</f>
        <v>5</v>
      </c>
      <c r="C228" s="146"/>
      <c r="D228" s="147">
        <f>IFERROR(__xludf.DUMMYFUNCTION("""COMPUTED_VALUE"""),45691.0)</f>
        <v>45691</v>
      </c>
      <c r="E228" s="147">
        <f>IFERROR(__xludf.DUMMYFUNCTION("""COMPUTED_VALUE"""),45698.0)</f>
        <v>45698</v>
      </c>
      <c r="F228" s="147">
        <f>IFERROR(__xludf.DUMMYFUNCTION("""COMPUTED_VALUE"""),45719.0)</f>
        <v>45719</v>
      </c>
      <c r="G228" s="146" t="str">
        <f>IFERROR(__xludf.DUMMYFUNCTION("""COMPUTED_VALUE"""),"BRG9")</f>
        <v>BRG9</v>
      </c>
      <c r="H228" s="148">
        <f>IFERROR(__xludf.DUMMYFUNCTION("""COMPUTED_VALUE"""),235.0)</f>
        <v>235</v>
      </c>
      <c r="I228" s="148">
        <f>IFERROR(__xludf.DUMMYFUNCTION("""COMPUTED_VALUE"""),277.0)</f>
        <v>277</v>
      </c>
      <c r="J228" s="146">
        <f>IFERROR(__xludf.DUMMYFUNCTION("""COMPUTED_VALUE"""),22.0)</f>
        <v>22</v>
      </c>
      <c r="K228" s="146">
        <f>IFERROR(__xludf.DUMMYFUNCTION("""COMPUTED_VALUE"""),22.0)</f>
        <v>22</v>
      </c>
      <c r="L228" s="146">
        <f>IFERROR(__xludf.DUMMYFUNCTION("""COMPUTED_VALUE"""),222.0)</f>
        <v>222</v>
      </c>
      <c r="M228" s="146">
        <f>IFERROR(__xludf.DUMMYFUNCTION("""COMPUTED_VALUE"""),230.0)</f>
        <v>230</v>
      </c>
      <c r="N228" s="146">
        <f>IFERROR(__xludf.DUMMYFUNCTION("""COMPUTED_VALUE"""),5.0)</f>
        <v>5</v>
      </c>
      <c r="O228" s="146">
        <f>IFERROR(__xludf.DUMMYFUNCTION("""COMPUTED_VALUE"""),5.0)</f>
        <v>5</v>
      </c>
      <c r="P228" s="146">
        <f>IFERROR(__xludf.DUMMYFUNCTION("""COMPUTED_VALUE"""),158.0)</f>
        <v>158</v>
      </c>
      <c r="Q228" s="146"/>
      <c r="R228" s="146"/>
      <c r="T228" s="131" t="str">
        <f>IFERROR(__xludf.DUMMYFUNCTION("""COMPUTED_VALUE"""),"Y")</f>
        <v>Y</v>
      </c>
      <c r="U228" s="131" t="str">
        <f>IFERROR(__xludf.DUMMYFUNCTION("""COMPUTED_VALUE"""),"5")</f>
        <v>5</v>
      </c>
      <c r="V228" s="131"/>
      <c r="W228" s="144">
        <f>IFERROR(__xludf.DUMMYFUNCTION("""COMPUTED_VALUE"""),45692.0)</f>
        <v>45692</v>
      </c>
      <c r="X228" s="144">
        <f>IFERROR(__xludf.DUMMYFUNCTION("""COMPUTED_VALUE"""),45699.0)</f>
        <v>45699</v>
      </c>
      <c r="Y228" s="144">
        <f>IFERROR(__xludf.DUMMYFUNCTION("""COMPUTED_VALUE"""),45720.0)</f>
        <v>45720</v>
      </c>
      <c r="Z228" s="131" t="str">
        <f>IFERROR(__xludf.DUMMYFUNCTION("""COMPUTED_VALUE"""),"DC34")</f>
        <v>DC34</v>
      </c>
      <c r="AA228" s="131"/>
      <c r="AB228" s="131"/>
      <c r="AC228" s="131"/>
      <c r="AD228" s="131"/>
      <c r="AE228" s="131">
        <f>IFERROR(__xludf.DUMMYFUNCTION("""COMPUTED_VALUE"""),508.0)</f>
        <v>508</v>
      </c>
      <c r="AF228" s="131">
        <f>IFERROR(__xludf.DUMMYFUNCTION("""COMPUTED_VALUE"""),582.0)</f>
        <v>582</v>
      </c>
      <c r="AG228" s="131">
        <f>IFERROR(__xludf.DUMMYFUNCTION("""COMPUTED_VALUE"""),38.0)</f>
        <v>38</v>
      </c>
      <c r="AH228" s="131">
        <f>IFERROR(__xludf.DUMMYFUNCTION("""COMPUTED_VALUE"""),38.0)</f>
        <v>38</v>
      </c>
      <c r="AI228" s="131">
        <f>IFERROR(__xludf.DUMMYFUNCTION("""COMPUTED_VALUE"""),162.0)</f>
        <v>162</v>
      </c>
      <c r="AJ228" s="131"/>
      <c r="AK228" s="131"/>
    </row>
    <row r="229">
      <c r="A229" s="145" t="str">
        <f>IFERROR(__xludf.DUMMYFUNCTION("""COMPUTED_VALUE"""),"Y")</f>
        <v>Y</v>
      </c>
      <c r="B229" s="146" t="str">
        <f>IFERROR(__xludf.DUMMYFUNCTION("""COMPUTED_VALUE"""),"5")</f>
        <v>5</v>
      </c>
      <c r="C229" s="146"/>
      <c r="D229" s="147">
        <f>IFERROR(__xludf.DUMMYFUNCTION("""COMPUTED_VALUE"""),45692.0)</f>
        <v>45692</v>
      </c>
      <c r="E229" s="147">
        <f>IFERROR(__xludf.DUMMYFUNCTION("""COMPUTED_VALUE"""),45699.0)</f>
        <v>45699</v>
      </c>
      <c r="F229" s="147">
        <f>IFERROR(__xludf.DUMMYFUNCTION("""COMPUTED_VALUE"""),45720.0)</f>
        <v>45720</v>
      </c>
      <c r="G229" s="146" t="str">
        <f>IFERROR(__xludf.DUMMYFUNCTION("""COMPUTED_VALUE"""),"DC34")</f>
        <v>DC34</v>
      </c>
      <c r="H229" s="148"/>
      <c r="I229" s="148"/>
      <c r="J229" s="146"/>
      <c r="K229" s="146"/>
      <c r="L229" s="146">
        <f>IFERROR(__xludf.DUMMYFUNCTION("""COMPUTED_VALUE"""),508.0)</f>
        <v>508</v>
      </c>
      <c r="M229" s="146">
        <f>IFERROR(__xludf.DUMMYFUNCTION("""COMPUTED_VALUE"""),582.0)</f>
        <v>582</v>
      </c>
      <c r="N229" s="146">
        <f>IFERROR(__xludf.DUMMYFUNCTION("""COMPUTED_VALUE"""),38.0)</f>
        <v>38</v>
      </c>
      <c r="O229" s="146">
        <f>IFERROR(__xludf.DUMMYFUNCTION("""COMPUTED_VALUE"""),38.0)</f>
        <v>38</v>
      </c>
      <c r="P229" s="146">
        <f>IFERROR(__xludf.DUMMYFUNCTION("""COMPUTED_VALUE"""),162.0)</f>
        <v>162</v>
      </c>
      <c r="Q229" s="146"/>
      <c r="R229" s="146"/>
      <c r="T229" s="131" t="str">
        <f>IFERROR(__xludf.DUMMYFUNCTION("""COMPUTED_VALUE"""),"Y")</f>
        <v>Y</v>
      </c>
      <c r="U229" s="131" t="str">
        <f>IFERROR(__xludf.DUMMYFUNCTION("""COMPUTED_VALUE"""),"5")</f>
        <v>5</v>
      </c>
      <c r="V229" s="131"/>
      <c r="W229" s="144">
        <f>IFERROR(__xludf.DUMMYFUNCTION("""COMPUTED_VALUE"""),45692.0)</f>
        <v>45692</v>
      </c>
      <c r="X229" s="144">
        <f>IFERROR(__xludf.DUMMYFUNCTION("""COMPUTED_VALUE"""),45699.0)</f>
        <v>45699</v>
      </c>
      <c r="Y229" s="144">
        <f>IFERROR(__xludf.DUMMYFUNCTION("""COMPUTED_VALUE"""),45720.0)</f>
        <v>45720</v>
      </c>
      <c r="Z229" s="131" t="str">
        <f>IFERROR(__xludf.DUMMYFUNCTION("""COMPUTED_VALUE"""),"BRG11")</f>
        <v>BRG11</v>
      </c>
      <c r="AA229" s="131">
        <f>IFERROR(__xludf.DUMMYFUNCTION("""COMPUTED_VALUE"""),433.0)</f>
        <v>433</v>
      </c>
      <c r="AB229" s="131">
        <f>IFERROR(__xludf.DUMMYFUNCTION("""COMPUTED_VALUE"""),471.0)</f>
        <v>471</v>
      </c>
      <c r="AC229" s="131">
        <f>IFERROR(__xludf.DUMMYFUNCTION("""COMPUTED_VALUE"""),20.0)</f>
        <v>20</v>
      </c>
      <c r="AD229" s="131">
        <f>IFERROR(__xludf.DUMMYFUNCTION("""COMPUTED_VALUE"""),20.0)</f>
        <v>20</v>
      </c>
      <c r="AE229" s="131">
        <f>IFERROR(__xludf.DUMMYFUNCTION("""COMPUTED_VALUE"""),352.0)</f>
        <v>352</v>
      </c>
      <c r="AF229" s="131">
        <f>IFERROR(__xludf.DUMMYFUNCTION("""COMPUTED_VALUE"""),398.0)</f>
        <v>398</v>
      </c>
      <c r="AG229" s="131">
        <f>IFERROR(__xludf.DUMMYFUNCTION("""COMPUTED_VALUE"""),24.0)</f>
        <v>24</v>
      </c>
      <c r="AH229" s="131">
        <f>IFERROR(__xludf.DUMMYFUNCTION("""COMPUTED_VALUE"""),24.0)</f>
        <v>24</v>
      </c>
      <c r="AI229" s="131">
        <f>IFERROR(__xludf.DUMMYFUNCTION("""COMPUTED_VALUE"""),160.0)</f>
        <v>160</v>
      </c>
      <c r="AJ229" s="131"/>
      <c r="AK229" s="131"/>
    </row>
    <row r="230">
      <c r="A230" s="145" t="str">
        <f>IFERROR(__xludf.DUMMYFUNCTION("""COMPUTED_VALUE"""),"Y")</f>
        <v>Y</v>
      </c>
      <c r="B230" s="146" t="str">
        <f>IFERROR(__xludf.DUMMYFUNCTION("""COMPUTED_VALUE"""),"5")</f>
        <v>5</v>
      </c>
      <c r="C230" s="146"/>
      <c r="D230" s="147">
        <f>IFERROR(__xludf.DUMMYFUNCTION("""COMPUTED_VALUE"""),45692.0)</f>
        <v>45692</v>
      </c>
      <c r="E230" s="147">
        <f>IFERROR(__xludf.DUMMYFUNCTION("""COMPUTED_VALUE"""),45699.0)</f>
        <v>45699</v>
      </c>
      <c r="F230" s="147">
        <f>IFERROR(__xludf.DUMMYFUNCTION("""COMPUTED_VALUE"""),45720.0)</f>
        <v>45720</v>
      </c>
      <c r="G230" s="146" t="str">
        <f>IFERROR(__xludf.DUMMYFUNCTION("""COMPUTED_VALUE"""),"BRG11")</f>
        <v>BRG11</v>
      </c>
      <c r="H230" s="148">
        <f>IFERROR(__xludf.DUMMYFUNCTION("""COMPUTED_VALUE"""),433.0)</f>
        <v>433</v>
      </c>
      <c r="I230" s="148">
        <f>IFERROR(__xludf.DUMMYFUNCTION("""COMPUTED_VALUE"""),471.0)</f>
        <v>471</v>
      </c>
      <c r="J230" s="146">
        <f>IFERROR(__xludf.DUMMYFUNCTION("""COMPUTED_VALUE"""),20.0)</f>
        <v>20</v>
      </c>
      <c r="K230" s="146">
        <f>IFERROR(__xludf.DUMMYFUNCTION("""COMPUTED_VALUE"""),20.0)</f>
        <v>20</v>
      </c>
      <c r="L230" s="146">
        <f>IFERROR(__xludf.DUMMYFUNCTION("""COMPUTED_VALUE"""),352.0)</f>
        <v>352</v>
      </c>
      <c r="M230" s="146">
        <f>IFERROR(__xludf.DUMMYFUNCTION("""COMPUTED_VALUE"""),398.0)</f>
        <v>398</v>
      </c>
      <c r="N230" s="146">
        <f>IFERROR(__xludf.DUMMYFUNCTION("""COMPUTED_VALUE"""),24.0)</f>
        <v>24</v>
      </c>
      <c r="O230" s="146">
        <f>IFERROR(__xludf.DUMMYFUNCTION("""COMPUTED_VALUE"""),24.0)</f>
        <v>24</v>
      </c>
      <c r="P230" s="146">
        <f>IFERROR(__xludf.DUMMYFUNCTION("""COMPUTED_VALUE"""),160.0)</f>
        <v>160</v>
      </c>
      <c r="Q230" s="146"/>
      <c r="R230" s="146"/>
      <c r="T230" s="131" t="str">
        <f>IFERROR(__xludf.DUMMYFUNCTION("""COMPUTED_VALUE"""),"Y")</f>
        <v>Y</v>
      </c>
      <c r="U230" s="131" t="str">
        <f>IFERROR(__xludf.DUMMYFUNCTION("""COMPUTED_VALUE"""),"5")</f>
        <v>5</v>
      </c>
      <c r="V230" s="131"/>
      <c r="W230" s="144">
        <f>IFERROR(__xludf.DUMMYFUNCTION("""COMPUTED_VALUE"""),45692.0)</f>
        <v>45692</v>
      </c>
      <c r="X230" s="144">
        <f>IFERROR(__xludf.DUMMYFUNCTION("""COMPUTED_VALUE"""),45699.0)</f>
        <v>45699</v>
      </c>
      <c r="Y230" s="144">
        <f>IFERROR(__xludf.DUMMYFUNCTION("""COMPUTED_VALUE"""),45720.0)</f>
        <v>45720</v>
      </c>
      <c r="Z230" s="131" t="str">
        <f>IFERROR(__xludf.DUMMYFUNCTION("""COMPUTED_VALUE"""),"BRG9")</f>
        <v>BRG9</v>
      </c>
      <c r="AA230" s="131">
        <f>IFERROR(__xludf.DUMMYFUNCTION("""COMPUTED_VALUE"""),211.0)</f>
        <v>211</v>
      </c>
      <c r="AB230" s="131">
        <f>IFERROR(__xludf.DUMMYFUNCTION("""COMPUTED_VALUE"""),217.0)</f>
        <v>217</v>
      </c>
      <c r="AC230" s="131">
        <f>IFERROR(__xludf.DUMMYFUNCTION("""COMPUTED_VALUE"""),4.0)</f>
        <v>4</v>
      </c>
      <c r="AD230" s="131">
        <f>IFERROR(__xludf.DUMMYFUNCTION("""COMPUTED_VALUE"""),4.0)</f>
        <v>4</v>
      </c>
      <c r="AE230" s="131">
        <f>IFERROR(__xludf.DUMMYFUNCTION("""COMPUTED_VALUE"""),232.0)</f>
        <v>232</v>
      </c>
      <c r="AF230" s="131">
        <f>IFERROR(__xludf.DUMMYFUNCTION("""COMPUTED_VALUE"""),254.0)</f>
        <v>254</v>
      </c>
      <c r="AG230" s="131">
        <f>IFERROR(__xludf.DUMMYFUNCTION("""COMPUTED_VALUE"""),12.0)</f>
        <v>12</v>
      </c>
      <c r="AH230" s="131">
        <f>IFERROR(__xludf.DUMMYFUNCTION("""COMPUTED_VALUE"""),12.0)</f>
        <v>12</v>
      </c>
      <c r="AI230" s="131">
        <f>IFERROR(__xludf.DUMMYFUNCTION("""COMPUTED_VALUE"""),161.0)</f>
        <v>161</v>
      </c>
      <c r="AJ230" s="131"/>
      <c r="AK230" s="131"/>
    </row>
    <row r="231">
      <c r="A231" s="145" t="str">
        <f>IFERROR(__xludf.DUMMYFUNCTION("""COMPUTED_VALUE"""),"Y")</f>
        <v>Y</v>
      </c>
      <c r="B231" s="146" t="str">
        <f>IFERROR(__xludf.DUMMYFUNCTION("""COMPUTED_VALUE"""),"5")</f>
        <v>5</v>
      </c>
      <c r="C231" s="146"/>
      <c r="D231" s="147">
        <f>IFERROR(__xludf.DUMMYFUNCTION("""COMPUTED_VALUE"""),45692.0)</f>
        <v>45692</v>
      </c>
      <c r="E231" s="147">
        <f>IFERROR(__xludf.DUMMYFUNCTION("""COMPUTED_VALUE"""),45699.0)</f>
        <v>45699</v>
      </c>
      <c r="F231" s="147">
        <f>IFERROR(__xludf.DUMMYFUNCTION("""COMPUTED_VALUE"""),45720.0)</f>
        <v>45720</v>
      </c>
      <c r="G231" s="146" t="str">
        <f>IFERROR(__xludf.DUMMYFUNCTION("""COMPUTED_VALUE"""),"BRG9")</f>
        <v>BRG9</v>
      </c>
      <c r="H231" s="148">
        <f>IFERROR(__xludf.DUMMYFUNCTION("""COMPUTED_VALUE"""),211.0)</f>
        <v>211</v>
      </c>
      <c r="I231" s="148">
        <f>IFERROR(__xludf.DUMMYFUNCTION("""COMPUTED_VALUE"""),217.0)</f>
        <v>217</v>
      </c>
      <c r="J231" s="146">
        <f>IFERROR(__xludf.DUMMYFUNCTION("""COMPUTED_VALUE"""),4.0)</f>
        <v>4</v>
      </c>
      <c r="K231" s="146">
        <f>IFERROR(__xludf.DUMMYFUNCTION("""COMPUTED_VALUE"""),4.0)</f>
        <v>4</v>
      </c>
      <c r="L231" s="146">
        <f>IFERROR(__xludf.DUMMYFUNCTION("""COMPUTED_VALUE"""),232.0)</f>
        <v>232</v>
      </c>
      <c r="M231" s="146">
        <f>IFERROR(__xludf.DUMMYFUNCTION("""COMPUTED_VALUE"""),254.0)</f>
        <v>254</v>
      </c>
      <c r="N231" s="146">
        <f>IFERROR(__xludf.DUMMYFUNCTION("""COMPUTED_VALUE"""),12.0)</f>
        <v>12</v>
      </c>
      <c r="O231" s="146">
        <f>IFERROR(__xludf.DUMMYFUNCTION("""COMPUTED_VALUE"""),12.0)</f>
        <v>12</v>
      </c>
      <c r="P231" s="146">
        <f>IFERROR(__xludf.DUMMYFUNCTION("""COMPUTED_VALUE"""),161.0)</f>
        <v>161</v>
      </c>
      <c r="Q231" s="146"/>
      <c r="R231" s="146"/>
      <c r="T231" s="131" t="str">
        <f>IFERROR(__xludf.DUMMYFUNCTION("""COMPUTED_VALUE"""),"Y")</f>
        <v>Y</v>
      </c>
      <c r="U231" s="131" t="str">
        <f>IFERROR(__xludf.DUMMYFUNCTION("""COMPUTED_VALUE"""),"5")</f>
        <v>5</v>
      </c>
      <c r="V231" s="131"/>
      <c r="W231" s="144">
        <f>IFERROR(__xludf.DUMMYFUNCTION("""COMPUTED_VALUE"""),45692.0)</f>
        <v>45692</v>
      </c>
      <c r="X231" s="144">
        <f>IFERROR(__xludf.DUMMYFUNCTION("""COMPUTED_VALUE"""),45699.0)</f>
        <v>45699</v>
      </c>
      <c r="Y231" s="144">
        <f>IFERROR(__xludf.DUMMYFUNCTION("""COMPUTED_VALUE"""),45720.0)</f>
        <v>45720</v>
      </c>
      <c r="Z231" s="131" t="str">
        <f>IFERROR(__xludf.DUMMYFUNCTION("""COMPUTED_VALUE"""),"BRG9")</f>
        <v>BRG9</v>
      </c>
      <c r="AA231" s="131">
        <f>IFERROR(__xludf.DUMMYFUNCTION("""COMPUTED_VALUE"""),321.0)</f>
        <v>321</v>
      </c>
      <c r="AB231" s="131">
        <f>IFERROR(__xludf.DUMMYFUNCTION("""COMPUTED_VALUE"""),333.0)</f>
        <v>333</v>
      </c>
      <c r="AC231" s="131">
        <f>IFERROR(__xludf.DUMMYFUNCTION("""COMPUTED_VALUE"""),7.0)</f>
        <v>7</v>
      </c>
      <c r="AD231" s="131">
        <f>IFERROR(__xludf.DUMMYFUNCTION("""COMPUTED_VALUE"""),7.0)</f>
        <v>7</v>
      </c>
      <c r="AE231" s="131">
        <f>IFERROR(__xludf.DUMMYFUNCTION("""COMPUTED_VALUE"""),278.0)</f>
        <v>278</v>
      </c>
      <c r="AF231" s="131">
        <f>IFERROR(__xludf.DUMMYFUNCTION("""COMPUTED_VALUE"""),318.0)</f>
        <v>318</v>
      </c>
      <c r="AG231" s="131">
        <f>IFERROR(__xludf.DUMMYFUNCTION("""COMPUTED_VALUE"""),21.0)</f>
        <v>21</v>
      </c>
      <c r="AH231" s="131">
        <f>IFERROR(__xludf.DUMMYFUNCTION("""COMPUTED_VALUE"""),21.0)</f>
        <v>21</v>
      </c>
      <c r="AI231" s="131">
        <f>IFERROR(__xludf.DUMMYFUNCTION("""COMPUTED_VALUE"""),161.0)</f>
        <v>161</v>
      </c>
      <c r="AJ231" s="131"/>
      <c r="AK231" s="131"/>
    </row>
    <row r="232">
      <c r="A232" s="145" t="str">
        <f>IFERROR(__xludf.DUMMYFUNCTION("""COMPUTED_VALUE"""),"Y")</f>
        <v>Y</v>
      </c>
      <c r="B232" s="146" t="str">
        <f>IFERROR(__xludf.DUMMYFUNCTION("""COMPUTED_VALUE"""),"5")</f>
        <v>5</v>
      </c>
      <c r="C232" s="146"/>
      <c r="D232" s="147">
        <f>IFERROR(__xludf.DUMMYFUNCTION("""COMPUTED_VALUE"""),45692.0)</f>
        <v>45692</v>
      </c>
      <c r="E232" s="147">
        <f>IFERROR(__xludf.DUMMYFUNCTION("""COMPUTED_VALUE"""),45699.0)</f>
        <v>45699</v>
      </c>
      <c r="F232" s="147">
        <f>IFERROR(__xludf.DUMMYFUNCTION("""COMPUTED_VALUE"""),45720.0)</f>
        <v>45720</v>
      </c>
      <c r="G232" s="146" t="str">
        <f>IFERROR(__xludf.DUMMYFUNCTION("""COMPUTED_VALUE"""),"BRG9")</f>
        <v>BRG9</v>
      </c>
      <c r="H232" s="148">
        <f>IFERROR(__xludf.DUMMYFUNCTION("""COMPUTED_VALUE"""),321.0)</f>
        <v>321</v>
      </c>
      <c r="I232" s="148">
        <f>IFERROR(__xludf.DUMMYFUNCTION("""COMPUTED_VALUE"""),333.0)</f>
        <v>333</v>
      </c>
      <c r="J232" s="146">
        <f>IFERROR(__xludf.DUMMYFUNCTION("""COMPUTED_VALUE"""),7.0)</f>
        <v>7</v>
      </c>
      <c r="K232" s="146">
        <f>IFERROR(__xludf.DUMMYFUNCTION("""COMPUTED_VALUE"""),7.0)</f>
        <v>7</v>
      </c>
      <c r="L232" s="146">
        <f>IFERROR(__xludf.DUMMYFUNCTION("""COMPUTED_VALUE"""),278.0)</f>
        <v>278</v>
      </c>
      <c r="M232" s="146">
        <f>IFERROR(__xludf.DUMMYFUNCTION("""COMPUTED_VALUE"""),318.0)</f>
        <v>318</v>
      </c>
      <c r="N232" s="146">
        <f>IFERROR(__xludf.DUMMYFUNCTION("""COMPUTED_VALUE"""),21.0)</f>
        <v>21</v>
      </c>
      <c r="O232" s="146">
        <f>IFERROR(__xludf.DUMMYFUNCTION("""COMPUTED_VALUE"""),21.0)</f>
        <v>21</v>
      </c>
      <c r="P232" s="146">
        <f>IFERROR(__xludf.DUMMYFUNCTION("""COMPUTED_VALUE"""),161.0)</f>
        <v>161</v>
      </c>
      <c r="Q232" s="146"/>
      <c r="R232" s="146"/>
      <c r="T232" s="131" t="str">
        <f>IFERROR(__xludf.DUMMYFUNCTION("""COMPUTED_VALUE"""),"Y")</f>
        <v>Y</v>
      </c>
      <c r="U232" s="131" t="str">
        <f>IFERROR(__xludf.DUMMYFUNCTION("""COMPUTED_VALUE"""),"5")</f>
        <v>5</v>
      </c>
      <c r="V232" s="131"/>
      <c r="W232" s="144">
        <f>IFERROR(__xludf.DUMMYFUNCTION("""COMPUTED_VALUE"""),45692.0)</f>
        <v>45692</v>
      </c>
      <c r="X232" s="144">
        <f>IFERROR(__xludf.DUMMYFUNCTION("""COMPUTED_VALUE"""),45699.0)</f>
        <v>45699</v>
      </c>
      <c r="Y232" s="144">
        <f>IFERROR(__xludf.DUMMYFUNCTION("""COMPUTED_VALUE"""),45720.0)</f>
        <v>45720</v>
      </c>
      <c r="Z232" s="131" t="str">
        <f>IFERROR(__xludf.DUMMYFUNCTION("""COMPUTED_VALUE"""),"BRG9")</f>
        <v>BRG9</v>
      </c>
      <c r="AA232" s="131"/>
      <c r="AB232" s="131"/>
      <c r="AC232" s="131"/>
      <c r="AD232" s="131"/>
      <c r="AE232" s="131">
        <f>IFERROR(__xludf.DUMMYFUNCTION("""COMPUTED_VALUE"""),220.0)</f>
        <v>220</v>
      </c>
      <c r="AF232" s="131">
        <f>IFERROR(__xludf.DUMMYFUNCTION("""COMPUTED_VALUE"""),220.0)</f>
        <v>220</v>
      </c>
      <c r="AG232" s="131">
        <f>IFERROR(__xludf.DUMMYFUNCTION("""COMPUTED_VALUE"""),1.0)</f>
        <v>1</v>
      </c>
      <c r="AH232" s="131">
        <f>IFERROR(__xludf.DUMMYFUNCTION("""COMPUTED_VALUE"""),1.0)</f>
        <v>1</v>
      </c>
      <c r="AI232" s="131">
        <f>IFERROR(__xludf.DUMMYFUNCTION("""COMPUTED_VALUE"""),161.0)</f>
        <v>161</v>
      </c>
      <c r="AJ232" s="131"/>
      <c r="AK232" s="131"/>
    </row>
    <row r="233">
      <c r="A233" s="145" t="str">
        <f>IFERROR(__xludf.DUMMYFUNCTION("""COMPUTED_VALUE"""),"Y")</f>
        <v>Y</v>
      </c>
      <c r="B233" s="146" t="str">
        <f>IFERROR(__xludf.DUMMYFUNCTION("""COMPUTED_VALUE"""),"5")</f>
        <v>5</v>
      </c>
      <c r="C233" s="146"/>
      <c r="D233" s="147">
        <f>IFERROR(__xludf.DUMMYFUNCTION("""COMPUTED_VALUE"""),45692.0)</f>
        <v>45692</v>
      </c>
      <c r="E233" s="147">
        <f>IFERROR(__xludf.DUMMYFUNCTION("""COMPUTED_VALUE"""),45699.0)</f>
        <v>45699</v>
      </c>
      <c r="F233" s="147">
        <f>IFERROR(__xludf.DUMMYFUNCTION("""COMPUTED_VALUE"""),45720.0)</f>
        <v>45720</v>
      </c>
      <c r="G233" s="146" t="str">
        <f>IFERROR(__xludf.DUMMYFUNCTION("""COMPUTED_VALUE"""),"BRG9")</f>
        <v>BRG9</v>
      </c>
      <c r="H233" s="148"/>
      <c r="I233" s="148"/>
      <c r="J233" s="146"/>
      <c r="K233" s="146"/>
      <c r="L233" s="146">
        <f>IFERROR(__xludf.DUMMYFUNCTION("""COMPUTED_VALUE"""),220.0)</f>
        <v>220</v>
      </c>
      <c r="M233" s="146">
        <f>IFERROR(__xludf.DUMMYFUNCTION("""COMPUTED_VALUE"""),220.0)</f>
        <v>220</v>
      </c>
      <c r="N233" s="146">
        <f>IFERROR(__xludf.DUMMYFUNCTION("""COMPUTED_VALUE"""),1.0)</f>
        <v>1</v>
      </c>
      <c r="O233" s="146">
        <f>IFERROR(__xludf.DUMMYFUNCTION("""COMPUTED_VALUE"""),1.0)</f>
        <v>1</v>
      </c>
      <c r="P233" s="146">
        <f>IFERROR(__xludf.DUMMYFUNCTION("""COMPUTED_VALUE"""),161.0)</f>
        <v>161</v>
      </c>
      <c r="Q233" s="146"/>
      <c r="R233" s="146"/>
      <c r="T233" s="131" t="str">
        <f>IFERROR(__xludf.DUMMYFUNCTION("""COMPUTED_VALUE"""),"Y")</f>
        <v>Y</v>
      </c>
      <c r="U233" s="131" t="str">
        <f>IFERROR(__xludf.DUMMYFUNCTION("""COMPUTED_VALUE"""),"5")</f>
        <v>5</v>
      </c>
      <c r="V233" s="131"/>
      <c r="W233" s="144">
        <f>IFERROR(__xludf.DUMMYFUNCTION("""COMPUTED_VALUE"""),45693.0)</f>
        <v>45693</v>
      </c>
      <c r="X233" s="144">
        <f>IFERROR(__xludf.DUMMYFUNCTION("""COMPUTED_VALUE"""),45700.0)</f>
        <v>45700</v>
      </c>
      <c r="Y233" s="144">
        <f>IFERROR(__xludf.DUMMYFUNCTION("""COMPUTED_VALUE"""),45721.0)</f>
        <v>45721</v>
      </c>
      <c r="Z233" s="131" t="str">
        <f>IFERROR(__xludf.DUMMYFUNCTION("""COMPUTED_VALUE"""),"BRG11")</f>
        <v>BRG11</v>
      </c>
      <c r="AA233" s="131">
        <f>IFERROR(__xludf.DUMMYFUNCTION("""COMPUTED_VALUE"""),473.0)</f>
        <v>473</v>
      </c>
      <c r="AB233" s="131">
        <f>IFERROR(__xludf.DUMMYFUNCTION("""COMPUTED_VALUE"""),533.0)</f>
        <v>533</v>
      </c>
      <c r="AC233" s="131">
        <f>IFERROR(__xludf.DUMMYFUNCTION("""COMPUTED_VALUE"""),31.0)</f>
        <v>31</v>
      </c>
      <c r="AD233" s="131">
        <f>IFERROR(__xludf.DUMMYFUNCTION("""COMPUTED_VALUE"""),31.0)</f>
        <v>31</v>
      </c>
      <c r="AE233" s="131">
        <f>IFERROR(__xludf.DUMMYFUNCTION("""COMPUTED_VALUE"""),400.0)</f>
        <v>400</v>
      </c>
      <c r="AF233" s="131">
        <f>IFERROR(__xludf.DUMMYFUNCTION("""COMPUTED_VALUE"""),430.0)</f>
        <v>430</v>
      </c>
      <c r="AG233" s="131">
        <f>IFERROR(__xludf.DUMMYFUNCTION("""COMPUTED_VALUE"""),16.0)</f>
        <v>16</v>
      </c>
      <c r="AH233" s="131">
        <f>IFERROR(__xludf.DUMMYFUNCTION("""COMPUTED_VALUE"""),16.0)</f>
        <v>16</v>
      </c>
      <c r="AI233" s="131">
        <f>IFERROR(__xludf.DUMMYFUNCTION("""COMPUTED_VALUE"""),164.0)</f>
        <v>164</v>
      </c>
      <c r="AJ233" s="131"/>
      <c r="AK233" s="131"/>
    </row>
    <row r="234">
      <c r="A234" s="145" t="str">
        <f>IFERROR(__xludf.DUMMYFUNCTION("""COMPUTED_VALUE"""),"Y")</f>
        <v>Y</v>
      </c>
      <c r="B234" s="146" t="str">
        <f>IFERROR(__xludf.DUMMYFUNCTION("""COMPUTED_VALUE"""),"5")</f>
        <v>5</v>
      </c>
      <c r="C234" s="146"/>
      <c r="D234" s="147">
        <f>IFERROR(__xludf.DUMMYFUNCTION("""COMPUTED_VALUE"""),45693.0)</f>
        <v>45693</v>
      </c>
      <c r="E234" s="147">
        <f>IFERROR(__xludf.DUMMYFUNCTION("""COMPUTED_VALUE"""),45700.0)</f>
        <v>45700</v>
      </c>
      <c r="F234" s="147">
        <f>IFERROR(__xludf.DUMMYFUNCTION("""COMPUTED_VALUE"""),45721.0)</f>
        <v>45721</v>
      </c>
      <c r="G234" s="146" t="str">
        <f>IFERROR(__xludf.DUMMYFUNCTION("""COMPUTED_VALUE"""),"BRG11")</f>
        <v>BRG11</v>
      </c>
      <c r="H234" s="148">
        <f>IFERROR(__xludf.DUMMYFUNCTION("""COMPUTED_VALUE"""),473.0)</f>
        <v>473</v>
      </c>
      <c r="I234" s="148">
        <f>IFERROR(__xludf.DUMMYFUNCTION("""COMPUTED_VALUE"""),533.0)</f>
        <v>533</v>
      </c>
      <c r="J234" s="146">
        <f>IFERROR(__xludf.DUMMYFUNCTION("""COMPUTED_VALUE"""),31.0)</f>
        <v>31</v>
      </c>
      <c r="K234" s="146">
        <f>IFERROR(__xludf.DUMMYFUNCTION("""COMPUTED_VALUE"""),31.0)</f>
        <v>31</v>
      </c>
      <c r="L234" s="146">
        <f>IFERROR(__xludf.DUMMYFUNCTION("""COMPUTED_VALUE"""),400.0)</f>
        <v>400</v>
      </c>
      <c r="M234" s="146">
        <f>IFERROR(__xludf.DUMMYFUNCTION("""COMPUTED_VALUE"""),430.0)</f>
        <v>430</v>
      </c>
      <c r="N234" s="146">
        <f>IFERROR(__xludf.DUMMYFUNCTION("""COMPUTED_VALUE"""),16.0)</f>
        <v>16</v>
      </c>
      <c r="O234" s="146">
        <f>IFERROR(__xludf.DUMMYFUNCTION("""COMPUTED_VALUE"""),16.0)</f>
        <v>16</v>
      </c>
      <c r="P234" s="146">
        <f>IFERROR(__xludf.DUMMYFUNCTION("""COMPUTED_VALUE"""),164.0)</f>
        <v>164</v>
      </c>
      <c r="Q234" s="146"/>
      <c r="R234" s="146"/>
      <c r="T234" s="131" t="str">
        <f>IFERROR(__xludf.DUMMYFUNCTION("""COMPUTED_VALUE"""),"Y")</f>
        <v>Y</v>
      </c>
      <c r="U234" s="131" t="str">
        <f>IFERROR(__xludf.DUMMYFUNCTION("""COMPUTED_VALUE"""),"5")</f>
        <v>5</v>
      </c>
      <c r="V234" s="131"/>
      <c r="W234" s="144">
        <f>IFERROR(__xludf.DUMMYFUNCTION("""COMPUTED_VALUE"""),45693.0)</f>
        <v>45693</v>
      </c>
      <c r="X234" s="144">
        <f>IFERROR(__xludf.DUMMYFUNCTION("""COMPUTED_VALUE"""),45700.0)</f>
        <v>45700</v>
      </c>
      <c r="Y234" s="144">
        <f>IFERROR(__xludf.DUMMYFUNCTION("""COMPUTED_VALUE"""),45721.0)</f>
        <v>45721</v>
      </c>
      <c r="Z234" s="131" t="str">
        <f>IFERROR(__xludf.DUMMYFUNCTION("""COMPUTED_VALUE"""),"BRG9")</f>
        <v>BRG9</v>
      </c>
      <c r="AA234" s="131">
        <f>IFERROR(__xludf.DUMMYFUNCTION("""COMPUTED_VALUE"""),279.0)</f>
        <v>279</v>
      </c>
      <c r="AB234" s="131">
        <f>IFERROR(__xludf.DUMMYFUNCTION("""COMPUTED_VALUE"""),309.0)</f>
        <v>309</v>
      </c>
      <c r="AC234" s="131">
        <f>IFERROR(__xludf.DUMMYFUNCTION("""COMPUTED_VALUE"""),16.0)</f>
        <v>16</v>
      </c>
      <c r="AD234" s="131">
        <f>IFERROR(__xludf.DUMMYFUNCTION("""COMPUTED_VALUE"""),16.0)</f>
        <v>16</v>
      </c>
      <c r="AE234" s="131">
        <f>IFERROR(__xludf.DUMMYFUNCTION("""COMPUTED_VALUE"""),340.0)</f>
        <v>340</v>
      </c>
      <c r="AF234" s="131">
        <f>IFERROR(__xludf.DUMMYFUNCTION("""COMPUTED_VALUE"""),352.0)</f>
        <v>352</v>
      </c>
      <c r="AG234" s="131">
        <f>IFERROR(__xludf.DUMMYFUNCTION("""COMPUTED_VALUE"""),7.0)</f>
        <v>7</v>
      </c>
      <c r="AH234" s="131">
        <f>IFERROR(__xludf.DUMMYFUNCTION("""COMPUTED_VALUE"""),7.0)</f>
        <v>7</v>
      </c>
      <c r="AI234" s="131">
        <f>IFERROR(__xludf.DUMMYFUNCTION("""COMPUTED_VALUE"""),163.0)</f>
        <v>163</v>
      </c>
      <c r="AJ234" s="131"/>
      <c r="AK234" s="131"/>
    </row>
    <row r="235">
      <c r="A235" s="145" t="str">
        <f>IFERROR(__xludf.DUMMYFUNCTION("""COMPUTED_VALUE"""),"Y")</f>
        <v>Y</v>
      </c>
      <c r="B235" s="146" t="str">
        <f>IFERROR(__xludf.DUMMYFUNCTION("""COMPUTED_VALUE"""),"5")</f>
        <v>5</v>
      </c>
      <c r="C235" s="146"/>
      <c r="D235" s="147">
        <f>IFERROR(__xludf.DUMMYFUNCTION("""COMPUTED_VALUE"""),45693.0)</f>
        <v>45693</v>
      </c>
      <c r="E235" s="147">
        <f>IFERROR(__xludf.DUMMYFUNCTION("""COMPUTED_VALUE"""),45700.0)</f>
        <v>45700</v>
      </c>
      <c r="F235" s="147">
        <f>IFERROR(__xludf.DUMMYFUNCTION("""COMPUTED_VALUE"""),45721.0)</f>
        <v>45721</v>
      </c>
      <c r="G235" s="146" t="str">
        <f>IFERROR(__xludf.DUMMYFUNCTION("""COMPUTED_VALUE"""),"BRG9")</f>
        <v>BRG9</v>
      </c>
      <c r="H235" s="148">
        <f>IFERROR(__xludf.DUMMYFUNCTION("""COMPUTED_VALUE"""),279.0)</f>
        <v>279</v>
      </c>
      <c r="I235" s="148">
        <f>IFERROR(__xludf.DUMMYFUNCTION("""COMPUTED_VALUE"""),309.0)</f>
        <v>309</v>
      </c>
      <c r="J235" s="146">
        <f>IFERROR(__xludf.DUMMYFUNCTION("""COMPUTED_VALUE"""),16.0)</f>
        <v>16</v>
      </c>
      <c r="K235" s="146">
        <f>IFERROR(__xludf.DUMMYFUNCTION("""COMPUTED_VALUE"""),16.0)</f>
        <v>16</v>
      </c>
      <c r="L235" s="146">
        <f>IFERROR(__xludf.DUMMYFUNCTION("""COMPUTED_VALUE"""),340.0)</f>
        <v>340</v>
      </c>
      <c r="M235" s="146">
        <f>IFERROR(__xludf.DUMMYFUNCTION("""COMPUTED_VALUE"""),352.0)</f>
        <v>352</v>
      </c>
      <c r="N235" s="146">
        <f>IFERROR(__xludf.DUMMYFUNCTION("""COMPUTED_VALUE"""),7.0)</f>
        <v>7</v>
      </c>
      <c r="O235" s="146">
        <f>IFERROR(__xludf.DUMMYFUNCTION("""COMPUTED_VALUE"""),7.0)</f>
        <v>7</v>
      </c>
      <c r="P235" s="146">
        <f>IFERROR(__xludf.DUMMYFUNCTION("""COMPUTED_VALUE"""),163.0)</f>
        <v>163</v>
      </c>
      <c r="Q235" s="146"/>
      <c r="R235" s="146"/>
      <c r="T235" s="131" t="str">
        <f>IFERROR(__xludf.DUMMYFUNCTION("""COMPUTED_VALUE"""),"Y")</f>
        <v>Y</v>
      </c>
      <c r="U235" s="131" t="str">
        <f>IFERROR(__xludf.DUMMYFUNCTION("""COMPUTED_VALUE"""),"5")</f>
        <v>5</v>
      </c>
      <c r="V235" s="131"/>
      <c r="W235" s="144">
        <f>IFERROR(__xludf.DUMMYFUNCTION("""COMPUTED_VALUE"""),45693.0)</f>
        <v>45693</v>
      </c>
      <c r="X235" s="144">
        <f>IFERROR(__xludf.DUMMYFUNCTION("""COMPUTED_VALUE"""),45700.0)</f>
        <v>45700</v>
      </c>
      <c r="Y235" s="144">
        <f>IFERROR(__xludf.DUMMYFUNCTION("""COMPUTED_VALUE"""),45721.0)</f>
        <v>45721</v>
      </c>
      <c r="Z235" s="131" t="str">
        <f>IFERROR(__xludf.DUMMYFUNCTION("""COMPUTED_VALUE"""),"BRG9")</f>
        <v>BRG9</v>
      </c>
      <c r="AA235" s="131">
        <f>IFERROR(__xludf.DUMMYFUNCTION("""COMPUTED_VALUE"""),335.0)</f>
        <v>335</v>
      </c>
      <c r="AB235" s="131">
        <f>IFERROR(__xludf.DUMMYFUNCTION("""COMPUTED_VALUE"""),337.0)</f>
        <v>337</v>
      </c>
      <c r="AC235" s="131">
        <f>IFERROR(__xludf.DUMMYFUNCTION("""COMPUTED_VALUE"""),2.0)</f>
        <v>2</v>
      </c>
      <c r="AD235" s="131">
        <f>IFERROR(__xludf.DUMMYFUNCTION("""COMPUTED_VALUE"""),2.0)</f>
        <v>2</v>
      </c>
      <c r="AE235" s="131">
        <f>IFERROR(__xludf.DUMMYFUNCTION("""COMPUTED_VALUE"""),256.0)</f>
        <v>256</v>
      </c>
      <c r="AF235" s="131">
        <f>IFERROR(__xludf.DUMMYFUNCTION("""COMPUTED_VALUE"""),276.0)</f>
        <v>276</v>
      </c>
      <c r="AG235" s="131">
        <f>IFERROR(__xludf.DUMMYFUNCTION("""COMPUTED_VALUE"""),11.0)</f>
        <v>11</v>
      </c>
      <c r="AH235" s="131">
        <f>IFERROR(__xludf.DUMMYFUNCTION("""COMPUTED_VALUE"""),11.0)</f>
        <v>11</v>
      </c>
      <c r="AI235" s="131">
        <f>IFERROR(__xludf.DUMMYFUNCTION("""COMPUTED_VALUE"""),163.0)</f>
        <v>163</v>
      </c>
      <c r="AJ235" s="131"/>
      <c r="AK235" s="131"/>
    </row>
    <row r="236">
      <c r="A236" s="145" t="str">
        <f>IFERROR(__xludf.DUMMYFUNCTION("""COMPUTED_VALUE"""),"Y")</f>
        <v>Y</v>
      </c>
      <c r="B236" s="146" t="str">
        <f>IFERROR(__xludf.DUMMYFUNCTION("""COMPUTED_VALUE"""),"5")</f>
        <v>5</v>
      </c>
      <c r="C236" s="146"/>
      <c r="D236" s="147">
        <f>IFERROR(__xludf.DUMMYFUNCTION("""COMPUTED_VALUE"""),45693.0)</f>
        <v>45693</v>
      </c>
      <c r="E236" s="147">
        <f>IFERROR(__xludf.DUMMYFUNCTION("""COMPUTED_VALUE"""),45700.0)</f>
        <v>45700</v>
      </c>
      <c r="F236" s="147">
        <f>IFERROR(__xludf.DUMMYFUNCTION("""COMPUTED_VALUE"""),45721.0)</f>
        <v>45721</v>
      </c>
      <c r="G236" s="146" t="str">
        <f>IFERROR(__xludf.DUMMYFUNCTION("""COMPUTED_VALUE"""),"BRG9")</f>
        <v>BRG9</v>
      </c>
      <c r="H236" s="148">
        <f>IFERROR(__xludf.DUMMYFUNCTION("""COMPUTED_VALUE"""),335.0)</f>
        <v>335</v>
      </c>
      <c r="I236" s="148">
        <f>IFERROR(__xludf.DUMMYFUNCTION("""COMPUTED_VALUE"""),337.0)</f>
        <v>337</v>
      </c>
      <c r="J236" s="146">
        <f>IFERROR(__xludf.DUMMYFUNCTION("""COMPUTED_VALUE"""),2.0)</f>
        <v>2</v>
      </c>
      <c r="K236" s="146">
        <f>IFERROR(__xludf.DUMMYFUNCTION("""COMPUTED_VALUE"""),2.0)</f>
        <v>2</v>
      </c>
      <c r="L236" s="146">
        <f>IFERROR(__xludf.DUMMYFUNCTION("""COMPUTED_VALUE"""),256.0)</f>
        <v>256</v>
      </c>
      <c r="M236" s="146">
        <f>IFERROR(__xludf.DUMMYFUNCTION("""COMPUTED_VALUE"""),276.0)</f>
        <v>276</v>
      </c>
      <c r="N236" s="146">
        <f>IFERROR(__xludf.DUMMYFUNCTION("""COMPUTED_VALUE"""),11.0)</f>
        <v>11</v>
      </c>
      <c r="O236" s="146">
        <f>IFERROR(__xludf.DUMMYFUNCTION("""COMPUTED_VALUE"""),11.0)</f>
        <v>11</v>
      </c>
      <c r="P236" s="146">
        <f>IFERROR(__xludf.DUMMYFUNCTION("""COMPUTED_VALUE"""),163.0)</f>
        <v>163</v>
      </c>
      <c r="Q236" s="146"/>
      <c r="R236" s="146"/>
      <c r="T236" s="131" t="str">
        <f>IFERROR(__xludf.DUMMYFUNCTION("""COMPUTED_VALUE"""),"Y")</f>
        <v>Y</v>
      </c>
      <c r="U236" s="131" t="str">
        <f>IFERROR(__xludf.DUMMYFUNCTION("""COMPUTED_VALUE"""),"5")</f>
        <v>5</v>
      </c>
      <c r="V236" s="131"/>
      <c r="W236" s="144">
        <f>IFERROR(__xludf.DUMMYFUNCTION("""COMPUTED_VALUE"""),45693.0)</f>
        <v>45693</v>
      </c>
      <c r="X236" s="144">
        <f>IFERROR(__xludf.DUMMYFUNCTION("""COMPUTED_VALUE"""),45700.0)</f>
        <v>45700</v>
      </c>
      <c r="Y236" s="144">
        <f>IFERROR(__xludf.DUMMYFUNCTION("""COMPUTED_VALUE"""),45721.0)</f>
        <v>45721</v>
      </c>
      <c r="Z236" s="131" t="str">
        <f>IFERROR(__xludf.DUMMYFUNCTION("""COMPUTED_VALUE"""),"DC39")</f>
        <v>DC39</v>
      </c>
      <c r="AA236" s="131">
        <f>IFERROR(__xludf.DUMMYFUNCTION("""COMPUTED_VALUE"""),1.0)</f>
        <v>1</v>
      </c>
      <c r="AB236" s="131">
        <f>IFERROR(__xludf.DUMMYFUNCTION("""COMPUTED_VALUE"""),65.0)</f>
        <v>65</v>
      </c>
      <c r="AC236" s="131">
        <f>IFERROR(__xludf.DUMMYFUNCTION("""COMPUTED_VALUE"""),33.0)</f>
        <v>33</v>
      </c>
      <c r="AD236" s="131">
        <f>IFERROR(__xludf.DUMMYFUNCTION("""COMPUTED_VALUE"""),33.0)</f>
        <v>33</v>
      </c>
      <c r="AE236" s="131">
        <f>IFERROR(__xludf.DUMMYFUNCTION("""COMPUTED_VALUE"""),68.0)</f>
        <v>68</v>
      </c>
      <c r="AF236" s="131">
        <f>IFERROR(__xludf.DUMMYFUNCTION("""COMPUTED_VALUE"""),88.0)</f>
        <v>88</v>
      </c>
      <c r="AG236" s="131">
        <f>IFERROR(__xludf.DUMMYFUNCTION("""COMPUTED_VALUE"""),11.0)</f>
        <v>11</v>
      </c>
      <c r="AH236" s="131">
        <f>IFERROR(__xludf.DUMMYFUNCTION("""COMPUTED_VALUE"""),11.0)</f>
        <v>11</v>
      </c>
      <c r="AI236" s="131">
        <f>IFERROR(__xludf.DUMMYFUNCTION("""COMPUTED_VALUE"""),165.0)</f>
        <v>165</v>
      </c>
      <c r="AJ236" s="131"/>
      <c r="AK236" s="131"/>
    </row>
    <row r="237">
      <c r="A237" s="145" t="str">
        <f>IFERROR(__xludf.DUMMYFUNCTION("""COMPUTED_VALUE"""),"Y")</f>
        <v>Y</v>
      </c>
      <c r="B237" s="146" t="str">
        <f>IFERROR(__xludf.DUMMYFUNCTION("""COMPUTED_VALUE"""),"5")</f>
        <v>5</v>
      </c>
      <c r="C237" s="146"/>
      <c r="D237" s="147">
        <f>IFERROR(__xludf.DUMMYFUNCTION("""COMPUTED_VALUE"""),45693.0)</f>
        <v>45693</v>
      </c>
      <c r="E237" s="147">
        <f>IFERROR(__xludf.DUMMYFUNCTION("""COMPUTED_VALUE"""),45700.0)</f>
        <v>45700</v>
      </c>
      <c r="F237" s="147">
        <f>IFERROR(__xludf.DUMMYFUNCTION("""COMPUTED_VALUE"""),45721.0)</f>
        <v>45721</v>
      </c>
      <c r="G237" s="146" t="str">
        <f>IFERROR(__xludf.DUMMYFUNCTION("""COMPUTED_VALUE"""),"DC39")</f>
        <v>DC39</v>
      </c>
      <c r="H237" s="148">
        <f>IFERROR(__xludf.DUMMYFUNCTION("""COMPUTED_VALUE"""),1.0)</f>
        <v>1</v>
      </c>
      <c r="I237" s="148">
        <f>IFERROR(__xludf.DUMMYFUNCTION("""COMPUTED_VALUE"""),65.0)</f>
        <v>65</v>
      </c>
      <c r="J237" s="146">
        <f>IFERROR(__xludf.DUMMYFUNCTION("""COMPUTED_VALUE"""),33.0)</f>
        <v>33</v>
      </c>
      <c r="K237" s="146">
        <f>IFERROR(__xludf.DUMMYFUNCTION("""COMPUTED_VALUE"""),33.0)</f>
        <v>33</v>
      </c>
      <c r="L237" s="146">
        <f>IFERROR(__xludf.DUMMYFUNCTION("""COMPUTED_VALUE"""),68.0)</f>
        <v>68</v>
      </c>
      <c r="M237" s="146">
        <f>IFERROR(__xludf.DUMMYFUNCTION("""COMPUTED_VALUE"""),88.0)</f>
        <v>88</v>
      </c>
      <c r="N237" s="146">
        <f>IFERROR(__xludf.DUMMYFUNCTION("""COMPUTED_VALUE"""),11.0)</f>
        <v>11</v>
      </c>
      <c r="O237" s="146">
        <f>IFERROR(__xludf.DUMMYFUNCTION("""COMPUTED_VALUE"""),11.0)</f>
        <v>11</v>
      </c>
      <c r="P237" s="146">
        <f>IFERROR(__xludf.DUMMYFUNCTION("""COMPUTED_VALUE"""),165.0)</f>
        <v>165</v>
      </c>
      <c r="Q237" s="146"/>
      <c r="R237" s="146"/>
      <c r="T237" s="131" t="str">
        <f>IFERROR(__xludf.DUMMYFUNCTION("""COMPUTED_VALUE"""),"Y")</f>
        <v>Y</v>
      </c>
      <c r="U237" s="131" t="str">
        <f>IFERROR(__xludf.DUMMYFUNCTION("""COMPUTED_VALUE"""),"5")</f>
        <v>5</v>
      </c>
      <c r="V237" s="131"/>
      <c r="W237" s="144">
        <f>IFERROR(__xludf.DUMMYFUNCTION("""COMPUTED_VALUE"""),45693.0)</f>
        <v>45693</v>
      </c>
      <c r="X237" s="144">
        <f>IFERROR(__xludf.DUMMYFUNCTION("""COMPUTED_VALUE"""),45700.0)</f>
        <v>45700</v>
      </c>
      <c r="Y237" s="144">
        <f>IFERROR(__xludf.DUMMYFUNCTION("""COMPUTED_VALUE"""),45721.0)</f>
        <v>45721</v>
      </c>
      <c r="Z237" s="131" t="str">
        <f>IFERROR(__xludf.DUMMYFUNCTION("""COMPUTED_VALUE"""),"DC39")</f>
        <v>DC39</v>
      </c>
      <c r="AA237" s="131">
        <f>IFERROR(__xludf.DUMMYFUNCTION("""COMPUTED_VALUE"""),91.0)</f>
        <v>91</v>
      </c>
      <c r="AB237" s="131">
        <f>IFERROR(__xludf.DUMMYFUNCTION("""COMPUTED_VALUE"""),131.0)</f>
        <v>131</v>
      </c>
      <c r="AC237" s="131">
        <f>IFERROR(__xludf.DUMMYFUNCTION("""COMPUTED_VALUE"""),21.0)</f>
        <v>21</v>
      </c>
      <c r="AD237" s="131">
        <f>IFERROR(__xludf.DUMMYFUNCTION("""COMPUTED_VALUE"""),21.0)</f>
        <v>21</v>
      </c>
      <c r="AE237" s="131"/>
      <c r="AF237" s="131"/>
      <c r="AG237" s="131"/>
      <c r="AH237" s="131"/>
      <c r="AI237" s="131">
        <f>IFERROR(__xludf.DUMMYFUNCTION("""COMPUTED_VALUE"""),165.0)</f>
        <v>165</v>
      </c>
      <c r="AJ237" s="131"/>
      <c r="AK237" s="131"/>
    </row>
    <row r="238">
      <c r="A238" s="145" t="str">
        <f>IFERROR(__xludf.DUMMYFUNCTION("""COMPUTED_VALUE"""),"Y")</f>
        <v>Y</v>
      </c>
      <c r="B238" s="146" t="str">
        <f>IFERROR(__xludf.DUMMYFUNCTION("""COMPUTED_VALUE"""),"5")</f>
        <v>5</v>
      </c>
      <c r="C238" s="146"/>
      <c r="D238" s="147">
        <f>IFERROR(__xludf.DUMMYFUNCTION("""COMPUTED_VALUE"""),45693.0)</f>
        <v>45693</v>
      </c>
      <c r="E238" s="147">
        <f>IFERROR(__xludf.DUMMYFUNCTION("""COMPUTED_VALUE"""),45700.0)</f>
        <v>45700</v>
      </c>
      <c r="F238" s="147">
        <f>IFERROR(__xludf.DUMMYFUNCTION("""COMPUTED_VALUE"""),45721.0)</f>
        <v>45721</v>
      </c>
      <c r="G238" s="146" t="str">
        <f>IFERROR(__xludf.DUMMYFUNCTION("""COMPUTED_VALUE"""),"DC39")</f>
        <v>DC39</v>
      </c>
      <c r="H238" s="148">
        <f>IFERROR(__xludf.DUMMYFUNCTION("""COMPUTED_VALUE"""),91.0)</f>
        <v>91</v>
      </c>
      <c r="I238" s="148">
        <f>IFERROR(__xludf.DUMMYFUNCTION("""COMPUTED_VALUE"""),131.0)</f>
        <v>131</v>
      </c>
      <c r="J238" s="146">
        <f>IFERROR(__xludf.DUMMYFUNCTION("""COMPUTED_VALUE"""),21.0)</f>
        <v>21</v>
      </c>
      <c r="K238" s="146">
        <f>IFERROR(__xludf.DUMMYFUNCTION("""COMPUTED_VALUE"""),21.0)</f>
        <v>21</v>
      </c>
      <c r="L238" s="146"/>
      <c r="M238" s="146"/>
      <c r="N238" s="146"/>
      <c r="O238" s="146"/>
      <c r="P238" s="146">
        <f>IFERROR(__xludf.DUMMYFUNCTION("""COMPUTED_VALUE"""),165.0)</f>
        <v>165</v>
      </c>
      <c r="Q238" s="146"/>
      <c r="R238" s="146"/>
      <c r="T238" s="131" t="str">
        <f>IFERROR(__xludf.DUMMYFUNCTION("""COMPUTED_VALUE"""),"Y")</f>
        <v>Y</v>
      </c>
      <c r="U238" s="131" t="str">
        <f>IFERROR(__xludf.DUMMYFUNCTION("""COMPUTED_VALUE"""),"5")</f>
        <v>5</v>
      </c>
      <c r="V238" s="131"/>
      <c r="W238" s="144">
        <f>IFERROR(__xludf.DUMMYFUNCTION("""COMPUTED_VALUE"""),45694.0)</f>
        <v>45694</v>
      </c>
      <c r="X238" s="144">
        <f>IFERROR(__xludf.DUMMYFUNCTION("""COMPUTED_VALUE"""),45701.0)</f>
        <v>45701</v>
      </c>
      <c r="Y238" s="144">
        <f>IFERROR(__xludf.DUMMYFUNCTION("""COMPUTED_VALUE"""),45722.0)</f>
        <v>45722</v>
      </c>
      <c r="Z238" s="131" t="str">
        <f>IFERROR(__xludf.DUMMYFUNCTION("""COMPUTED_VALUE"""),"BRG11")</f>
        <v>BRG11</v>
      </c>
      <c r="AA238" s="131">
        <f>IFERROR(__xludf.DUMMYFUNCTION("""COMPUTED_VALUE"""),535.0)</f>
        <v>535</v>
      </c>
      <c r="AB238" s="131">
        <f>IFERROR(__xludf.DUMMYFUNCTION("""COMPUTED_VALUE"""),589.0)</f>
        <v>589</v>
      </c>
      <c r="AC238" s="131">
        <f>IFERROR(__xludf.DUMMYFUNCTION("""COMPUTED_VALUE"""),28.0)</f>
        <v>28</v>
      </c>
      <c r="AD238" s="131">
        <f>IFERROR(__xludf.DUMMYFUNCTION("""COMPUTED_VALUE"""),28.0)</f>
        <v>28</v>
      </c>
      <c r="AE238" s="131">
        <f>IFERROR(__xludf.DUMMYFUNCTION("""COMPUTED_VALUE"""),432.0)</f>
        <v>432</v>
      </c>
      <c r="AF238" s="131">
        <f>IFERROR(__xludf.DUMMYFUNCTION("""COMPUTED_VALUE"""),474.0)</f>
        <v>474</v>
      </c>
      <c r="AG238" s="131">
        <f>IFERROR(__xludf.DUMMYFUNCTION("""COMPUTED_VALUE"""),22.0)</f>
        <v>22</v>
      </c>
      <c r="AH238" s="131">
        <f>IFERROR(__xludf.DUMMYFUNCTION("""COMPUTED_VALUE"""),22.0)</f>
        <v>22</v>
      </c>
      <c r="AI238" s="131">
        <f>IFERROR(__xludf.DUMMYFUNCTION("""COMPUTED_VALUE"""),166.0)</f>
        <v>166</v>
      </c>
      <c r="AJ238" s="131"/>
      <c r="AK238" s="131"/>
    </row>
    <row r="239">
      <c r="A239" s="145" t="str">
        <f>IFERROR(__xludf.DUMMYFUNCTION("""COMPUTED_VALUE"""),"Y")</f>
        <v>Y</v>
      </c>
      <c r="B239" s="146" t="str">
        <f>IFERROR(__xludf.DUMMYFUNCTION("""COMPUTED_VALUE"""),"5")</f>
        <v>5</v>
      </c>
      <c r="C239" s="146"/>
      <c r="D239" s="147">
        <f>IFERROR(__xludf.DUMMYFUNCTION("""COMPUTED_VALUE"""),45694.0)</f>
        <v>45694</v>
      </c>
      <c r="E239" s="147">
        <f>IFERROR(__xludf.DUMMYFUNCTION("""COMPUTED_VALUE"""),45701.0)</f>
        <v>45701</v>
      </c>
      <c r="F239" s="147">
        <f>IFERROR(__xludf.DUMMYFUNCTION("""COMPUTED_VALUE"""),45722.0)</f>
        <v>45722</v>
      </c>
      <c r="G239" s="146" t="str">
        <f>IFERROR(__xludf.DUMMYFUNCTION("""COMPUTED_VALUE"""),"BRG11")</f>
        <v>BRG11</v>
      </c>
      <c r="H239" s="148">
        <f>IFERROR(__xludf.DUMMYFUNCTION("""COMPUTED_VALUE"""),535.0)</f>
        <v>535</v>
      </c>
      <c r="I239" s="148">
        <f>IFERROR(__xludf.DUMMYFUNCTION("""COMPUTED_VALUE"""),589.0)</f>
        <v>589</v>
      </c>
      <c r="J239" s="146">
        <f>IFERROR(__xludf.DUMMYFUNCTION("""COMPUTED_VALUE"""),28.0)</f>
        <v>28</v>
      </c>
      <c r="K239" s="146">
        <f>IFERROR(__xludf.DUMMYFUNCTION("""COMPUTED_VALUE"""),28.0)</f>
        <v>28</v>
      </c>
      <c r="L239" s="146">
        <f>IFERROR(__xludf.DUMMYFUNCTION("""COMPUTED_VALUE"""),432.0)</f>
        <v>432</v>
      </c>
      <c r="M239" s="146">
        <f>IFERROR(__xludf.DUMMYFUNCTION("""COMPUTED_VALUE"""),474.0)</f>
        <v>474</v>
      </c>
      <c r="N239" s="146">
        <f>IFERROR(__xludf.DUMMYFUNCTION("""COMPUTED_VALUE"""),22.0)</f>
        <v>22</v>
      </c>
      <c r="O239" s="146">
        <f>IFERROR(__xludf.DUMMYFUNCTION("""COMPUTED_VALUE"""),22.0)</f>
        <v>22</v>
      </c>
      <c r="P239" s="146">
        <f>IFERROR(__xludf.DUMMYFUNCTION("""COMPUTED_VALUE"""),166.0)</f>
        <v>166</v>
      </c>
      <c r="Q239" s="146"/>
      <c r="R239" s="146"/>
      <c r="T239" s="131" t="str">
        <f>IFERROR(__xludf.DUMMYFUNCTION("""COMPUTED_VALUE"""),"Y")</f>
        <v>Y</v>
      </c>
      <c r="U239" s="131" t="str">
        <f>IFERROR(__xludf.DUMMYFUNCTION("""COMPUTED_VALUE"""),"5")</f>
        <v>5</v>
      </c>
      <c r="V239" s="131"/>
      <c r="W239" s="144">
        <f>IFERROR(__xludf.DUMMYFUNCTION("""COMPUTED_VALUE"""),45694.0)</f>
        <v>45694</v>
      </c>
      <c r="X239" s="144">
        <f>IFERROR(__xludf.DUMMYFUNCTION("""COMPUTED_VALUE"""),45701.0)</f>
        <v>45701</v>
      </c>
      <c r="Y239" s="144">
        <f>IFERROR(__xludf.DUMMYFUNCTION("""COMPUTED_VALUE"""),45722.0)</f>
        <v>45722</v>
      </c>
      <c r="Z239" s="131" t="str">
        <f>IFERROR(__xludf.DUMMYFUNCTION("""COMPUTED_VALUE"""),"BRG9")</f>
        <v>BRG9</v>
      </c>
      <c r="AA239" s="131">
        <f>IFERROR(__xludf.DUMMYFUNCTION("""COMPUTED_VALUE"""),9.0)</f>
        <v>9</v>
      </c>
      <c r="AB239" s="131">
        <f>IFERROR(__xludf.DUMMYFUNCTION("""COMPUTED_VALUE"""),15.0)</f>
        <v>15</v>
      </c>
      <c r="AC239" s="131">
        <f>IFERROR(__xludf.DUMMYFUNCTION("""COMPUTED_VALUE"""),4.0)</f>
        <v>4</v>
      </c>
      <c r="AD239" s="131">
        <f>IFERROR(__xludf.DUMMYFUNCTION("""COMPUTED_VALUE"""),4.0)</f>
        <v>4</v>
      </c>
      <c r="AE239" s="131">
        <f>IFERROR(__xludf.DUMMYFUNCTION("""COMPUTED_VALUE"""),320.0)</f>
        <v>320</v>
      </c>
      <c r="AF239" s="131">
        <f>IFERROR(__xludf.DUMMYFUNCTION("""COMPUTED_VALUE"""),338.0)</f>
        <v>338</v>
      </c>
      <c r="AG239" s="131">
        <f>IFERROR(__xludf.DUMMYFUNCTION("""COMPUTED_VALUE"""),10.0)</f>
        <v>10</v>
      </c>
      <c r="AH239" s="131">
        <f>IFERROR(__xludf.DUMMYFUNCTION("""COMPUTED_VALUE"""),10.0)</f>
        <v>10</v>
      </c>
      <c r="AI239" s="131">
        <f>IFERROR(__xludf.DUMMYFUNCTION("""COMPUTED_VALUE"""),168.0)</f>
        <v>168</v>
      </c>
      <c r="AJ239" s="131"/>
      <c r="AK239" s="131"/>
    </row>
    <row r="240">
      <c r="A240" s="145" t="str">
        <f>IFERROR(__xludf.DUMMYFUNCTION("""COMPUTED_VALUE"""),"Y")</f>
        <v>Y</v>
      </c>
      <c r="B240" s="146" t="str">
        <f>IFERROR(__xludf.DUMMYFUNCTION("""COMPUTED_VALUE"""),"5")</f>
        <v>5</v>
      </c>
      <c r="C240" s="146"/>
      <c r="D240" s="147">
        <f>IFERROR(__xludf.DUMMYFUNCTION("""COMPUTED_VALUE"""),45694.0)</f>
        <v>45694</v>
      </c>
      <c r="E240" s="147">
        <f>IFERROR(__xludf.DUMMYFUNCTION("""COMPUTED_VALUE"""),45701.0)</f>
        <v>45701</v>
      </c>
      <c r="F240" s="147">
        <f>IFERROR(__xludf.DUMMYFUNCTION("""COMPUTED_VALUE"""),45722.0)</f>
        <v>45722</v>
      </c>
      <c r="G240" s="146" t="str">
        <f>IFERROR(__xludf.DUMMYFUNCTION("""COMPUTED_VALUE"""),"BRG9")</f>
        <v>BRG9</v>
      </c>
      <c r="H240" s="148">
        <f>IFERROR(__xludf.DUMMYFUNCTION("""COMPUTED_VALUE"""),9.0)</f>
        <v>9</v>
      </c>
      <c r="I240" s="148">
        <f>IFERROR(__xludf.DUMMYFUNCTION("""COMPUTED_VALUE"""),15.0)</f>
        <v>15</v>
      </c>
      <c r="J240" s="146">
        <f>IFERROR(__xludf.DUMMYFUNCTION("""COMPUTED_VALUE"""),4.0)</f>
        <v>4</v>
      </c>
      <c r="K240" s="146">
        <f>IFERROR(__xludf.DUMMYFUNCTION("""COMPUTED_VALUE"""),4.0)</f>
        <v>4</v>
      </c>
      <c r="L240" s="146">
        <f>IFERROR(__xludf.DUMMYFUNCTION("""COMPUTED_VALUE"""),320.0)</f>
        <v>320</v>
      </c>
      <c r="M240" s="146">
        <f>IFERROR(__xludf.DUMMYFUNCTION("""COMPUTED_VALUE"""),338.0)</f>
        <v>338</v>
      </c>
      <c r="N240" s="146">
        <f>IFERROR(__xludf.DUMMYFUNCTION("""COMPUTED_VALUE"""),10.0)</f>
        <v>10</v>
      </c>
      <c r="O240" s="146">
        <f>IFERROR(__xludf.DUMMYFUNCTION("""COMPUTED_VALUE"""),10.0)</f>
        <v>10</v>
      </c>
      <c r="P240" s="146">
        <f>IFERROR(__xludf.DUMMYFUNCTION("""COMPUTED_VALUE"""),168.0)</f>
        <v>168</v>
      </c>
      <c r="Q240" s="146"/>
      <c r="R240" s="146"/>
      <c r="T240" s="131" t="str">
        <f>IFERROR(__xludf.DUMMYFUNCTION("""COMPUTED_VALUE"""),"Y")</f>
        <v>Y</v>
      </c>
      <c r="U240" s="131" t="str">
        <f>IFERROR(__xludf.DUMMYFUNCTION("""COMPUTED_VALUE"""),"5")</f>
        <v>5</v>
      </c>
      <c r="V240" s="131"/>
      <c r="W240" s="144">
        <f>IFERROR(__xludf.DUMMYFUNCTION("""COMPUTED_VALUE"""),45694.0)</f>
        <v>45694</v>
      </c>
      <c r="X240" s="144">
        <f>IFERROR(__xludf.DUMMYFUNCTION("""COMPUTED_VALUE"""),45701.0)</f>
        <v>45701</v>
      </c>
      <c r="Y240" s="144">
        <f>IFERROR(__xludf.DUMMYFUNCTION("""COMPUTED_VALUE"""),45722.0)</f>
        <v>45722</v>
      </c>
      <c r="Z240" s="131" t="str">
        <f>IFERROR(__xludf.DUMMYFUNCTION("""COMPUTED_VALUE"""),"BRG9")</f>
        <v>BRG9</v>
      </c>
      <c r="AA240" s="131">
        <f>IFERROR(__xludf.DUMMYFUNCTION("""COMPUTED_VALUE"""),313.0)</f>
        <v>313</v>
      </c>
      <c r="AB240" s="131">
        <f>IFERROR(__xludf.DUMMYFUNCTION("""COMPUTED_VALUE"""),317.0)</f>
        <v>317</v>
      </c>
      <c r="AC240" s="131">
        <f>IFERROR(__xludf.DUMMYFUNCTION("""COMPUTED_VALUE"""),3.0)</f>
        <v>3</v>
      </c>
      <c r="AD240" s="131">
        <f>IFERROR(__xludf.DUMMYFUNCTION("""COMPUTED_VALUE"""),3.0)</f>
        <v>3</v>
      </c>
      <c r="AE240" s="131">
        <f>IFERROR(__xludf.DUMMYFUNCTION("""COMPUTED_VALUE"""),356.0)</f>
        <v>356</v>
      </c>
      <c r="AF240" s="131">
        <f>IFERROR(__xludf.DUMMYFUNCTION("""COMPUTED_VALUE"""),376.0)</f>
        <v>376</v>
      </c>
      <c r="AG240" s="131">
        <f>IFERROR(__xludf.DUMMYFUNCTION("""COMPUTED_VALUE"""),11.0)</f>
        <v>11</v>
      </c>
      <c r="AH240" s="131">
        <f>IFERROR(__xludf.DUMMYFUNCTION("""COMPUTED_VALUE"""),11.0)</f>
        <v>11</v>
      </c>
      <c r="AI240" s="131">
        <f>IFERROR(__xludf.DUMMYFUNCTION("""COMPUTED_VALUE"""),168.0)</f>
        <v>168</v>
      </c>
      <c r="AJ240" s="131"/>
      <c r="AK240" s="131"/>
    </row>
    <row r="241">
      <c r="A241" s="145" t="str">
        <f>IFERROR(__xludf.DUMMYFUNCTION("""COMPUTED_VALUE"""),"Y")</f>
        <v>Y</v>
      </c>
      <c r="B241" s="146" t="str">
        <f>IFERROR(__xludf.DUMMYFUNCTION("""COMPUTED_VALUE"""),"5")</f>
        <v>5</v>
      </c>
      <c r="C241" s="146"/>
      <c r="D241" s="147">
        <f>IFERROR(__xludf.DUMMYFUNCTION("""COMPUTED_VALUE"""),45694.0)</f>
        <v>45694</v>
      </c>
      <c r="E241" s="147">
        <f>IFERROR(__xludf.DUMMYFUNCTION("""COMPUTED_VALUE"""),45701.0)</f>
        <v>45701</v>
      </c>
      <c r="F241" s="147">
        <f>IFERROR(__xludf.DUMMYFUNCTION("""COMPUTED_VALUE"""),45722.0)</f>
        <v>45722</v>
      </c>
      <c r="G241" s="146" t="str">
        <f>IFERROR(__xludf.DUMMYFUNCTION("""COMPUTED_VALUE"""),"BRG9")</f>
        <v>BRG9</v>
      </c>
      <c r="H241" s="148">
        <f>IFERROR(__xludf.DUMMYFUNCTION("""COMPUTED_VALUE"""),313.0)</f>
        <v>313</v>
      </c>
      <c r="I241" s="148">
        <f>IFERROR(__xludf.DUMMYFUNCTION("""COMPUTED_VALUE"""),317.0)</f>
        <v>317</v>
      </c>
      <c r="J241" s="146">
        <f>IFERROR(__xludf.DUMMYFUNCTION("""COMPUTED_VALUE"""),3.0)</f>
        <v>3</v>
      </c>
      <c r="K241" s="146">
        <f>IFERROR(__xludf.DUMMYFUNCTION("""COMPUTED_VALUE"""),3.0)</f>
        <v>3</v>
      </c>
      <c r="L241" s="146">
        <f>IFERROR(__xludf.DUMMYFUNCTION("""COMPUTED_VALUE"""),356.0)</f>
        <v>356</v>
      </c>
      <c r="M241" s="146">
        <f>IFERROR(__xludf.DUMMYFUNCTION("""COMPUTED_VALUE"""),376.0)</f>
        <v>376</v>
      </c>
      <c r="N241" s="146">
        <f>IFERROR(__xludf.DUMMYFUNCTION("""COMPUTED_VALUE"""),11.0)</f>
        <v>11</v>
      </c>
      <c r="O241" s="146">
        <f>IFERROR(__xludf.DUMMYFUNCTION("""COMPUTED_VALUE"""),11.0)</f>
        <v>11</v>
      </c>
      <c r="P241" s="146">
        <f>IFERROR(__xludf.DUMMYFUNCTION("""COMPUTED_VALUE"""),168.0)</f>
        <v>168</v>
      </c>
      <c r="Q241" s="146"/>
      <c r="R241" s="146"/>
      <c r="T241" s="131" t="str">
        <f>IFERROR(__xludf.DUMMYFUNCTION("""COMPUTED_VALUE"""),"Y")</f>
        <v>Y</v>
      </c>
      <c r="U241" s="131" t="str">
        <f>IFERROR(__xludf.DUMMYFUNCTION("""COMPUTED_VALUE"""),"5")</f>
        <v>5</v>
      </c>
      <c r="V241" s="131"/>
      <c r="W241" s="144">
        <f>IFERROR(__xludf.DUMMYFUNCTION("""COMPUTED_VALUE"""),45694.0)</f>
        <v>45694</v>
      </c>
      <c r="X241" s="144">
        <f>IFERROR(__xludf.DUMMYFUNCTION("""COMPUTED_VALUE"""),45701.0)</f>
        <v>45701</v>
      </c>
      <c r="Y241" s="144">
        <f>IFERROR(__xludf.DUMMYFUNCTION("""COMPUTED_VALUE"""),45722.0)</f>
        <v>45722</v>
      </c>
      <c r="Z241" s="131" t="str">
        <f>IFERROR(__xludf.DUMMYFUNCTION("""COMPUTED_VALUE"""),"BRG9")</f>
        <v>BRG9</v>
      </c>
      <c r="AA241" s="131">
        <f>IFERROR(__xludf.DUMMYFUNCTION("""COMPUTED_VALUE"""),341.0)</f>
        <v>341</v>
      </c>
      <c r="AB241" s="131">
        <f>IFERROR(__xludf.DUMMYFUNCTION("""COMPUTED_VALUE"""),351.0)</f>
        <v>351</v>
      </c>
      <c r="AC241" s="131">
        <f>IFERROR(__xludf.DUMMYFUNCTION("""COMPUTED_VALUE"""),6.0)</f>
        <v>6</v>
      </c>
      <c r="AD241" s="131">
        <f>IFERROR(__xludf.DUMMYFUNCTION("""COMPUTED_VALUE"""),6.0)</f>
        <v>6</v>
      </c>
      <c r="AE241" s="131"/>
      <c r="AF241" s="131"/>
      <c r="AG241" s="131"/>
      <c r="AH241" s="131"/>
      <c r="AI241" s="131">
        <f>IFERROR(__xludf.DUMMYFUNCTION("""COMPUTED_VALUE"""),168.0)</f>
        <v>168</v>
      </c>
      <c r="AJ241" s="131"/>
      <c r="AK241" s="131"/>
    </row>
    <row r="242">
      <c r="A242" s="145" t="str">
        <f>IFERROR(__xludf.DUMMYFUNCTION("""COMPUTED_VALUE"""),"Y")</f>
        <v>Y</v>
      </c>
      <c r="B242" s="146" t="str">
        <f>IFERROR(__xludf.DUMMYFUNCTION("""COMPUTED_VALUE"""),"5")</f>
        <v>5</v>
      </c>
      <c r="C242" s="146"/>
      <c r="D242" s="147">
        <f>IFERROR(__xludf.DUMMYFUNCTION("""COMPUTED_VALUE"""),45694.0)</f>
        <v>45694</v>
      </c>
      <c r="E242" s="147">
        <f>IFERROR(__xludf.DUMMYFUNCTION("""COMPUTED_VALUE"""),45701.0)</f>
        <v>45701</v>
      </c>
      <c r="F242" s="147">
        <f>IFERROR(__xludf.DUMMYFUNCTION("""COMPUTED_VALUE"""),45722.0)</f>
        <v>45722</v>
      </c>
      <c r="G242" s="146" t="str">
        <f>IFERROR(__xludf.DUMMYFUNCTION("""COMPUTED_VALUE"""),"BRG9")</f>
        <v>BRG9</v>
      </c>
      <c r="H242" s="148">
        <f>IFERROR(__xludf.DUMMYFUNCTION("""COMPUTED_VALUE"""),341.0)</f>
        <v>341</v>
      </c>
      <c r="I242" s="148">
        <f>IFERROR(__xludf.DUMMYFUNCTION("""COMPUTED_VALUE"""),351.0)</f>
        <v>351</v>
      </c>
      <c r="J242" s="146">
        <f>IFERROR(__xludf.DUMMYFUNCTION("""COMPUTED_VALUE"""),6.0)</f>
        <v>6</v>
      </c>
      <c r="K242" s="146">
        <f>IFERROR(__xludf.DUMMYFUNCTION("""COMPUTED_VALUE"""),6.0)</f>
        <v>6</v>
      </c>
      <c r="L242" s="146"/>
      <c r="M242" s="146"/>
      <c r="N242" s="146"/>
      <c r="O242" s="146"/>
      <c r="P242" s="146">
        <f>IFERROR(__xludf.DUMMYFUNCTION("""COMPUTED_VALUE"""),168.0)</f>
        <v>168</v>
      </c>
      <c r="Q242" s="146"/>
      <c r="R242" s="146"/>
      <c r="T242" s="131" t="str">
        <f>IFERROR(__xludf.DUMMYFUNCTION("""COMPUTED_VALUE"""),"Y")</f>
        <v>Y</v>
      </c>
      <c r="U242" s="131" t="str">
        <f>IFERROR(__xludf.DUMMYFUNCTION("""COMPUTED_VALUE"""),"5")</f>
        <v>5</v>
      </c>
      <c r="V242" s="131"/>
      <c r="W242" s="144">
        <f>IFERROR(__xludf.DUMMYFUNCTION("""COMPUTED_VALUE"""),45694.0)</f>
        <v>45694</v>
      </c>
      <c r="X242" s="144">
        <f>IFERROR(__xludf.DUMMYFUNCTION("""COMPUTED_VALUE"""),45701.0)</f>
        <v>45701</v>
      </c>
      <c r="Y242" s="144">
        <f>IFERROR(__xludf.DUMMYFUNCTION("""COMPUTED_VALUE"""),45722.0)</f>
        <v>45722</v>
      </c>
      <c r="Z242" s="131" t="str">
        <f>IFERROR(__xludf.DUMMYFUNCTION("""COMPUTED_VALUE"""),"DC39")</f>
        <v>DC39</v>
      </c>
      <c r="AA242" s="131">
        <f>IFERROR(__xludf.DUMMYFUNCTION("""COMPUTED_VALUE"""),67.0)</f>
        <v>67</v>
      </c>
      <c r="AB242" s="131">
        <f>IFERROR(__xludf.DUMMYFUNCTION("""COMPUTED_VALUE"""),89.0)</f>
        <v>89</v>
      </c>
      <c r="AC242" s="131">
        <f>IFERROR(__xludf.DUMMYFUNCTION("""COMPUTED_VALUE"""),12.0)</f>
        <v>12</v>
      </c>
      <c r="AD242" s="131">
        <f>IFERROR(__xludf.DUMMYFUNCTION("""COMPUTED_VALUE"""),12.0)</f>
        <v>12</v>
      </c>
      <c r="AE242" s="131">
        <f>IFERROR(__xludf.DUMMYFUNCTION("""COMPUTED_VALUE"""),2.0)</f>
        <v>2</v>
      </c>
      <c r="AF242" s="131">
        <f>IFERROR(__xludf.DUMMYFUNCTION("""COMPUTED_VALUE"""),64.0)</f>
        <v>64</v>
      </c>
      <c r="AG242" s="131">
        <f>IFERROR(__xludf.DUMMYFUNCTION("""COMPUTED_VALUE"""),32.0)</f>
        <v>32</v>
      </c>
      <c r="AH242" s="131">
        <f>IFERROR(__xludf.DUMMYFUNCTION("""COMPUTED_VALUE"""),32.0)</f>
        <v>32</v>
      </c>
      <c r="AI242" s="131">
        <f>IFERROR(__xludf.DUMMYFUNCTION("""COMPUTED_VALUE"""),167.0)</f>
        <v>167</v>
      </c>
      <c r="AJ242" s="131"/>
      <c r="AK242" s="131"/>
    </row>
    <row r="243">
      <c r="A243" s="145" t="str">
        <f>IFERROR(__xludf.DUMMYFUNCTION("""COMPUTED_VALUE"""),"Y")</f>
        <v>Y</v>
      </c>
      <c r="B243" s="146" t="str">
        <f>IFERROR(__xludf.DUMMYFUNCTION("""COMPUTED_VALUE"""),"5")</f>
        <v>5</v>
      </c>
      <c r="C243" s="146"/>
      <c r="D243" s="147">
        <f>IFERROR(__xludf.DUMMYFUNCTION("""COMPUTED_VALUE"""),45694.0)</f>
        <v>45694</v>
      </c>
      <c r="E243" s="147">
        <f>IFERROR(__xludf.DUMMYFUNCTION("""COMPUTED_VALUE"""),45701.0)</f>
        <v>45701</v>
      </c>
      <c r="F243" s="147">
        <f>IFERROR(__xludf.DUMMYFUNCTION("""COMPUTED_VALUE"""),45722.0)</f>
        <v>45722</v>
      </c>
      <c r="G243" s="146" t="str">
        <f>IFERROR(__xludf.DUMMYFUNCTION("""COMPUTED_VALUE"""),"DC39")</f>
        <v>DC39</v>
      </c>
      <c r="H243" s="148">
        <f>IFERROR(__xludf.DUMMYFUNCTION("""COMPUTED_VALUE"""),67.0)</f>
        <v>67</v>
      </c>
      <c r="I243" s="148">
        <f>IFERROR(__xludf.DUMMYFUNCTION("""COMPUTED_VALUE"""),89.0)</f>
        <v>89</v>
      </c>
      <c r="J243" s="146">
        <f>IFERROR(__xludf.DUMMYFUNCTION("""COMPUTED_VALUE"""),12.0)</f>
        <v>12</v>
      </c>
      <c r="K243" s="146">
        <f>IFERROR(__xludf.DUMMYFUNCTION("""COMPUTED_VALUE"""),12.0)</f>
        <v>12</v>
      </c>
      <c r="L243" s="146">
        <f>IFERROR(__xludf.DUMMYFUNCTION("""COMPUTED_VALUE"""),2.0)</f>
        <v>2</v>
      </c>
      <c r="M243" s="146">
        <f>IFERROR(__xludf.DUMMYFUNCTION("""COMPUTED_VALUE"""),64.0)</f>
        <v>64</v>
      </c>
      <c r="N243" s="146">
        <f>IFERROR(__xludf.DUMMYFUNCTION("""COMPUTED_VALUE"""),32.0)</f>
        <v>32</v>
      </c>
      <c r="O243" s="146">
        <f>IFERROR(__xludf.DUMMYFUNCTION("""COMPUTED_VALUE"""),32.0)</f>
        <v>32</v>
      </c>
      <c r="P243" s="146">
        <f>IFERROR(__xludf.DUMMYFUNCTION("""COMPUTED_VALUE"""),167.0)</f>
        <v>167</v>
      </c>
      <c r="Q243" s="146"/>
      <c r="R243" s="146"/>
      <c r="T243" s="131" t="str">
        <f>IFERROR(__xludf.DUMMYFUNCTION("""COMPUTED_VALUE"""),"Y")</f>
        <v>Y</v>
      </c>
      <c r="U243" s="131" t="str">
        <f>IFERROR(__xludf.DUMMYFUNCTION("""COMPUTED_VALUE"""),"5")</f>
        <v>5</v>
      </c>
      <c r="V243" s="131"/>
      <c r="W243" s="144">
        <f>IFERROR(__xludf.DUMMYFUNCTION("""COMPUTED_VALUE"""),45694.0)</f>
        <v>45694</v>
      </c>
      <c r="X243" s="144">
        <f>IFERROR(__xludf.DUMMYFUNCTION("""COMPUTED_VALUE"""),45701.0)</f>
        <v>45701</v>
      </c>
      <c r="Y243" s="144">
        <f>IFERROR(__xludf.DUMMYFUNCTION("""COMPUTED_VALUE"""),45722.0)</f>
        <v>45722</v>
      </c>
      <c r="Z243" s="131" t="str">
        <f>IFERROR(__xludf.DUMMYFUNCTION("""COMPUTED_VALUE"""),"DC39")</f>
        <v>DC39</v>
      </c>
      <c r="AA243" s="131">
        <f>IFERROR(__xludf.DUMMYFUNCTION("""COMPUTED_VALUE"""),133.0)</f>
        <v>133</v>
      </c>
      <c r="AB243" s="131">
        <f>IFERROR(__xludf.DUMMYFUNCTION("""COMPUTED_VALUE"""),155.0)</f>
        <v>155</v>
      </c>
      <c r="AC243" s="131">
        <f>IFERROR(__xludf.DUMMYFUNCTION("""COMPUTED_VALUE"""),12.0)</f>
        <v>12</v>
      </c>
      <c r="AD243" s="131">
        <f>IFERROR(__xludf.DUMMYFUNCTION("""COMPUTED_VALUE"""),12.0)</f>
        <v>12</v>
      </c>
      <c r="AE243" s="131">
        <f>IFERROR(__xludf.DUMMYFUNCTION("""COMPUTED_VALUE"""),92.0)</f>
        <v>92</v>
      </c>
      <c r="AF243" s="131">
        <f>IFERROR(__xludf.DUMMYFUNCTION("""COMPUTED_VALUE"""),124.0)</f>
        <v>124</v>
      </c>
      <c r="AG243" s="131">
        <f>IFERROR(__xludf.DUMMYFUNCTION("""COMPUTED_VALUE"""),17.0)</f>
        <v>17</v>
      </c>
      <c r="AH243" s="131">
        <f>IFERROR(__xludf.DUMMYFUNCTION("""COMPUTED_VALUE"""),17.0)</f>
        <v>17</v>
      </c>
      <c r="AI243" s="131">
        <f>IFERROR(__xludf.DUMMYFUNCTION("""COMPUTED_VALUE"""),167.0)</f>
        <v>167</v>
      </c>
      <c r="AJ243" s="131"/>
      <c r="AK243" s="131"/>
    </row>
    <row r="244">
      <c r="A244" s="145" t="str">
        <f>IFERROR(__xludf.DUMMYFUNCTION("""COMPUTED_VALUE"""),"Y")</f>
        <v>Y</v>
      </c>
      <c r="B244" s="146" t="str">
        <f>IFERROR(__xludf.DUMMYFUNCTION("""COMPUTED_VALUE"""),"5")</f>
        <v>5</v>
      </c>
      <c r="C244" s="146"/>
      <c r="D244" s="147">
        <f>IFERROR(__xludf.DUMMYFUNCTION("""COMPUTED_VALUE"""),45694.0)</f>
        <v>45694</v>
      </c>
      <c r="E244" s="147">
        <f>IFERROR(__xludf.DUMMYFUNCTION("""COMPUTED_VALUE"""),45701.0)</f>
        <v>45701</v>
      </c>
      <c r="F244" s="147">
        <f>IFERROR(__xludf.DUMMYFUNCTION("""COMPUTED_VALUE"""),45722.0)</f>
        <v>45722</v>
      </c>
      <c r="G244" s="146" t="str">
        <f>IFERROR(__xludf.DUMMYFUNCTION("""COMPUTED_VALUE"""),"DC39")</f>
        <v>DC39</v>
      </c>
      <c r="H244" s="148">
        <f>IFERROR(__xludf.DUMMYFUNCTION("""COMPUTED_VALUE"""),133.0)</f>
        <v>133</v>
      </c>
      <c r="I244" s="148">
        <f>IFERROR(__xludf.DUMMYFUNCTION("""COMPUTED_VALUE"""),155.0)</f>
        <v>155</v>
      </c>
      <c r="J244" s="146">
        <f>IFERROR(__xludf.DUMMYFUNCTION("""COMPUTED_VALUE"""),12.0)</f>
        <v>12</v>
      </c>
      <c r="K244" s="146">
        <f>IFERROR(__xludf.DUMMYFUNCTION("""COMPUTED_VALUE"""),12.0)</f>
        <v>12</v>
      </c>
      <c r="L244" s="146">
        <f>IFERROR(__xludf.DUMMYFUNCTION("""COMPUTED_VALUE"""),92.0)</f>
        <v>92</v>
      </c>
      <c r="M244" s="146">
        <f>IFERROR(__xludf.DUMMYFUNCTION("""COMPUTED_VALUE"""),124.0)</f>
        <v>124</v>
      </c>
      <c r="N244" s="146">
        <f>IFERROR(__xludf.DUMMYFUNCTION("""COMPUTED_VALUE"""),17.0)</f>
        <v>17</v>
      </c>
      <c r="O244" s="146">
        <f>IFERROR(__xludf.DUMMYFUNCTION("""COMPUTED_VALUE"""),17.0)</f>
        <v>17</v>
      </c>
      <c r="P244" s="146">
        <f>IFERROR(__xludf.DUMMYFUNCTION("""COMPUTED_VALUE"""),167.0)</f>
        <v>167</v>
      </c>
      <c r="Q244" s="146"/>
      <c r="R244" s="146"/>
      <c r="T244" s="131" t="str">
        <f>IFERROR(__xludf.DUMMYFUNCTION("""COMPUTED_VALUE"""),"Y")</f>
        <v>Y</v>
      </c>
      <c r="U244" s="131" t="str">
        <f>IFERROR(__xludf.DUMMYFUNCTION("""COMPUTED_VALUE"""),"5")</f>
        <v>5</v>
      </c>
      <c r="V244" s="131"/>
      <c r="W244" s="144">
        <f>IFERROR(__xludf.DUMMYFUNCTION("""COMPUTED_VALUE"""),45696.0)</f>
        <v>45696</v>
      </c>
      <c r="X244" s="144">
        <f>IFERROR(__xludf.DUMMYFUNCTION("""COMPUTED_VALUE"""),45703.0)</f>
        <v>45703</v>
      </c>
      <c r="Y244" s="144">
        <f>IFERROR(__xludf.DUMMYFUNCTION("""COMPUTED_VALUE"""),45724.0)</f>
        <v>45724</v>
      </c>
      <c r="Z244" s="131" t="str">
        <f>IFERROR(__xludf.DUMMYFUNCTION("""COMPUTED_VALUE"""),"D33-1L")</f>
        <v>D33-1L</v>
      </c>
      <c r="AA244" s="131">
        <f>IFERROR(__xludf.DUMMYFUNCTION("""COMPUTED_VALUE"""),7.0)</f>
        <v>7</v>
      </c>
      <c r="AB244" s="131">
        <f>IFERROR(__xludf.DUMMYFUNCTION("""COMPUTED_VALUE"""),71.0)</f>
        <v>71</v>
      </c>
      <c r="AC244" s="131">
        <f>IFERROR(__xludf.DUMMYFUNCTION("""COMPUTED_VALUE"""),33.0)</f>
        <v>33</v>
      </c>
      <c r="AD244" s="131">
        <f>IFERROR(__xludf.DUMMYFUNCTION("""COMPUTED_VALUE"""),33.0)</f>
        <v>33</v>
      </c>
      <c r="AE244" s="131"/>
      <c r="AF244" s="131"/>
      <c r="AG244" s="131"/>
      <c r="AH244" s="131"/>
      <c r="AI244" s="131"/>
      <c r="AJ244" s="131"/>
      <c r="AK244" s="131"/>
    </row>
    <row r="245">
      <c r="A245" s="145" t="str">
        <f>IFERROR(__xludf.DUMMYFUNCTION("""COMPUTED_VALUE"""),"Y")</f>
        <v>Y</v>
      </c>
      <c r="B245" s="146" t="str">
        <f>IFERROR(__xludf.DUMMYFUNCTION("""COMPUTED_VALUE"""),"5")</f>
        <v>5</v>
      </c>
      <c r="C245" s="146"/>
      <c r="D245" s="147">
        <f>IFERROR(__xludf.DUMMYFUNCTION("""COMPUTED_VALUE"""),45696.0)</f>
        <v>45696</v>
      </c>
      <c r="E245" s="147">
        <f>IFERROR(__xludf.DUMMYFUNCTION("""COMPUTED_VALUE"""),45703.0)</f>
        <v>45703</v>
      </c>
      <c r="F245" s="147">
        <f>IFERROR(__xludf.DUMMYFUNCTION("""COMPUTED_VALUE"""),45724.0)</f>
        <v>45724</v>
      </c>
      <c r="G245" s="146" t="str">
        <f>IFERROR(__xludf.DUMMYFUNCTION("""COMPUTED_VALUE"""),"D33-1L")</f>
        <v>D33-1L</v>
      </c>
      <c r="H245" s="148">
        <f>IFERROR(__xludf.DUMMYFUNCTION("""COMPUTED_VALUE"""),7.0)</f>
        <v>7</v>
      </c>
      <c r="I245" s="148">
        <f>IFERROR(__xludf.DUMMYFUNCTION("""COMPUTED_VALUE"""),71.0)</f>
        <v>71</v>
      </c>
      <c r="J245" s="146">
        <f>IFERROR(__xludf.DUMMYFUNCTION("""COMPUTED_VALUE"""),33.0)</f>
        <v>33</v>
      </c>
      <c r="K245" s="146">
        <f>IFERROR(__xludf.DUMMYFUNCTION("""COMPUTED_VALUE"""),33.0)</f>
        <v>33</v>
      </c>
      <c r="L245" s="146"/>
      <c r="M245" s="146"/>
      <c r="N245" s="146"/>
      <c r="O245" s="146"/>
      <c r="P245" s="146"/>
      <c r="Q245" s="146"/>
      <c r="R245" s="146"/>
      <c r="T245" s="131" t="str">
        <f>IFERROR(__xludf.DUMMYFUNCTION("""COMPUTED_VALUE"""),"Y")</f>
        <v>Y</v>
      </c>
      <c r="U245" s="131" t="str">
        <f>IFERROR(__xludf.DUMMYFUNCTION("""COMPUTED_VALUE"""),"5")</f>
        <v>5</v>
      </c>
      <c r="V245" s="131"/>
      <c r="W245" s="144">
        <f>IFERROR(__xludf.DUMMYFUNCTION("""COMPUTED_VALUE"""),45696.0)</f>
        <v>45696</v>
      </c>
      <c r="X245" s="144">
        <f>IFERROR(__xludf.DUMMYFUNCTION("""COMPUTED_VALUE"""),45703.0)</f>
        <v>45703</v>
      </c>
      <c r="Y245" s="144">
        <f>IFERROR(__xludf.DUMMYFUNCTION("""COMPUTED_VALUE"""),45724.0)</f>
        <v>45724</v>
      </c>
      <c r="Z245" s="131" t="str">
        <f>IFERROR(__xludf.DUMMYFUNCTION("""COMPUTED_VALUE"""),"BRG11")</f>
        <v>BRG11</v>
      </c>
      <c r="AA245" s="131">
        <f>IFERROR(__xludf.DUMMYFUNCTION("""COMPUTED_VALUE"""),591.0)</f>
        <v>591</v>
      </c>
      <c r="AB245" s="131">
        <f>IFERROR(__xludf.DUMMYFUNCTION("""COMPUTED_VALUE"""),675.0)</f>
        <v>675</v>
      </c>
      <c r="AC245" s="131">
        <f>IFERROR(__xludf.DUMMYFUNCTION("""COMPUTED_VALUE"""),43.0)</f>
        <v>43</v>
      </c>
      <c r="AD245" s="131">
        <f>IFERROR(__xludf.DUMMYFUNCTION("""COMPUTED_VALUE"""),43.0)</f>
        <v>43</v>
      </c>
      <c r="AE245" s="131">
        <f>IFERROR(__xludf.DUMMYFUNCTION("""COMPUTED_VALUE"""),476.0)</f>
        <v>476</v>
      </c>
      <c r="AF245" s="131">
        <f>IFERROR(__xludf.DUMMYFUNCTION("""COMPUTED_VALUE"""),488.0)</f>
        <v>488</v>
      </c>
      <c r="AG245" s="131">
        <f>IFERROR(__xludf.DUMMYFUNCTION("""COMPUTED_VALUE"""),7.0)</f>
        <v>7</v>
      </c>
      <c r="AH245" s="131">
        <f>IFERROR(__xludf.DUMMYFUNCTION("""COMPUTED_VALUE"""),7.0)</f>
        <v>7</v>
      </c>
      <c r="AI245" s="131">
        <f>IFERROR(__xludf.DUMMYFUNCTION("""COMPUTED_VALUE"""),169.0)</f>
        <v>169</v>
      </c>
      <c r="AJ245" s="131"/>
      <c r="AK245" s="131"/>
    </row>
    <row r="246">
      <c r="A246" s="145" t="str">
        <f>IFERROR(__xludf.DUMMYFUNCTION("""COMPUTED_VALUE"""),"Y")</f>
        <v>Y</v>
      </c>
      <c r="B246" s="146" t="str">
        <f>IFERROR(__xludf.DUMMYFUNCTION("""COMPUTED_VALUE"""),"5")</f>
        <v>5</v>
      </c>
      <c r="C246" s="146"/>
      <c r="D246" s="147">
        <f>IFERROR(__xludf.DUMMYFUNCTION("""COMPUTED_VALUE"""),45696.0)</f>
        <v>45696</v>
      </c>
      <c r="E246" s="147">
        <f>IFERROR(__xludf.DUMMYFUNCTION("""COMPUTED_VALUE"""),45703.0)</f>
        <v>45703</v>
      </c>
      <c r="F246" s="147">
        <f>IFERROR(__xludf.DUMMYFUNCTION("""COMPUTED_VALUE"""),45724.0)</f>
        <v>45724</v>
      </c>
      <c r="G246" s="146" t="str">
        <f>IFERROR(__xludf.DUMMYFUNCTION("""COMPUTED_VALUE"""),"BRG11")</f>
        <v>BRG11</v>
      </c>
      <c r="H246" s="148">
        <f>IFERROR(__xludf.DUMMYFUNCTION("""COMPUTED_VALUE"""),591.0)</f>
        <v>591</v>
      </c>
      <c r="I246" s="148">
        <f>IFERROR(__xludf.DUMMYFUNCTION("""COMPUTED_VALUE"""),675.0)</f>
        <v>675</v>
      </c>
      <c r="J246" s="146">
        <f>IFERROR(__xludf.DUMMYFUNCTION("""COMPUTED_VALUE"""),43.0)</f>
        <v>43</v>
      </c>
      <c r="K246" s="146">
        <f>IFERROR(__xludf.DUMMYFUNCTION("""COMPUTED_VALUE"""),43.0)</f>
        <v>43</v>
      </c>
      <c r="L246" s="146">
        <f>IFERROR(__xludf.DUMMYFUNCTION("""COMPUTED_VALUE"""),476.0)</f>
        <v>476</v>
      </c>
      <c r="M246" s="146">
        <f>IFERROR(__xludf.DUMMYFUNCTION("""COMPUTED_VALUE"""),488.0)</f>
        <v>488</v>
      </c>
      <c r="N246" s="146">
        <f>IFERROR(__xludf.DUMMYFUNCTION("""COMPUTED_VALUE"""),7.0)</f>
        <v>7</v>
      </c>
      <c r="O246" s="146">
        <f>IFERROR(__xludf.DUMMYFUNCTION("""COMPUTED_VALUE"""),7.0)</f>
        <v>7</v>
      </c>
      <c r="P246" s="146">
        <f>IFERROR(__xludf.DUMMYFUNCTION("""COMPUTED_VALUE"""),169.0)</f>
        <v>169</v>
      </c>
      <c r="Q246" s="146"/>
      <c r="R246" s="146"/>
      <c r="T246" s="131" t="str">
        <f>IFERROR(__xludf.DUMMYFUNCTION("""COMPUTED_VALUE"""),"Y")</f>
        <v>Y</v>
      </c>
      <c r="U246" s="131" t="str">
        <f>IFERROR(__xludf.DUMMYFUNCTION("""COMPUTED_VALUE"""),"5")</f>
        <v>5</v>
      </c>
      <c r="V246" s="131"/>
      <c r="W246" s="144">
        <f>IFERROR(__xludf.DUMMYFUNCTION("""COMPUTED_VALUE"""),45696.0)</f>
        <v>45696</v>
      </c>
      <c r="X246" s="144">
        <f>IFERROR(__xludf.DUMMYFUNCTION("""COMPUTED_VALUE"""),45703.0)</f>
        <v>45703</v>
      </c>
      <c r="Y246" s="144">
        <f>IFERROR(__xludf.DUMMYFUNCTION("""COMPUTED_VALUE"""),45724.0)</f>
        <v>45724</v>
      </c>
      <c r="Z246" s="131" t="str">
        <f>IFERROR(__xludf.DUMMYFUNCTION("""COMPUTED_VALUE"""),"BRG9")</f>
        <v>BRG9</v>
      </c>
      <c r="AA246" s="131">
        <f>IFERROR(__xludf.DUMMYFUNCTION("""COMPUTED_VALUE"""),319.0)</f>
        <v>319</v>
      </c>
      <c r="AB246" s="131">
        <f>IFERROR(__xludf.DUMMYFUNCTION("""COMPUTED_VALUE"""),319.0)</f>
        <v>319</v>
      </c>
      <c r="AC246" s="131">
        <f>IFERROR(__xludf.DUMMYFUNCTION("""COMPUTED_VALUE"""),1.0)</f>
        <v>1</v>
      </c>
      <c r="AD246" s="131">
        <f>IFERROR(__xludf.DUMMYFUNCTION("""COMPUTED_VALUE"""),1.0)</f>
        <v>1</v>
      </c>
      <c r="AE246" s="131">
        <f>IFERROR(__xludf.DUMMYFUNCTION("""COMPUTED_VALUE"""),8.0)</f>
        <v>8</v>
      </c>
      <c r="AF246" s="131">
        <f>IFERROR(__xludf.DUMMYFUNCTION("""COMPUTED_VALUE"""),14.0)</f>
        <v>14</v>
      </c>
      <c r="AG246" s="131">
        <f>IFERROR(__xludf.DUMMYFUNCTION("""COMPUTED_VALUE"""),4.0)</f>
        <v>4</v>
      </c>
      <c r="AH246" s="131">
        <f>IFERROR(__xludf.DUMMYFUNCTION("""COMPUTED_VALUE"""),4.0)</f>
        <v>4</v>
      </c>
      <c r="AI246" s="131">
        <f>IFERROR(__xludf.DUMMYFUNCTION("""COMPUTED_VALUE"""),171.0)</f>
        <v>171</v>
      </c>
      <c r="AJ246" s="131"/>
      <c r="AK246" s="131"/>
    </row>
    <row r="247">
      <c r="A247" s="145" t="str">
        <f>IFERROR(__xludf.DUMMYFUNCTION("""COMPUTED_VALUE"""),"Y")</f>
        <v>Y</v>
      </c>
      <c r="B247" s="146" t="str">
        <f>IFERROR(__xludf.DUMMYFUNCTION("""COMPUTED_VALUE"""),"5")</f>
        <v>5</v>
      </c>
      <c r="C247" s="146"/>
      <c r="D247" s="147">
        <f>IFERROR(__xludf.DUMMYFUNCTION("""COMPUTED_VALUE"""),45696.0)</f>
        <v>45696</v>
      </c>
      <c r="E247" s="147">
        <f>IFERROR(__xludf.DUMMYFUNCTION("""COMPUTED_VALUE"""),45703.0)</f>
        <v>45703</v>
      </c>
      <c r="F247" s="147">
        <f>IFERROR(__xludf.DUMMYFUNCTION("""COMPUTED_VALUE"""),45724.0)</f>
        <v>45724</v>
      </c>
      <c r="G247" s="146" t="str">
        <f>IFERROR(__xludf.DUMMYFUNCTION("""COMPUTED_VALUE"""),"BRG9")</f>
        <v>BRG9</v>
      </c>
      <c r="H247" s="148">
        <f>IFERROR(__xludf.DUMMYFUNCTION("""COMPUTED_VALUE"""),319.0)</f>
        <v>319</v>
      </c>
      <c r="I247" s="148">
        <f>IFERROR(__xludf.DUMMYFUNCTION("""COMPUTED_VALUE"""),319.0)</f>
        <v>319</v>
      </c>
      <c r="J247" s="146">
        <f>IFERROR(__xludf.DUMMYFUNCTION("""COMPUTED_VALUE"""),1.0)</f>
        <v>1</v>
      </c>
      <c r="K247" s="146">
        <f>IFERROR(__xludf.DUMMYFUNCTION("""COMPUTED_VALUE"""),1.0)</f>
        <v>1</v>
      </c>
      <c r="L247" s="146">
        <f>IFERROR(__xludf.DUMMYFUNCTION("""COMPUTED_VALUE"""),8.0)</f>
        <v>8</v>
      </c>
      <c r="M247" s="146">
        <f>IFERROR(__xludf.DUMMYFUNCTION("""COMPUTED_VALUE"""),14.0)</f>
        <v>14</v>
      </c>
      <c r="N247" s="146">
        <f>IFERROR(__xludf.DUMMYFUNCTION("""COMPUTED_VALUE"""),4.0)</f>
        <v>4</v>
      </c>
      <c r="O247" s="146">
        <f>IFERROR(__xludf.DUMMYFUNCTION("""COMPUTED_VALUE"""),4.0)</f>
        <v>4</v>
      </c>
      <c r="P247" s="146">
        <f>IFERROR(__xludf.DUMMYFUNCTION("""COMPUTED_VALUE"""),171.0)</f>
        <v>171</v>
      </c>
      <c r="Q247" s="146"/>
      <c r="R247" s="146"/>
      <c r="T247" s="131" t="str">
        <f>IFERROR(__xludf.DUMMYFUNCTION("""COMPUTED_VALUE"""),"Y")</f>
        <v>Y</v>
      </c>
      <c r="U247" s="131" t="str">
        <f>IFERROR(__xludf.DUMMYFUNCTION("""COMPUTED_VALUE"""),"5")</f>
        <v>5</v>
      </c>
      <c r="V247" s="131"/>
      <c r="W247" s="144">
        <f>IFERROR(__xludf.DUMMYFUNCTION("""COMPUTED_VALUE"""),45696.0)</f>
        <v>45696</v>
      </c>
      <c r="X247" s="144">
        <f>IFERROR(__xludf.DUMMYFUNCTION("""COMPUTED_VALUE"""),45703.0)</f>
        <v>45703</v>
      </c>
      <c r="Y247" s="144">
        <f>IFERROR(__xludf.DUMMYFUNCTION("""COMPUTED_VALUE"""),45724.0)</f>
        <v>45724</v>
      </c>
      <c r="Z247" s="131" t="str">
        <f>IFERROR(__xludf.DUMMYFUNCTION("""COMPUTED_VALUE"""),"BRG9")</f>
        <v>BRG9</v>
      </c>
      <c r="AA247" s="131">
        <f>IFERROR(__xludf.DUMMYFUNCTION("""COMPUTED_VALUE"""),339.0)</f>
        <v>339</v>
      </c>
      <c r="AB247" s="131">
        <f>IFERROR(__xludf.DUMMYFUNCTION("""COMPUTED_VALUE"""),339.0)</f>
        <v>339</v>
      </c>
      <c r="AC247" s="131">
        <f>IFERROR(__xludf.DUMMYFUNCTION("""COMPUTED_VALUE"""),1.0)</f>
        <v>1</v>
      </c>
      <c r="AD247" s="131">
        <f>IFERROR(__xludf.DUMMYFUNCTION("""COMPUTED_VALUE"""),1.0)</f>
        <v>1</v>
      </c>
      <c r="AE247" s="131"/>
      <c r="AF247" s="131"/>
      <c r="AG247" s="131"/>
      <c r="AH247" s="131"/>
      <c r="AI247" s="131">
        <f>IFERROR(__xludf.DUMMYFUNCTION("""COMPUTED_VALUE"""),171.0)</f>
        <v>171</v>
      </c>
      <c r="AJ247" s="131"/>
      <c r="AK247" s="131"/>
    </row>
    <row r="248">
      <c r="A248" s="145" t="str">
        <f>IFERROR(__xludf.DUMMYFUNCTION("""COMPUTED_VALUE"""),"Y")</f>
        <v>Y</v>
      </c>
      <c r="B248" s="146" t="str">
        <f>IFERROR(__xludf.DUMMYFUNCTION("""COMPUTED_VALUE"""),"5")</f>
        <v>5</v>
      </c>
      <c r="C248" s="146"/>
      <c r="D248" s="147">
        <f>IFERROR(__xludf.DUMMYFUNCTION("""COMPUTED_VALUE"""),45696.0)</f>
        <v>45696</v>
      </c>
      <c r="E248" s="147">
        <f>IFERROR(__xludf.DUMMYFUNCTION("""COMPUTED_VALUE"""),45703.0)</f>
        <v>45703</v>
      </c>
      <c r="F248" s="147">
        <f>IFERROR(__xludf.DUMMYFUNCTION("""COMPUTED_VALUE"""),45724.0)</f>
        <v>45724</v>
      </c>
      <c r="G248" s="146" t="str">
        <f>IFERROR(__xludf.DUMMYFUNCTION("""COMPUTED_VALUE"""),"BRG9")</f>
        <v>BRG9</v>
      </c>
      <c r="H248" s="148">
        <f>IFERROR(__xludf.DUMMYFUNCTION("""COMPUTED_VALUE"""),339.0)</f>
        <v>339</v>
      </c>
      <c r="I248" s="148">
        <f>IFERROR(__xludf.DUMMYFUNCTION("""COMPUTED_VALUE"""),339.0)</f>
        <v>339</v>
      </c>
      <c r="J248" s="146">
        <f>IFERROR(__xludf.DUMMYFUNCTION("""COMPUTED_VALUE"""),1.0)</f>
        <v>1</v>
      </c>
      <c r="K248" s="146">
        <f>IFERROR(__xludf.DUMMYFUNCTION("""COMPUTED_VALUE"""),1.0)</f>
        <v>1</v>
      </c>
      <c r="L248" s="146"/>
      <c r="M248" s="146"/>
      <c r="N248" s="146"/>
      <c r="O248" s="146"/>
      <c r="P248" s="146">
        <f>IFERROR(__xludf.DUMMYFUNCTION("""COMPUTED_VALUE"""),171.0)</f>
        <v>171</v>
      </c>
      <c r="Q248" s="146"/>
      <c r="R248" s="146"/>
      <c r="T248" s="131" t="str">
        <f>IFERROR(__xludf.DUMMYFUNCTION("""COMPUTED_VALUE"""),"Y")</f>
        <v>Y</v>
      </c>
      <c r="U248" s="131" t="str">
        <f>IFERROR(__xludf.DUMMYFUNCTION("""COMPUTED_VALUE"""),"5")</f>
        <v>5</v>
      </c>
      <c r="V248" s="131"/>
      <c r="W248" s="144">
        <f>IFERROR(__xludf.DUMMYFUNCTION("""COMPUTED_VALUE"""),45696.0)</f>
        <v>45696</v>
      </c>
      <c r="X248" s="144">
        <f>IFERROR(__xludf.DUMMYFUNCTION("""COMPUTED_VALUE"""),45703.0)</f>
        <v>45703</v>
      </c>
      <c r="Y248" s="144">
        <f>IFERROR(__xludf.DUMMYFUNCTION("""COMPUTED_VALUE"""),45724.0)</f>
        <v>45724</v>
      </c>
      <c r="Z248" s="131" t="str">
        <f>IFERROR(__xludf.DUMMYFUNCTION("""COMPUTED_VALUE"""),"BRG9")</f>
        <v>BRG9</v>
      </c>
      <c r="AA248" s="131">
        <f>IFERROR(__xludf.DUMMYFUNCTION("""COMPUTED_VALUE"""),353.0)</f>
        <v>353</v>
      </c>
      <c r="AB248" s="131">
        <f>IFERROR(__xludf.DUMMYFUNCTION("""COMPUTED_VALUE"""),375.0)</f>
        <v>375</v>
      </c>
      <c r="AC248" s="131">
        <f>IFERROR(__xludf.DUMMYFUNCTION("""COMPUTED_VALUE"""),12.0)</f>
        <v>12</v>
      </c>
      <c r="AD248" s="131">
        <f>IFERROR(__xludf.DUMMYFUNCTION("""COMPUTED_VALUE"""),12.0)</f>
        <v>12</v>
      </c>
      <c r="AE248" s="131"/>
      <c r="AF248" s="131"/>
      <c r="AG248" s="131"/>
      <c r="AH248" s="131"/>
      <c r="AI248" s="131">
        <f>IFERROR(__xludf.DUMMYFUNCTION("""COMPUTED_VALUE"""),171.0)</f>
        <v>171</v>
      </c>
      <c r="AJ248" s="131"/>
      <c r="AK248" s="131"/>
    </row>
    <row r="249">
      <c r="A249" s="145" t="str">
        <f>IFERROR(__xludf.DUMMYFUNCTION("""COMPUTED_VALUE"""),"Y")</f>
        <v>Y</v>
      </c>
      <c r="B249" s="146" t="str">
        <f>IFERROR(__xludf.DUMMYFUNCTION("""COMPUTED_VALUE"""),"5")</f>
        <v>5</v>
      </c>
      <c r="C249" s="146"/>
      <c r="D249" s="147">
        <f>IFERROR(__xludf.DUMMYFUNCTION("""COMPUTED_VALUE"""),45696.0)</f>
        <v>45696</v>
      </c>
      <c r="E249" s="147">
        <f>IFERROR(__xludf.DUMMYFUNCTION("""COMPUTED_VALUE"""),45703.0)</f>
        <v>45703</v>
      </c>
      <c r="F249" s="147">
        <f>IFERROR(__xludf.DUMMYFUNCTION("""COMPUTED_VALUE"""),45724.0)</f>
        <v>45724</v>
      </c>
      <c r="G249" s="146" t="str">
        <f>IFERROR(__xludf.DUMMYFUNCTION("""COMPUTED_VALUE"""),"BRG9")</f>
        <v>BRG9</v>
      </c>
      <c r="H249" s="148">
        <f>IFERROR(__xludf.DUMMYFUNCTION("""COMPUTED_VALUE"""),353.0)</f>
        <v>353</v>
      </c>
      <c r="I249" s="148">
        <f>IFERROR(__xludf.DUMMYFUNCTION("""COMPUTED_VALUE"""),375.0)</f>
        <v>375</v>
      </c>
      <c r="J249" s="146">
        <f>IFERROR(__xludf.DUMMYFUNCTION("""COMPUTED_VALUE"""),12.0)</f>
        <v>12</v>
      </c>
      <c r="K249" s="146">
        <f>IFERROR(__xludf.DUMMYFUNCTION("""COMPUTED_VALUE"""),12.0)</f>
        <v>12</v>
      </c>
      <c r="L249" s="146"/>
      <c r="M249" s="146"/>
      <c r="N249" s="146"/>
      <c r="O249" s="146"/>
      <c r="P249" s="146">
        <f>IFERROR(__xludf.DUMMYFUNCTION("""COMPUTED_VALUE"""),171.0)</f>
        <v>171</v>
      </c>
      <c r="Q249" s="146"/>
      <c r="R249" s="146"/>
      <c r="T249" s="131" t="str">
        <f>IFERROR(__xludf.DUMMYFUNCTION("""COMPUTED_VALUE"""),"Y")</f>
        <v>Y</v>
      </c>
      <c r="U249" s="131" t="str">
        <f>IFERROR(__xludf.DUMMYFUNCTION("""COMPUTED_VALUE"""),"5")</f>
        <v>5</v>
      </c>
      <c r="V249" s="131"/>
      <c r="W249" s="144">
        <f>IFERROR(__xludf.DUMMYFUNCTION("""COMPUTED_VALUE"""),45697.0)</f>
        <v>45697</v>
      </c>
      <c r="X249" s="144">
        <f>IFERROR(__xludf.DUMMYFUNCTION("""COMPUTED_VALUE"""),45704.0)</f>
        <v>45704</v>
      </c>
      <c r="Y249" s="144">
        <f>IFERROR(__xludf.DUMMYFUNCTION("""COMPUTED_VALUE"""),45725.0)</f>
        <v>45725</v>
      </c>
      <c r="Z249" s="131" t="str">
        <f>IFERROR(__xludf.DUMMYFUNCTION("""COMPUTED_VALUE"""),"BRG11")</f>
        <v>BRG11</v>
      </c>
      <c r="AA249" s="131"/>
      <c r="AB249" s="131"/>
      <c r="AC249" s="131"/>
      <c r="AD249" s="131"/>
      <c r="AE249" s="131">
        <f>IFERROR(__xludf.DUMMYFUNCTION("""COMPUTED_VALUE"""),490.0)</f>
        <v>490</v>
      </c>
      <c r="AF249" s="131">
        <f>IFERROR(__xludf.DUMMYFUNCTION("""COMPUTED_VALUE"""),586.0)</f>
        <v>586</v>
      </c>
      <c r="AG249" s="131">
        <f>IFERROR(__xludf.DUMMYFUNCTION("""COMPUTED_VALUE"""),49.0)</f>
        <v>49</v>
      </c>
      <c r="AH249" s="131">
        <f>IFERROR(__xludf.DUMMYFUNCTION("""COMPUTED_VALUE"""),49.0)</f>
        <v>49</v>
      </c>
      <c r="AI249" s="131">
        <f>IFERROR(__xludf.DUMMYFUNCTION("""COMPUTED_VALUE"""),172.0)</f>
        <v>172</v>
      </c>
      <c r="AJ249" s="131"/>
      <c r="AK249" s="131"/>
    </row>
    <row r="250">
      <c r="A250" s="145" t="str">
        <f>IFERROR(__xludf.DUMMYFUNCTION("""COMPUTED_VALUE"""),"Y")</f>
        <v>Y</v>
      </c>
      <c r="B250" s="146" t="str">
        <f>IFERROR(__xludf.DUMMYFUNCTION("""COMPUTED_VALUE"""),"5")</f>
        <v>5</v>
      </c>
      <c r="C250" s="146"/>
      <c r="D250" s="147">
        <f>IFERROR(__xludf.DUMMYFUNCTION("""COMPUTED_VALUE"""),45697.0)</f>
        <v>45697</v>
      </c>
      <c r="E250" s="147">
        <f>IFERROR(__xludf.DUMMYFUNCTION("""COMPUTED_VALUE"""),45704.0)</f>
        <v>45704</v>
      </c>
      <c r="F250" s="147">
        <f>IFERROR(__xludf.DUMMYFUNCTION("""COMPUTED_VALUE"""),45725.0)</f>
        <v>45725</v>
      </c>
      <c r="G250" s="146" t="str">
        <f>IFERROR(__xludf.DUMMYFUNCTION("""COMPUTED_VALUE"""),"BRG11")</f>
        <v>BRG11</v>
      </c>
      <c r="H250" s="148"/>
      <c r="I250" s="148"/>
      <c r="J250" s="146"/>
      <c r="K250" s="146"/>
      <c r="L250" s="146">
        <f>IFERROR(__xludf.DUMMYFUNCTION("""COMPUTED_VALUE"""),490.0)</f>
        <v>490</v>
      </c>
      <c r="M250" s="146">
        <f>IFERROR(__xludf.DUMMYFUNCTION("""COMPUTED_VALUE"""),586.0)</f>
        <v>586</v>
      </c>
      <c r="N250" s="146">
        <f>IFERROR(__xludf.DUMMYFUNCTION("""COMPUTED_VALUE"""),49.0)</f>
        <v>49</v>
      </c>
      <c r="O250" s="146">
        <f>IFERROR(__xludf.DUMMYFUNCTION("""COMPUTED_VALUE"""),49.0)</f>
        <v>49</v>
      </c>
      <c r="P250" s="146">
        <f>IFERROR(__xludf.DUMMYFUNCTION("""COMPUTED_VALUE"""),172.0)</f>
        <v>172</v>
      </c>
      <c r="Q250" s="146"/>
      <c r="R250" s="146"/>
      <c r="T250" s="131" t="str">
        <f>IFERROR(__xludf.DUMMYFUNCTION("""COMPUTED_VALUE"""),"Y")</f>
        <v>Y</v>
      </c>
      <c r="U250" s="131" t="str">
        <f>IFERROR(__xludf.DUMMYFUNCTION("""COMPUTED_VALUE"""),"5")</f>
        <v>5</v>
      </c>
      <c r="V250" s="131"/>
      <c r="W250" s="144">
        <f>IFERROR(__xludf.DUMMYFUNCTION("""COMPUTED_VALUE"""),45697.0)</f>
        <v>45697</v>
      </c>
      <c r="X250" s="144">
        <f>IFERROR(__xludf.DUMMYFUNCTION("""COMPUTED_VALUE"""),45704.0)</f>
        <v>45704</v>
      </c>
      <c r="Y250" s="144">
        <f>IFERROR(__xludf.DUMMYFUNCTION("""COMPUTED_VALUE"""),45725.0)</f>
        <v>45725</v>
      </c>
      <c r="Z250" s="131" t="str">
        <f>IFERROR(__xludf.DUMMYFUNCTION("""COMPUTED_VALUE"""),"DC39")</f>
        <v>DC39</v>
      </c>
      <c r="AA250" s="131">
        <f>IFERROR(__xludf.DUMMYFUNCTION("""COMPUTED_VALUE"""),157.0)</f>
        <v>157</v>
      </c>
      <c r="AB250" s="131">
        <f>IFERROR(__xludf.DUMMYFUNCTION("""COMPUTED_VALUE"""),267.0)</f>
        <v>267</v>
      </c>
      <c r="AC250" s="131">
        <f>IFERROR(__xludf.DUMMYFUNCTION("""COMPUTED_VALUE"""),56.0)</f>
        <v>56</v>
      </c>
      <c r="AD250" s="131">
        <f>IFERROR(__xludf.DUMMYFUNCTION("""COMPUTED_VALUE"""),56.0)</f>
        <v>56</v>
      </c>
      <c r="AE250" s="131">
        <f>IFERROR(__xludf.DUMMYFUNCTION("""COMPUTED_VALUE"""),126.0)</f>
        <v>126</v>
      </c>
      <c r="AF250" s="131">
        <f>IFERROR(__xludf.DUMMYFUNCTION("""COMPUTED_VALUE"""),154.0)</f>
        <v>154</v>
      </c>
      <c r="AG250" s="131">
        <f>IFERROR(__xludf.DUMMYFUNCTION("""COMPUTED_VALUE"""),15.0)</f>
        <v>15</v>
      </c>
      <c r="AH250" s="131">
        <f>IFERROR(__xludf.DUMMYFUNCTION("""COMPUTED_VALUE"""),15.0)</f>
        <v>15</v>
      </c>
      <c r="AI250" s="131">
        <f>IFERROR(__xludf.DUMMYFUNCTION("""COMPUTED_VALUE"""),173.0)</f>
        <v>173</v>
      </c>
      <c r="AJ250" s="131"/>
      <c r="AK250" s="131"/>
    </row>
    <row r="251">
      <c r="A251" s="145" t="str">
        <f>IFERROR(__xludf.DUMMYFUNCTION("""COMPUTED_VALUE"""),"Y")</f>
        <v>Y</v>
      </c>
      <c r="B251" s="146" t="str">
        <f>IFERROR(__xludf.DUMMYFUNCTION("""COMPUTED_VALUE"""),"5")</f>
        <v>5</v>
      </c>
      <c r="C251" s="146"/>
      <c r="D251" s="147">
        <f>IFERROR(__xludf.DUMMYFUNCTION("""COMPUTED_VALUE"""),45697.0)</f>
        <v>45697</v>
      </c>
      <c r="E251" s="147">
        <f>IFERROR(__xludf.DUMMYFUNCTION("""COMPUTED_VALUE"""),45704.0)</f>
        <v>45704</v>
      </c>
      <c r="F251" s="147">
        <f>IFERROR(__xludf.DUMMYFUNCTION("""COMPUTED_VALUE"""),45725.0)</f>
        <v>45725</v>
      </c>
      <c r="G251" s="146" t="str">
        <f>IFERROR(__xludf.DUMMYFUNCTION("""COMPUTED_VALUE"""),"DC39")</f>
        <v>DC39</v>
      </c>
      <c r="H251" s="148">
        <f>IFERROR(__xludf.DUMMYFUNCTION("""COMPUTED_VALUE"""),157.0)</f>
        <v>157</v>
      </c>
      <c r="I251" s="148">
        <f>IFERROR(__xludf.DUMMYFUNCTION("""COMPUTED_VALUE"""),267.0)</f>
        <v>267</v>
      </c>
      <c r="J251" s="146">
        <f>IFERROR(__xludf.DUMMYFUNCTION("""COMPUTED_VALUE"""),56.0)</f>
        <v>56</v>
      </c>
      <c r="K251" s="146">
        <f>IFERROR(__xludf.DUMMYFUNCTION("""COMPUTED_VALUE"""),56.0)</f>
        <v>56</v>
      </c>
      <c r="L251" s="146">
        <f>IFERROR(__xludf.DUMMYFUNCTION("""COMPUTED_VALUE"""),126.0)</f>
        <v>126</v>
      </c>
      <c r="M251" s="146">
        <f>IFERROR(__xludf.DUMMYFUNCTION("""COMPUTED_VALUE"""),154.0)</f>
        <v>154</v>
      </c>
      <c r="N251" s="146">
        <f>IFERROR(__xludf.DUMMYFUNCTION("""COMPUTED_VALUE"""),15.0)</f>
        <v>15</v>
      </c>
      <c r="O251" s="146">
        <f>IFERROR(__xludf.DUMMYFUNCTION("""COMPUTED_VALUE"""),15.0)</f>
        <v>15</v>
      </c>
      <c r="P251" s="146">
        <f>IFERROR(__xludf.DUMMYFUNCTION("""COMPUTED_VALUE"""),173.0)</f>
        <v>173</v>
      </c>
      <c r="Q251" s="146"/>
      <c r="R251" s="146"/>
      <c r="T251" s="131" t="str">
        <f>IFERROR(__xludf.DUMMYFUNCTION("""COMPUTED_VALUE"""),"Y")</f>
        <v>Y</v>
      </c>
      <c r="U251" s="131" t="str">
        <f>IFERROR(__xludf.DUMMYFUNCTION("""COMPUTED_VALUE"""),"5")</f>
        <v>5</v>
      </c>
      <c r="V251" s="131"/>
      <c r="W251" s="144">
        <f>IFERROR(__xludf.DUMMYFUNCTION("""COMPUTED_VALUE"""),45698.0)</f>
        <v>45698</v>
      </c>
      <c r="X251" s="144">
        <f>IFERROR(__xludf.DUMMYFUNCTION("""COMPUTED_VALUE"""),45705.0)</f>
        <v>45705</v>
      </c>
      <c r="Y251" s="144">
        <f>IFERROR(__xludf.DUMMYFUNCTION("""COMPUTED_VALUE"""),45726.0)</f>
        <v>45726</v>
      </c>
      <c r="Z251" s="131" t="str">
        <f>IFERROR(__xludf.DUMMYFUNCTION("""COMPUTED_VALUE"""),"BRG11")</f>
        <v>BRG11</v>
      </c>
      <c r="AA251" s="131">
        <f>IFERROR(__xludf.DUMMYFUNCTION("""COMPUTED_VALUE"""),677.0)</f>
        <v>677</v>
      </c>
      <c r="AB251" s="131">
        <f>IFERROR(__xludf.DUMMYFUNCTION("""COMPUTED_VALUE"""),771.0)</f>
        <v>771</v>
      </c>
      <c r="AC251" s="131">
        <f>IFERROR(__xludf.DUMMYFUNCTION("""COMPUTED_VALUE"""),48.0)</f>
        <v>48</v>
      </c>
      <c r="AD251" s="131">
        <f>IFERROR(__xludf.DUMMYFUNCTION("""COMPUTED_VALUE"""),48.0)</f>
        <v>48</v>
      </c>
      <c r="AE251" s="131"/>
      <c r="AF251" s="131"/>
      <c r="AG251" s="131"/>
      <c r="AH251" s="131"/>
      <c r="AI251" s="131">
        <f>IFERROR(__xludf.DUMMYFUNCTION("""COMPUTED_VALUE"""),175.0)</f>
        <v>175</v>
      </c>
      <c r="AJ251" s="131"/>
      <c r="AK251" s="131"/>
    </row>
    <row r="252">
      <c r="A252" s="145" t="str">
        <f>IFERROR(__xludf.DUMMYFUNCTION("""COMPUTED_VALUE"""),"Y")</f>
        <v>Y</v>
      </c>
      <c r="B252" s="146" t="str">
        <f>IFERROR(__xludf.DUMMYFUNCTION("""COMPUTED_VALUE"""),"5")</f>
        <v>5</v>
      </c>
      <c r="C252" s="146"/>
      <c r="D252" s="147">
        <f>IFERROR(__xludf.DUMMYFUNCTION("""COMPUTED_VALUE"""),45698.0)</f>
        <v>45698</v>
      </c>
      <c r="E252" s="147">
        <f>IFERROR(__xludf.DUMMYFUNCTION("""COMPUTED_VALUE"""),45705.0)</f>
        <v>45705</v>
      </c>
      <c r="F252" s="147">
        <f>IFERROR(__xludf.DUMMYFUNCTION("""COMPUTED_VALUE"""),45726.0)</f>
        <v>45726</v>
      </c>
      <c r="G252" s="146" t="str">
        <f>IFERROR(__xludf.DUMMYFUNCTION("""COMPUTED_VALUE"""),"BRG11")</f>
        <v>BRG11</v>
      </c>
      <c r="H252" s="148">
        <f>IFERROR(__xludf.DUMMYFUNCTION("""COMPUTED_VALUE"""),677.0)</f>
        <v>677</v>
      </c>
      <c r="I252" s="148">
        <f>IFERROR(__xludf.DUMMYFUNCTION("""COMPUTED_VALUE"""),771.0)</f>
        <v>771</v>
      </c>
      <c r="J252" s="146">
        <f>IFERROR(__xludf.DUMMYFUNCTION("""COMPUTED_VALUE"""),48.0)</f>
        <v>48</v>
      </c>
      <c r="K252" s="146">
        <f>IFERROR(__xludf.DUMMYFUNCTION("""COMPUTED_VALUE"""),48.0)</f>
        <v>48</v>
      </c>
      <c r="L252" s="146"/>
      <c r="M252" s="146"/>
      <c r="N252" s="146"/>
      <c r="O252" s="146"/>
      <c r="P252" s="146">
        <f>IFERROR(__xludf.DUMMYFUNCTION("""COMPUTED_VALUE"""),175.0)</f>
        <v>175</v>
      </c>
      <c r="Q252" s="146"/>
      <c r="R252" s="146"/>
      <c r="T252" s="131" t="str">
        <f>IFERROR(__xludf.DUMMYFUNCTION("""COMPUTED_VALUE"""),"Y")</f>
        <v>Y</v>
      </c>
      <c r="U252" s="131" t="str">
        <f>IFERROR(__xludf.DUMMYFUNCTION("""COMPUTED_VALUE"""),"5")</f>
        <v>5</v>
      </c>
      <c r="V252" s="131"/>
      <c r="W252" s="144">
        <f>IFERROR(__xludf.DUMMYFUNCTION("""COMPUTED_VALUE"""),45698.0)</f>
        <v>45698</v>
      </c>
      <c r="X252" s="144">
        <f>IFERROR(__xludf.DUMMYFUNCTION("""COMPUTED_VALUE"""),45705.0)</f>
        <v>45705</v>
      </c>
      <c r="Y252" s="144">
        <f>IFERROR(__xludf.DUMMYFUNCTION("""COMPUTED_VALUE"""),45726.0)</f>
        <v>45726</v>
      </c>
      <c r="Z252" s="131" t="str">
        <f>IFERROR(__xludf.DUMMYFUNCTION("""COMPUTED_VALUE"""),"BRG11")</f>
        <v>BRG11</v>
      </c>
      <c r="AA252" s="131"/>
      <c r="AB252" s="131"/>
      <c r="AC252" s="131"/>
      <c r="AD252" s="131"/>
      <c r="AE252" s="131">
        <f>IFERROR(__xludf.DUMMYFUNCTION("""COMPUTED_VALUE"""),588.0)</f>
        <v>588</v>
      </c>
      <c r="AF252" s="131">
        <f>IFERROR(__xludf.DUMMYFUNCTION("""COMPUTED_VALUE"""),638.0)</f>
        <v>638</v>
      </c>
      <c r="AG252" s="131">
        <f>IFERROR(__xludf.DUMMYFUNCTION("""COMPUTED_VALUE"""),26.0)</f>
        <v>26</v>
      </c>
      <c r="AH252" s="131">
        <f>IFERROR(__xludf.DUMMYFUNCTION("""COMPUTED_VALUE"""),26.0)</f>
        <v>26</v>
      </c>
      <c r="AI252" s="131">
        <f>IFERROR(__xludf.DUMMYFUNCTION("""COMPUTED_VALUE"""),178.0)</f>
        <v>178</v>
      </c>
      <c r="AJ252" s="131"/>
      <c r="AK252" s="131"/>
    </row>
    <row r="253">
      <c r="A253" s="145" t="str">
        <f>IFERROR(__xludf.DUMMYFUNCTION("""COMPUTED_VALUE"""),"Y")</f>
        <v>Y</v>
      </c>
      <c r="B253" s="146" t="str">
        <f>IFERROR(__xludf.DUMMYFUNCTION("""COMPUTED_VALUE"""),"5")</f>
        <v>5</v>
      </c>
      <c r="C253" s="146"/>
      <c r="D253" s="147">
        <f>IFERROR(__xludf.DUMMYFUNCTION("""COMPUTED_VALUE"""),45698.0)</f>
        <v>45698</v>
      </c>
      <c r="E253" s="147">
        <f>IFERROR(__xludf.DUMMYFUNCTION("""COMPUTED_VALUE"""),45705.0)</f>
        <v>45705</v>
      </c>
      <c r="F253" s="147">
        <f>IFERROR(__xludf.DUMMYFUNCTION("""COMPUTED_VALUE"""),45726.0)</f>
        <v>45726</v>
      </c>
      <c r="G253" s="146" t="str">
        <f>IFERROR(__xludf.DUMMYFUNCTION("""COMPUTED_VALUE"""),"BRG11")</f>
        <v>BRG11</v>
      </c>
      <c r="H253" s="148"/>
      <c r="I253" s="148"/>
      <c r="J253" s="146"/>
      <c r="K253" s="146"/>
      <c r="L253" s="146">
        <f>IFERROR(__xludf.DUMMYFUNCTION("""COMPUTED_VALUE"""),588.0)</f>
        <v>588</v>
      </c>
      <c r="M253" s="146">
        <f>IFERROR(__xludf.DUMMYFUNCTION("""COMPUTED_VALUE"""),638.0)</f>
        <v>638</v>
      </c>
      <c r="N253" s="146">
        <f>IFERROR(__xludf.DUMMYFUNCTION("""COMPUTED_VALUE"""),26.0)</f>
        <v>26</v>
      </c>
      <c r="O253" s="146">
        <f>IFERROR(__xludf.DUMMYFUNCTION("""COMPUTED_VALUE"""),26.0)</f>
        <v>26</v>
      </c>
      <c r="P253" s="146">
        <f>IFERROR(__xludf.DUMMYFUNCTION("""COMPUTED_VALUE"""),178.0)</f>
        <v>178</v>
      </c>
      <c r="Q253" s="146"/>
      <c r="R253" s="146"/>
      <c r="T253" s="131" t="str">
        <f>IFERROR(__xludf.DUMMYFUNCTION("""COMPUTED_VALUE"""),"Y")</f>
        <v>Y</v>
      </c>
      <c r="U253" s="131" t="str">
        <f>IFERROR(__xludf.DUMMYFUNCTION("""COMPUTED_VALUE"""),"5")</f>
        <v>5</v>
      </c>
      <c r="V253" s="131"/>
      <c r="W253" s="144">
        <f>IFERROR(__xludf.DUMMYFUNCTION("""COMPUTED_VALUE"""),45698.0)</f>
        <v>45698</v>
      </c>
      <c r="X253" s="144">
        <f>IFERROR(__xludf.DUMMYFUNCTION("""COMPUTED_VALUE"""),45705.0)</f>
        <v>45705</v>
      </c>
      <c r="Y253" s="144">
        <f>IFERROR(__xludf.DUMMYFUNCTION("""COMPUTED_VALUE"""),45726.0)</f>
        <v>45726</v>
      </c>
      <c r="Z253" s="131" t="str">
        <f>IFERROR(__xludf.DUMMYFUNCTION("""COMPUTED_VALUE"""),"DC39")</f>
        <v>DC39</v>
      </c>
      <c r="AA253" s="131"/>
      <c r="AB253" s="131"/>
      <c r="AC253" s="131"/>
      <c r="AD253" s="131"/>
      <c r="AE253" s="131">
        <f>IFERROR(__xludf.DUMMYFUNCTION("""COMPUTED_VALUE"""),156.0)</f>
        <v>156</v>
      </c>
      <c r="AF253" s="131">
        <f>IFERROR(__xludf.DUMMYFUNCTION("""COMPUTED_VALUE"""),266.0)</f>
        <v>266</v>
      </c>
      <c r="AG253" s="131">
        <f>IFERROR(__xludf.DUMMYFUNCTION("""COMPUTED_VALUE"""),56.0)</f>
        <v>56</v>
      </c>
      <c r="AH253" s="131">
        <f>IFERROR(__xludf.DUMMYFUNCTION("""COMPUTED_VALUE"""),56.0)</f>
        <v>56</v>
      </c>
      <c r="AI253" s="131">
        <f>IFERROR(__xludf.DUMMYFUNCTION("""COMPUTED_VALUE"""),177.0)</f>
        <v>177</v>
      </c>
      <c r="AJ253" s="131"/>
      <c r="AK253" s="131"/>
    </row>
    <row r="254">
      <c r="A254" s="145" t="str">
        <f>IFERROR(__xludf.DUMMYFUNCTION("""COMPUTED_VALUE"""),"Y")</f>
        <v>Y</v>
      </c>
      <c r="B254" s="146" t="str">
        <f>IFERROR(__xludf.DUMMYFUNCTION("""COMPUTED_VALUE"""),"5")</f>
        <v>5</v>
      </c>
      <c r="C254" s="146"/>
      <c r="D254" s="147">
        <f>IFERROR(__xludf.DUMMYFUNCTION("""COMPUTED_VALUE"""),45698.0)</f>
        <v>45698</v>
      </c>
      <c r="E254" s="147">
        <f>IFERROR(__xludf.DUMMYFUNCTION("""COMPUTED_VALUE"""),45705.0)</f>
        <v>45705</v>
      </c>
      <c r="F254" s="147">
        <f>IFERROR(__xludf.DUMMYFUNCTION("""COMPUTED_VALUE"""),45726.0)</f>
        <v>45726</v>
      </c>
      <c r="G254" s="146" t="str">
        <f>IFERROR(__xludf.DUMMYFUNCTION("""COMPUTED_VALUE"""),"DC39")</f>
        <v>DC39</v>
      </c>
      <c r="H254" s="148"/>
      <c r="I254" s="148"/>
      <c r="J254" s="146"/>
      <c r="K254" s="146"/>
      <c r="L254" s="146">
        <f>IFERROR(__xludf.DUMMYFUNCTION("""COMPUTED_VALUE"""),156.0)</f>
        <v>156</v>
      </c>
      <c r="M254" s="146">
        <f>IFERROR(__xludf.DUMMYFUNCTION("""COMPUTED_VALUE"""),266.0)</f>
        <v>266</v>
      </c>
      <c r="N254" s="146">
        <f>IFERROR(__xludf.DUMMYFUNCTION("""COMPUTED_VALUE"""),56.0)</f>
        <v>56</v>
      </c>
      <c r="O254" s="146">
        <f>IFERROR(__xludf.DUMMYFUNCTION("""COMPUTED_VALUE"""),56.0)</f>
        <v>56</v>
      </c>
      <c r="P254" s="146">
        <f>IFERROR(__xludf.DUMMYFUNCTION("""COMPUTED_VALUE"""),177.0)</f>
        <v>177</v>
      </c>
      <c r="Q254" s="146"/>
      <c r="R254" s="146"/>
      <c r="T254" s="131" t="str">
        <f>IFERROR(__xludf.DUMMYFUNCTION("""COMPUTED_VALUE"""),"Y")</f>
        <v>Y</v>
      </c>
      <c r="U254" s="131" t="str">
        <f>IFERROR(__xludf.DUMMYFUNCTION("""COMPUTED_VALUE"""),"5")</f>
        <v>5</v>
      </c>
      <c r="V254" s="131"/>
      <c r="W254" s="144">
        <f>IFERROR(__xludf.DUMMYFUNCTION("""COMPUTED_VALUE"""),45698.0)</f>
        <v>45698</v>
      </c>
      <c r="X254" s="144">
        <f>IFERROR(__xludf.DUMMYFUNCTION("""COMPUTED_VALUE"""),45705.0)</f>
        <v>45705</v>
      </c>
      <c r="Y254" s="144">
        <f>IFERROR(__xludf.DUMMYFUNCTION("""COMPUTED_VALUE"""),45726.0)</f>
        <v>45726</v>
      </c>
      <c r="Z254" s="131" t="str">
        <f>IFERROR(__xludf.DUMMYFUNCTION("""COMPUTED_VALUE"""),"DC35")</f>
        <v>DC35</v>
      </c>
      <c r="AA254" s="131">
        <f>IFERROR(__xludf.DUMMYFUNCTION("""COMPUTED_VALUE"""),69.0)</f>
        <v>69</v>
      </c>
      <c r="AB254" s="131">
        <f>IFERROR(__xludf.DUMMYFUNCTION("""COMPUTED_VALUE"""),103.0)</f>
        <v>103</v>
      </c>
      <c r="AC254" s="131">
        <f>IFERROR(__xludf.DUMMYFUNCTION("""COMPUTED_VALUE"""),18.0)</f>
        <v>18</v>
      </c>
      <c r="AD254" s="131">
        <f>IFERROR(__xludf.DUMMYFUNCTION("""COMPUTED_VALUE"""),18.0)</f>
        <v>18</v>
      </c>
      <c r="AE254" s="131">
        <f>IFERROR(__xludf.DUMMYFUNCTION("""COMPUTED_VALUE"""),12.0)</f>
        <v>12</v>
      </c>
      <c r="AF254" s="131">
        <f>IFERROR(__xludf.DUMMYFUNCTION("""COMPUTED_VALUE"""),52.0)</f>
        <v>52</v>
      </c>
      <c r="AG254" s="131">
        <f>IFERROR(__xludf.DUMMYFUNCTION("""COMPUTED_VALUE"""),21.0)</f>
        <v>21</v>
      </c>
      <c r="AH254" s="131">
        <f>IFERROR(__xludf.DUMMYFUNCTION("""COMPUTED_VALUE"""),21.0)</f>
        <v>21</v>
      </c>
      <c r="AI254" s="131">
        <f>IFERROR(__xludf.DUMMYFUNCTION("""COMPUTED_VALUE"""),174.0)</f>
        <v>174</v>
      </c>
      <c r="AJ254" s="131" t="str">
        <f>IFERROR(__xludf.DUMMYFUNCTION("""COMPUTED_VALUE"""),"S21,G22")</f>
        <v>S21,G22</v>
      </c>
      <c r="AK254" s="131">
        <f>IFERROR(__xludf.DUMMYFUNCTION("""COMPUTED_VALUE"""),37.05)</f>
        <v>37.05</v>
      </c>
    </row>
    <row r="255">
      <c r="A255" s="145" t="str">
        <f>IFERROR(__xludf.DUMMYFUNCTION("""COMPUTED_VALUE"""),"Y")</f>
        <v>Y</v>
      </c>
      <c r="B255" s="146" t="str">
        <f>IFERROR(__xludf.DUMMYFUNCTION("""COMPUTED_VALUE"""),"5")</f>
        <v>5</v>
      </c>
      <c r="C255" s="146"/>
      <c r="D255" s="147">
        <f>IFERROR(__xludf.DUMMYFUNCTION("""COMPUTED_VALUE"""),45698.0)</f>
        <v>45698</v>
      </c>
      <c r="E255" s="147">
        <f>IFERROR(__xludf.DUMMYFUNCTION("""COMPUTED_VALUE"""),45705.0)</f>
        <v>45705</v>
      </c>
      <c r="F255" s="147">
        <f>IFERROR(__xludf.DUMMYFUNCTION("""COMPUTED_VALUE"""),45726.0)</f>
        <v>45726</v>
      </c>
      <c r="G255" s="146" t="str">
        <f>IFERROR(__xludf.DUMMYFUNCTION("""COMPUTED_VALUE"""),"DC35")</f>
        <v>DC35</v>
      </c>
      <c r="H255" s="148">
        <f>IFERROR(__xludf.DUMMYFUNCTION("""COMPUTED_VALUE"""),69.0)</f>
        <v>69</v>
      </c>
      <c r="I255" s="148">
        <f>IFERROR(__xludf.DUMMYFUNCTION("""COMPUTED_VALUE"""),103.0)</f>
        <v>103</v>
      </c>
      <c r="J255" s="146">
        <f>IFERROR(__xludf.DUMMYFUNCTION("""COMPUTED_VALUE"""),18.0)</f>
        <v>18</v>
      </c>
      <c r="K255" s="146">
        <f>IFERROR(__xludf.DUMMYFUNCTION("""COMPUTED_VALUE"""),18.0)</f>
        <v>18</v>
      </c>
      <c r="L255" s="146">
        <f>IFERROR(__xludf.DUMMYFUNCTION("""COMPUTED_VALUE"""),12.0)</f>
        <v>12</v>
      </c>
      <c r="M255" s="146">
        <f>IFERROR(__xludf.DUMMYFUNCTION("""COMPUTED_VALUE"""),52.0)</f>
        <v>52</v>
      </c>
      <c r="N255" s="146">
        <f>IFERROR(__xludf.DUMMYFUNCTION("""COMPUTED_VALUE"""),21.0)</f>
        <v>21</v>
      </c>
      <c r="O255" s="146">
        <f>IFERROR(__xludf.DUMMYFUNCTION("""COMPUTED_VALUE"""),21.0)</f>
        <v>21</v>
      </c>
      <c r="P255" s="146">
        <f>IFERROR(__xludf.DUMMYFUNCTION("""COMPUTED_VALUE"""),174.0)</f>
        <v>174</v>
      </c>
      <c r="Q255" s="146" t="str">
        <f>IFERROR(__xludf.DUMMYFUNCTION("""COMPUTED_VALUE"""),"S21,G22")</f>
        <v>S21,G22</v>
      </c>
      <c r="R255" s="146">
        <f>IFERROR(__xludf.DUMMYFUNCTION("""COMPUTED_VALUE"""),37.05)</f>
        <v>37.05</v>
      </c>
      <c r="T255" s="131" t="str">
        <f>IFERROR(__xludf.DUMMYFUNCTION("""COMPUTED_VALUE"""),"Y")</f>
        <v>Y</v>
      </c>
      <c r="U255" s="131" t="str">
        <f>IFERROR(__xludf.DUMMYFUNCTION("""COMPUTED_VALUE"""),"5")</f>
        <v>5</v>
      </c>
      <c r="V255" s="131"/>
      <c r="W255" s="144">
        <f>IFERROR(__xludf.DUMMYFUNCTION("""COMPUTED_VALUE"""),45698.0)</f>
        <v>45698</v>
      </c>
      <c r="X255" s="144">
        <f>IFERROR(__xludf.DUMMYFUNCTION("""COMPUTED_VALUE"""),45705.0)</f>
        <v>45705</v>
      </c>
      <c r="Y255" s="144">
        <f>IFERROR(__xludf.DUMMYFUNCTION("""COMPUTED_VALUE"""),45726.0)</f>
        <v>45726</v>
      </c>
      <c r="Z255" s="131" t="str">
        <f>IFERROR(__xludf.DUMMYFUNCTION("""COMPUTED_VALUE"""),"DC35")</f>
        <v>DC35</v>
      </c>
      <c r="AA255" s="131">
        <f>IFERROR(__xludf.DUMMYFUNCTION("""COMPUTED_VALUE"""),13.0)</f>
        <v>13</v>
      </c>
      <c r="AB255" s="131">
        <f>IFERROR(__xludf.DUMMYFUNCTION("""COMPUTED_VALUE"""),51.0)</f>
        <v>51</v>
      </c>
      <c r="AC255" s="131">
        <f>IFERROR(__xludf.DUMMYFUNCTION("""COMPUTED_VALUE"""),20.0)</f>
        <v>20</v>
      </c>
      <c r="AD255" s="131">
        <f>IFERROR(__xludf.DUMMYFUNCTION("""COMPUTED_VALUE"""),20.0)</f>
        <v>20</v>
      </c>
      <c r="AE255" s="131">
        <f>IFERROR(__xludf.DUMMYFUNCTION("""COMPUTED_VALUE"""),70.0)</f>
        <v>70</v>
      </c>
      <c r="AF255" s="131">
        <f>IFERROR(__xludf.DUMMYFUNCTION("""COMPUTED_VALUE"""),102.0)</f>
        <v>102</v>
      </c>
      <c r="AG255" s="131">
        <f>IFERROR(__xludf.DUMMYFUNCTION("""COMPUTED_VALUE"""),17.0)</f>
        <v>17</v>
      </c>
      <c r="AH255" s="131">
        <f>IFERROR(__xludf.DUMMYFUNCTION("""COMPUTED_VALUE"""),17.0)</f>
        <v>17</v>
      </c>
      <c r="AI255" s="131">
        <f>IFERROR(__xludf.DUMMYFUNCTION("""COMPUTED_VALUE"""),176.0)</f>
        <v>176</v>
      </c>
      <c r="AJ255" s="131"/>
      <c r="AK255" s="131"/>
    </row>
    <row r="256">
      <c r="A256" s="145" t="str">
        <f>IFERROR(__xludf.DUMMYFUNCTION("""COMPUTED_VALUE"""),"Y")</f>
        <v>Y</v>
      </c>
      <c r="B256" s="146" t="str">
        <f>IFERROR(__xludf.DUMMYFUNCTION("""COMPUTED_VALUE"""),"5")</f>
        <v>5</v>
      </c>
      <c r="C256" s="146"/>
      <c r="D256" s="147">
        <f>IFERROR(__xludf.DUMMYFUNCTION("""COMPUTED_VALUE"""),45698.0)</f>
        <v>45698</v>
      </c>
      <c r="E256" s="147">
        <f>IFERROR(__xludf.DUMMYFUNCTION("""COMPUTED_VALUE"""),45705.0)</f>
        <v>45705</v>
      </c>
      <c r="F256" s="147">
        <f>IFERROR(__xludf.DUMMYFUNCTION("""COMPUTED_VALUE"""),45726.0)</f>
        <v>45726</v>
      </c>
      <c r="G256" s="146" t="str">
        <f>IFERROR(__xludf.DUMMYFUNCTION("""COMPUTED_VALUE"""),"DC35")</f>
        <v>DC35</v>
      </c>
      <c r="H256" s="148">
        <f>IFERROR(__xludf.DUMMYFUNCTION("""COMPUTED_VALUE"""),13.0)</f>
        <v>13</v>
      </c>
      <c r="I256" s="148">
        <f>IFERROR(__xludf.DUMMYFUNCTION("""COMPUTED_VALUE"""),51.0)</f>
        <v>51</v>
      </c>
      <c r="J256" s="146">
        <f>IFERROR(__xludf.DUMMYFUNCTION("""COMPUTED_VALUE"""),20.0)</f>
        <v>20</v>
      </c>
      <c r="K256" s="146">
        <f>IFERROR(__xludf.DUMMYFUNCTION("""COMPUTED_VALUE"""),20.0)</f>
        <v>20</v>
      </c>
      <c r="L256" s="146">
        <f>IFERROR(__xludf.DUMMYFUNCTION("""COMPUTED_VALUE"""),70.0)</f>
        <v>70</v>
      </c>
      <c r="M256" s="146">
        <f>IFERROR(__xludf.DUMMYFUNCTION("""COMPUTED_VALUE"""),102.0)</f>
        <v>102</v>
      </c>
      <c r="N256" s="146">
        <f>IFERROR(__xludf.DUMMYFUNCTION("""COMPUTED_VALUE"""),17.0)</f>
        <v>17</v>
      </c>
      <c r="O256" s="146">
        <f>IFERROR(__xludf.DUMMYFUNCTION("""COMPUTED_VALUE"""),17.0)</f>
        <v>17</v>
      </c>
      <c r="P256" s="146">
        <f>IFERROR(__xludf.DUMMYFUNCTION("""COMPUTED_VALUE"""),176.0)</f>
        <v>176</v>
      </c>
      <c r="Q256" s="146"/>
      <c r="R256" s="146"/>
      <c r="T256" s="131" t="str">
        <f>IFERROR(__xludf.DUMMYFUNCTION("""COMPUTED_VALUE"""),"Y")</f>
        <v>Y</v>
      </c>
      <c r="U256" s="131" t="str">
        <f>IFERROR(__xludf.DUMMYFUNCTION("""COMPUTED_VALUE"""),"5")</f>
        <v>5</v>
      </c>
      <c r="V256" s="131"/>
      <c r="W256" s="144">
        <f>IFERROR(__xludf.DUMMYFUNCTION("""COMPUTED_VALUE"""),45698.0)</f>
        <v>45698</v>
      </c>
      <c r="X256" s="144">
        <f>IFERROR(__xludf.DUMMYFUNCTION("""COMPUTED_VALUE"""),45705.0)</f>
        <v>45705</v>
      </c>
      <c r="Y256" s="144">
        <f>IFERROR(__xludf.DUMMYFUNCTION("""COMPUTED_VALUE"""),45726.0)</f>
        <v>45726</v>
      </c>
      <c r="Z256" s="131" t="str">
        <f>IFERROR(__xludf.DUMMYFUNCTION("""COMPUTED_VALUE"""),"DC35")</f>
        <v>DC35</v>
      </c>
      <c r="AA256" s="131">
        <f>IFERROR(__xludf.DUMMYFUNCTION("""COMPUTED_VALUE"""),105.0)</f>
        <v>105</v>
      </c>
      <c r="AB256" s="131">
        <f>IFERROR(__xludf.DUMMYFUNCTION("""COMPUTED_VALUE"""),155.0)</f>
        <v>155</v>
      </c>
      <c r="AC256" s="131">
        <f>IFERROR(__xludf.DUMMYFUNCTION("""COMPUTED_VALUE"""),26.0)</f>
        <v>26</v>
      </c>
      <c r="AD256" s="131">
        <f>IFERROR(__xludf.DUMMYFUNCTION("""COMPUTED_VALUE"""),26.0)</f>
        <v>26</v>
      </c>
      <c r="AE256" s="131"/>
      <c r="AF256" s="131"/>
      <c r="AG256" s="131"/>
      <c r="AH256" s="131"/>
      <c r="AI256" s="131">
        <f>IFERROR(__xludf.DUMMYFUNCTION("""COMPUTED_VALUE"""),176.0)</f>
        <v>176</v>
      </c>
      <c r="AJ256" s="131"/>
      <c r="AK256" s="131"/>
    </row>
    <row r="257">
      <c r="A257" s="145" t="str">
        <f>IFERROR(__xludf.DUMMYFUNCTION("""COMPUTED_VALUE"""),"Y")</f>
        <v>Y</v>
      </c>
      <c r="B257" s="146" t="str">
        <f>IFERROR(__xludf.DUMMYFUNCTION("""COMPUTED_VALUE"""),"5")</f>
        <v>5</v>
      </c>
      <c r="C257" s="146"/>
      <c r="D257" s="147">
        <f>IFERROR(__xludf.DUMMYFUNCTION("""COMPUTED_VALUE"""),45698.0)</f>
        <v>45698</v>
      </c>
      <c r="E257" s="147">
        <f>IFERROR(__xludf.DUMMYFUNCTION("""COMPUTED_VALUE"""),45705.0)</f>
        <v>45705</v>
      </c>
      <c r="F257" s="147">
        <f>IFERROR(__xludf.DUMMYFUNCTION("""COMPUTED_VALUE"""),45726.0)</f>
        <v>45726</v>
      </c>
      <c r="G257" s="146" t="str">
        <f>IFERROR(__xludf.DUMMYFUNCTION("""COMPUTED_VALUE"""),"DC35")</f>
        <v>DC35</v>
      </c>
      <c r="H257" s="148">
        <f>IFERROR(__xludf.DUMMYFUNCTION("""COMPUTED_VALUE"""),105.0)</f>
        <v>105</v>
      </c>
      <c r="I257" s="148">
        <f>IFERROR(__xludf.DUMMYFUNCTION("""COMPUTED_VALUE"""),155.0)</f>
        <v>155</v>
      </c>
      <c r="J257" s="146">
        <f>IFERROR(__xludf.DUMMYFUNCTION("""COMPUTED_VALUE"""),26.0)</f>
        <v>26</v>
      </c>
      <c r="K257" s="146">
        <f>IFERROR(__xludf.DUMMYFUNCTION("""COMPUTED_VALUE"""),26.0)</f>
        <v>26</v>
      </c>
      <c r="L257" s="146"/>
      <c r="M257" s="146"/>
      <c r="N257" s="146"/>
      <c r="O257" s="146"/>
      <c r="P257" s="146">
        <f>IFERROR(__xludf.DUMMYFUNCTION("""COMPUTED_VALUE"""),176.0)</f>
        <v>176</v>
      </c>
      <c r="Q257" s="146"/>
      <c r="R257" s="146"/>
      <c r="T257" s="131" t="str">
        <f>IFERROR(__xludf.DUMMYFUNCTION("""COMPUTED_VALUE"""),"Y")</f>
        <v>Y</v>
      </c>
      <c r="U257" s="131" t="str">
        <f>IFERROR(__xludf.DUMMYFUNCTION("""COMPUTED_VALUE"""),"5")</f>
        <v>5</v>
      </c>
      <c r="V257" s="131"/>
      <c r="W257" s="144">
        <f>IFERROR(__xludf.DUMMYFUNCTION("""COMPUTED_VALUE"""),45699.0)</f>
        <v>45699</v>
      </c>
      <c r="X257" s="144">
        <f>IFERROR(__xludf.DUMMYFUNCTION("""COMPUTED_VALUE"""),45706.0)</f>
        <v>45706</v>
      </c>
      <c r="Y257" s="144">
        <f>IFERROR(__xludf.DUMMYFUNCTION("""COMPUTED_VALUE"""),45727.0)</f>
        <v>45727</v>
      </c>
      <c r="Z257" s="131" t="str">
        <f>IFERROR(__xludf.DUMMYFUNCTION("""COMPUTED_VALUE"""),"D35-3R")</f>
        <v>D35-3R</v>
      </c>
      <c r="AA257" s="131">
        <f>IFERROR(__xludf.DUMMYFUNCTION("""COMPUTED_VALUE"""),303.0)</f>
        <v>303</v>
      </c>
      <c r="AB257" s="131">
        <f>IFERROR(__xludf.DUMMYFUNCTION("""COMPUTED_VALUE"""),345.0)</f>
        <v>345</v>
      </c>
      <c r="AC257" s="131">
        <f>IFERROR(__xludf.DUMMYFUNCTION("""COMPUTED_VALUE"""),22.0)</f>
        <v>22</v>
      </c>
      <c r="AD257" s="131">
        <f>IFERROR(__xludf.DUMMYFUNCTION("""COMPUTED_VALUE"""),22.0)</f>
        <v>22</v>
      </c>
      <c r="AE257" s="131">
        <f>IFERROR(__xludf.DUMMYFUNCTION("""COMPUTED_VALUE"""),238.0)</f>
        <v>238</v>
      </c>
      <c r="AF257" s="131">
        <f>IFERROR(__xludf.DUMMYFUNCTION("""COMPUTED_VALUE"""),242.0)</f>
        <v>242</v>
      </c>
      <c r="AG257" s="131">
        <f>IFERROR(__xludf.DUMMYFUNCTION("""COMPUTED_VALUE"""),3.0)</f>
        <v>3</v>
      </c>
      <c r="AH257" s="131">
        <f>IFERROR(__xludf.DUMMYFUNCTION("""COMPUTED_VALUE"""),3.0)</f>
        <v>3</v>
      </c>
      <c r="AI257" s="131"/>
      <c r="AJ257" s="131"/>
      <c r="AK257" s="131"/>
    </row>
    <row r="258">
      <c r="A258" s="145" t="str">
        <f>IFERROR(__xludf.DUMMYFUNCTION("""COMPUTED_VALUE"""),"Y")</f>
        <v>Y</v>
      </c>
      <c r="B258" s="146" t="str">
        <f>IFERROR(__xludf.DUMMYFUNCTION("""COMPUTED_VALUE"""),"5")</f>
        <v>5</v>
      </c>
      <c r="C258" s="146"/>
      <c r="D258" s="147">
        <f>IFERROR(__xludf.DUMMYFUNCTION("""COMPUTED_VALUE"""),45699.0)</f>
        <v>45699</v>
      </c>
      <c r="E258" s="147">
        <f>IFERROR(__xludf.DUMMYFUNCTION("""COMPUTED_VALUE"""),45706.0)</f>
        <v>45706</v>
      </c>
      <c r="F258" s="147">
        <f>IFERROR(__xludf.DUMMYFUNCTION("""COMPUTED_VALUE"""),45727.0)</f>
        <v>45727</v>
      </c>
      <c r="G258" s="146" t="str">
        <f>IFERROR(__xludf.DUMMYFUNCTION("""COMPUTED_VALUE"""),"D35-3R")</f>
        <v>D35-3R</v>
      </c>
      <c r="H258" s="148">
        <f>IFERROR(__xludf.DUMMYFUNCTION("""COMPUTED_VALUE"""),303.0)</f>
        <v>303</v>
      </c>
      <c r="I258" s="148">
        <f>IFERROR(__xludf.DUMMYFUNCTION("""COMPUTED_VALUE"""),345.0)</f>
        <v>345</v>
      </c>
      <c r="J258" s="146">
        <f>IFERROR(__xludf.DUMMYFUNCTION("""COMPUTED_VALUE"""),22.0)</f>
        <v>22</v>
      </c>
      <c r="K258" s="146">
        <f>IFERROR(__xludf.DUMMYFUNCTION("""COMPUTED_VALUE"""),22.0)</f>
        <v>22</v>
      </c>
      <c r="L258" s="146">
        <f>IFERROR(__xludf.DUMMYFUNCTION("""COMPUTED_VALUE"""),238.0)</f>
        <v>238</v>
      </c>
      <c r="M258" s="146">
        <f>IFERROR(__xludf.DUMMYFUNCTION("""COMPUTED_VALUE"""),242.0)</f>
        <v>242</v>
      </c>
      <c r="N258" s="146">
        <f>IFERROR(__xludf.DUMMYFUNCTION("""COMPUTED_VALUE"""),3.0)</f>
        <v>3</v>
      </c>
      <c r="O258" s="146">
        <f>IFERROR(__xludf.DUMMYFUNCTION("""COMPUTED_VALUE"""),3.0)</f>
        <v>3</v>
      </c>
      <c r="P258" s="146"/>
      <c r="Q258" s="146"/>
      <c r="R258" s="146"/>
      <c r="T258" s="131" t="str">
        <f>IFERROR(__xludf.DUMMYFUNCTION("""COMPUTED_VALUE"""),"Y")</f>
        <v>Y</v>
      </c>
      <c r="U258" s="131" t="str">
        <f>IFERROR(__xludf.DUMMYFUNCTION("""COMPUTED_VALUE"""),"5")</f>
        <v>5</v>
      </c>
      <c r="V258" s="131"/>
      <c r="W258" s="144">
        <f>IFERROR(__xludf.DUMMYFUNCTION("""COMPUTED_VALUE"""),45699.0)</f>
        <v>45699</v>
      </c>
      <c r="X258" s="144">
        <f>IFERROR(__xludf.DUMMYFUNCTION("""COMPUTED_VALUE"""),45706.0)</f>
        <v>45706</v>
      </c>
      <c r="Y258" s="144">
        <f>IFERROR(__xludf.DUMMYFUNCTION("""COMPUTED_VALUE"""),45727.0)</f>
        <v>45727</v>
      </c>
      <c r="Z258" s="131" t="str">
        <f>IFERROR(__xludf.DUMMYFUNCTION("""COMPUTED_VALUE"""),"D35-3R")</f>
        <v>D35-3R</v>
      </c>
      <c r="AA258" s="131">
        <f>IFERROR(__xludf.DUMMYFUNCTION("""COMPUTED_VALUE"""),349.0)</f>
        <v>349</v>
      </c>
      <c r="AB258" s="131">
        <f>IFERROR(__xludf.DUMMYFUNCTION("""COMPUTED_VALUE"""),395.0)</f>
        <v>395</v>
      </c>
      <c r="AC258" s="131">
        <f>IFERROR(__xludf.DUMMYFUNCTION("""COMPUTED_VALUE"""),24.0)</f>
        <v>24</v>
      </c>
      <c r="AD258" s="131">
        <f>IFERROR(__xludf.DUMMYFUNCTION("""COMPUTED_VALUE"""),24.0)</f>
        <v>24</v>
      </c>
      <c r="AE258" s="131">
        <f>IFERROR(__xludf.DUMMYFUNCTION("""COMPUTED_VALUE"""),246.0)</f>
        <v>246</v>
      </c>
      <c r="AF258" s="131">
        <f>IFERROR(__xludf.DUMMYFUNCTION("""COMPUTED_VALUE"""),294.0)</f>
        <v>294</v>
      </c>
      <c r="AG258" s="131">
        <f>IFERROR(__xludf.DUMMYFUNCTION("""COMPUTED_VALUE"""),25.0)</f>
        <v>25</v>
      </c>
      <c r="AH258" s="131">
        <f>IFERROR(__xludf.DUMMYFUNCTION("""COMPUTED_VALUE"""),25.0)</f>
        <v>25</v>
      </c>
      <c r="AI258" s="131"/>
      <c r="AJ258" s="131"/>
      <c r="AK258" s="131"/>
    </row>
    <row r="259">
      <c r="A259" s="145" t="str">
        <f>IFERROR(__xludf.DUMMYFUNCTION("""COMPUTED_VALUE"""),"Y")</f>
        <v>Y</v>
      </c>
      <c r="B259" s="146" t="str">
        <f>IFERROR(__xludf.DUMMYFUNCTION("""COMPUTED_VALUE"""),"5")</f>
        <v>5</v>
      </c>
      <c r="C259" s="146"/>
      <c r="D259" s="147">
        <f>IFERROR(__xludf.DUMMYFUNCTION("""COMPUTED_VALUE"""),45699.0)</f>
        <v>45699</v>
      </c>
      <c r="E259" s="147">
        <f>IFERROR(__xludf.DUMMYFUNCTION("""COMPUTED_VALUE"""),45706.0)</f>
        <v>45706</v>
      </c>
      <c r="F259" s="147">
        <f>IFERROR(__xludf.DUMMYFUNCTION("""COMPUTED_VALUE"""),45727.0)</f>
        <v>45727</v>
      </c>
      <c r="G259" s="146" t="str">
        <f>IFERROR(__xludf.DUMMYFUNCTION("""COMPUTED_VALUE"""),"D35-3R")</f>
        <v>D35-3R</v>
      </c>
      <c r="H259" s="148">
        <f>IFERROR(__xludf.DUMMYFUNCTION("""COMPUTED_VALUE"""),349.0)</f>
        <v>349</v>
      </c>
      <c r="I259" s="148">
        <f>IFERROR(__xludf.DUMMYFUNCTION("""COMPUTED_VALUE"""),395.0)</f>
        <v>395</v>
      </c>
      <c r="J259" s="146">
        <f>IFERROR(__xludf.DUMMYFUNCTION("""COMPUTED_VALUE"""),24.0)</f>
        <v>24</v>
      </c>
      <c r="K259" s="146">
        <f>IFERROR(__xludf.DUMMYFUNCTION("""COMPUTED_VALUE"""),24.0)</f>
        <v>24</v>
      </c>
      <c r="L259" s="146">
        <f>IFERROR(__xludf.DUMMYFUNCTION("""COMPUTED_VALUE"""),246.0)</f>
        <v>246</v>
      </c>
      <c r="M259" s="146">
        <f>IFERROR(__xludf.DUMMYFUNCTION("""COMPUTED_VALUE"""),294.0)</f>
        <v>294</v>
      </c>
      <c r="N259" s="146">
        <f>IFERROR(__xludf.DUMMYFUNCTION("""COMPUTED_VALUE"""),25.0)</f>
        <v>25</v>
      </c>
      <c r="O259" s="146">
        <f>IFERROR(__xludf.DUMMYFUNCTION("""COMPUTED_VALUE"""),25.0)</f>
        <v>25</v>
      </c>
      <c r="P259" s="146"/>
      <c r="Q259" s="146"/>
      <c r="R259" s="146"/>
      <c r="T259" s="131" t="str">
        <f>IFERROR(__xludf.DUMMYFUNCTION("""COMPUTED_VALUE"""),"Y")</f>
        <v>Y</v>
      </c>
      <c r="U259" s="131" t="str">
        <f>IFERROR(__xludf.DUMMYFUNCTION("""COMPUTED_VALUE"""),"5")</f>
        <v>5</v>
      </c>
      <c r="V259" s="131"/>
      <c r="W259" s="144">
        <f>IFERROR(__xludf.DUMMYFUNCTION("""COMPUTED_VALUE"""),45699.0)</f>
        <v>45699</v>
      </c>
      <c r="X259" s="144">
        <f>IFERROR(__xludf.DUMMYFUNCTION("""COMPUTED_VALUE"""),45706.0)</f>
        <v>45706</v>
      </c>
      <c r="Y259" s="144">
        <f>IFERROR(__xludf.DUMMYFUNCTION("""COMPUTED_VALUE"""),45727.0)</f>
        <v>45727</v>
      </c>
      <c r="Z259" s="131" t="str">
        <f>IFERROR(__xludf.DUMMYFUNCTION("""COMPUTED_VALUE"""),"D35-3R")</f>
        <v>D35-3R</v>
      </c>
      <c r="AA259" s="131"/>
      <c r="AB259" s="131"/>
      <c r="AC259" s="131"/>
      <c r="AD259" s="131"/>
      <c r="AE259" s="131">
        <f>IFERROR(__xludf.DUMMYFUNCTION("""COMPUTED_VALUE"""),298.0)</f>
        <v>298</v>
      </c>
      <c r="AF259" s="131">
        <f>IFERROR(__xludf.DUMMYFUNCTION("""COMPUTED_VALUE"""),300.0)</f>
        <v>300</v>
      </c>
      <c r="AG259" s="131">
        <f>IFERROR(__xludf.DUMMYFUNCTION("""COMPUTED_VALUE"""),2.0)</f>
        <v>2</v>
      </c>
      <c r="AH259" s="131">
        <f>IFERROR(__xludf.DUMMYFUNCTION("""COMPUTED_VALUE"""),2.0)</f>
        <v>2</v>
      </c>
      <c r="AI259" s="131"/>
      <c r="AJ259" s="131"/>
      <c r="AK259" s="131"/>
    </row>
    <row r="260">
      <c r="A260" s="145" t="str">
        <f>IFERROR(__xludf.DUMMYFUNCTION("""COMPUTED_VALUE"""),"Y")</f>
        <v>Y</v>
      </c>
      <c r="B260" s="146" t="str">
        <f>IFERROR(__xludf.DUMMYFUNCTION("""COMPUTED_VALUE"""),"5")</f>
        <v>5</v>
      </c>
      <c r="C260" s="146"/>
      <c r="D260" s="147">
        <f>IFERROR(__xludf.DUMMYFUNCTION("""COMPUTED_VALUE"""),45699.0)</f>
        <v>45699</v>
      </c>
      <c r="E260" s="147">
        <f>IFERROR(__xludf.DUMMYFUNCTION("""COMPUTED_VALUE"""),45706.0)</f>
        <v>45706</v>
      </c>
      <c r="F260" s="147">
        <f>IFERROR(__xludf.DUMMYFUNCTION("""COMPUTED_VALUE"""),45727.0)</f>
        <v>45727</v>
      </c>
      <c r="G260" s="146" t="str">
        <f>IFERROR(__xludf.DUMMYFUNCTION("""COMPUTED_VALUE"""),"D35-3R")</f>
        <v>D35-3R</v>
      </c>
      <c r="H260" s="148"/>
      <c r="I260" s="148"/>
      <c r="J260" s="146"/>
      <c r="K260" s="146"/>
      <c r="L260" s="146">
        <f>IFERROR(__xludf.DUMMYFUNCTION("""COMPUTED_VALUE"""),298.0)</f>
        <v>298</v>
      </c>
      <c r="M260" s="146">
        <f>IFERROR(__xludf.DUMMYFUNCTION("""COMPUTED_VALUE"""),300.0)</f>
        <v>300</v>
      </c>
      <c r="N260" s="146">
        <f>IFERROR(__xludf.DUMMYFUNCTION("""COMPUTED_VALUE"""),2.0)</f>
        <v>2</v>
      </c>
      <c r="O260" s="146">
        <f>IFERROR(__xludf.DUMMYFUNCTION("""COMPUTED_VALUE"""),2.0)</f>
        <v>2</v>
      </c>
      <c r="P260" s="146"/>
      <c r="Q260" s="146"/>
      <c r="R260" s="146"/>
      <c r="T260" s="131" t="str">
        <f>IFERROR(__xludf.DUMMYFUNCTION("""COMPUTED_VALUE"""),"Y")</f>
        <v>Y</v>
      </c>
      <c r="U260" s="131" t="str">
        <f>IFERROR(__xludf.DUMMYFUNCTION("""COMPUTED_VALUE"""),"5")</f>
        <v>5</v>
      </c>
      <c r="V260" s="131"/>
      <c r="W260" s="144">
        <f>IFERROR(__xludf.DUMMYFUNCTION("""COMPUTED_VALUE"""),45699.0)</f>
        <v>45699</v>
      </c>
      <c r="X260" s="144">
        <f>IFERROR(__xludf.DUMMYFUNCTION("""COMPUTED_VALUE"""),45706.0)</f>
        <v>45706</v>
      </c>
      <c r="Y260" s="144">
        <f>IFERROR(__xludf.DUMMYFUNCTION("""COMPUTED_VALUE"""),45727.0)</f>
        <v>45727</v>
      </c>
      <c r="Z260" s="131" t="str">
        <f>IFERROR(__xludf.DUMMYFUNCTION("""COMPUTED_VALUE"""),"D35-3R")</f>
        <v>D35-3R</v>
      </c>
      <c r="AA260" s="131"/>
      <c r="AB260" s="131"/>
      <c r="AC260" s="131"/>
      <c r="AD260" s="131"/>
      <c r="AE260" s="131">
        <f>IFERROR(__xludf.DUMMYFUNCTION("""COMPUTED_VALUE"""),392.0)</f>
        <v>392</v>
      </c>
      <c r="AF260" s="131">
        <f>IFERROR(__xludf.DUMMYFUNCTION("""COMPUTED_VALUE"""),394.0)</f>
        <v>394</v>
      </c>
      <c r="AG260" s="131">
        <f>IFERROR(__xludf.DUMMYFUNCTION("""COMPUTED_VALUE"""),2.0)</f>
        <v>2</v>
      </c>
      <c r="AH260" s="131">
        <f>IFERROR(__xludf.DUMMYFUNCTION("""COMPUTED_VALUE"""),2.0)</f>
        <v>2</v>
      </c>
      <c r="AI260" s="131"/>
      <c r="AJ260" s="131"/>
      <c r="AK260" s="131"/>
    </row>
    <row r="261">
      <c r="A261" s="145" t="str">
        <f>IFERROR(__xludf.DUMMYFUNCTION("""COMPUTED_VALUE"""),"Y")</f>
        <v>Y</v>
      </c>
      <c r="B261" s="146" t="str">
        <f>IFERROR(__xludf.DUMMYFUNCTION("""COMPUTED_VALUE"""),"5")</f>
        <v>5</v>
      </c>
      <c r="C261" s="146"/>
      <c r="D261" s="147">
        <f>IFERROR(__xludf.DUMMYFUNCTION("""COMPUTED_VALUE"""),45699.0)</f>
        <v>45699</v>
      </c>
      <c r="E261" s="147">
        <f>IFERROR(__xludf.DUMMYFUNCTION("""COMPUTED_VALUE"""),45706.0)</f>
        <v>45706</v>
      </c>
      <c r="F261" s="147">
        <f>IFERROR(__xludf.DUMMYFUNCTION("""COMPUTED_VALUE"""),45727.0)</f>
        <v>45727</v>
      </c>
      <c r="G261" s="146" t="str">
        <f>IFERROR(__xludf.DUMMYFUNCTION("""COMPUTED_VALUE"""),"D35-3R")</f>
        <v>D35-3R</v>
      </c>
      <c r="H261" s="148"/>
      <c r="I261" s="148"/>
      <c r="J261" s="146"/>
      <c r="K261" s="146"/>
      <c r="L261" s="146">
        <f>IFERROR(__xludf.DUMMYFUNCTION("""COMPUTED_VALUE"""),392.0)</f>
        <v>392</v>
      </c>
      <c r="M261" s="146">
        <f>IFERROR(__xludf.DUMMYFUNCTION("""COMPUTED_VALUE"""),394.0)</f>
        <v>394</v>
      </c>
      <c r="N261" s="146">
        <f>IFERROR(__xludf.DUMMYFUNCTION("""COMPUTED_VALUE"""),2.0)</f>
        <v>2</v>
      </c>
      <c r="O261" s="146">
        <f>IFERROR(__xludf.DUMMYFUNCTION("""COMPUTED_VALUE"""),2.0)</f>
        <v>2</v>
      </c>
      <c r="P261" s="146"/>
      <c r="Q261" s="146"/>
      <c r="R261" s="146"/>
      <c r="T261" s="131" t="str">
        <f>IFERROR(__xludf.DUMMYFUNCTION("""COMPUTED_VALUE"""),"Y")</f>
        <v>Y</v>
      </c>
      <c r="U261" s="131" t="str">
        <f>IFERROR(__xludf.DUMMYFUNCTION("""COMPUTED_VALUE"""),"5")</f>
        <v>5</v>
      </c>
      <c r="V261" s="131"/>
      <c r="W261" s="144">
        <f>IFERROR(__xludf.DUMMYFUNCTION("""COMPUTED_VALUE"""),45699.0)</f>
        <v>45699</v>
      </c>
      <c r="X261" s="144">
        <f>IFERROR(__xludf.DUMMYFUNCTION("""COMPUTED_VALUE"""),45706.0)</f>
        <v>45706</v>
      </c>
      <c r="Y261" s="144">
        <f>IFERROR(__xludf.DUMMYFUNCTION("""COMPUTED_VALUE"""),45727.0)</f>
        <v>45727</v>
      </c>
      <c r="Z261" s="131" t="str">
        <f>IFERROR(__xludf.DUMMYFUNCTION("""COMPUTED_VALUE"""),"D41-4R")</f>
        <v>D41-4R</v>
      </c>
      <c r="AA261" s="131"/>
      <c r="AB261" s="131"/>
      <c r="AC261" s="131"/>
      <c r="AD261" s="131"/>
      <c r="AE261" s="131">
        <f>IFERROR(__xludf.DUMMYFUNCTION("""COMPUTED_VALUE"""),2.0)</f>
        <v>2</v>
      </c>
      <c r="AF261" s="131">
        <f>IFERROR(__xludf.DUMMYFUNCTION("""COMPUTED_VALUE"""),156.0)</f>
        <v>156</v>
      </c>
      <c r="AG261" s="131">
        <f>IFERROR(__xludf.DUMMYFUNCTION("""COMPUTED_VALUE"""),78.0)</f>
        <v>78</v>
      </c>
      <c r="AH261" s="131">
        <f>IFERROR(__xludf.DUMMYFUNCTION("""COMPUTED_VALUE"""),78.0)</f>
        <v>78</v>
      </c>
      <c r="AI261" s="131"/>
      <c r="AJ261" s="131"/>
      <c r="AK261" s="131"/>
    </row>
    <row r="262">
      <c r="A262" s="145" t="str">
        <f>IFERROR(__xludf.DUMMYFUNCTION("""COMPUTED_VALUE"""),"Y")</f>
        <v>Y</v>
      </c>
      <c r="B262" s="146" t="str">
        <f>IFERROR(__xludf.DUMMYFUNCTION("""COMPUTED_VALUE"""),"5")</f>
        <v>5</v>
      </c>
      <c r="C262" s="146"/>
      <c r="D262" s="147">
        <f>IFERROR(__xludf.DUMMYFUNCTION("""COMPUTED_VALUE"""),45699.0)</f>
        <v>45699</v>
      </c>
      <c r="E262" s="147">
        <f>IFERROR(__xludf.DUMMYFUNCTION("""COMPUTED_VALUE"""),45706.0)</f>
        <v>45706</v>
      </c>
      <c r="F262" s="147">
        <f>IFERROR(__xludf.DUMMYFUNCTION("""COMPUTED_VALUE"""),45727.0)</f>
        <v>45727</v>
      </c>
      <c r="G262" s="146" t="str">
        <f>IFERROR(__xludf.DUMMYFUNCTION("""COMPUTED_VALUE"""),"D41-4R")</f>
        <v>D41-4R</v>
      </c>
      <c r="H262" s="148"/>
      <c r="I262" s="148"/>
      <c r="J262" s="146"/>
      <c r="K262" s="146"/>
      <c r="L262" s="146">
        <f>IFERROR(__xludf.DUMMYFUNCTION("""COMPUTED_VALUE"""),2.0)</f>
        <v>2</v>
      </c>
      <c r="M262" s="146">
        <f>IFERROR(__xludf.DUMMYFUNCTION("""COMPUTED_VALUE"""),156.0)</f>
        <v>156</v>
      </c>
      <c r="N262" s="146">
        <f>IFERROR(__xludf.DUMMYFUNCTION("""COMPUTED_VALUE"""),78.0)</f>
        <v>78</v>
      </c>
      <c r="O262" s="146">
        <f>IFERROR(__xludf.DUMMYFUNCTION("""COMPUTED_VALUE"""),78.0)</f>
        <v>78</v>
      </c>
      <c r="P262" s="146"/>
      <c r="Q262" s="146"/>
      <c r="R262" s="146"/>
      <c r="T262" s="131" t="str">
        <f>IFERROR(__xludf.DUMMYFUNCTION("""COMPUTED_VALUE"""),"Y")</f>
        <v>Y</v>
      </c>
      <c r="U262" s="131" t="str">
        <f>IFERROR(__xludf.DUMMYFUNCTION("""COMPUTED_VALUE"""),"5")</f>
        <v>5</v>
      </c>
      <c r="V262" s="131"/>
      <c r="W262" s="144">
        <f>IFERROR(__xludf.DUMMYFUNCTION("""COMPUTED_VALUE"""),45699.0)</f>
        <v>45699</v>
      </c>
      <c r="X262" s="144">
        <f>IFERROR(__xludf.DUMMYFUNCTION("""COMPUTED_VALUE"""),45706.0)</f>
        <v>45706</v>
      </c>
      <c r="Y262" s="144">
        <f>IFERROR(__xludf.DUMMYFUNCTION("""COMPUTED_VALUE"""),45727.0)</f>
        <v>45727</v>
      </c>
      <c r="Z262" s="131" t="str">
        <f>IFERROR(__xludf.DUMMYFUNCTION("""COMPUTED_VALUE"""),"BRG11")</f>
        <v>BRG11</v>
      </c>
      <c r="AA262" s="131">
        <f>IFERROR(__xludf.DUMMYFUNCTION("""COMPUTED_VALUE"""),773.0)</f>
        <v>773</v>
      </c>
      <c r="AB262" s="131">
        <f>IFERROR(__xludf.DUMMYFUNCTION("""COMPUTED_VALUE"""),799.0)</f>
        <v>799</v>
      </c>
      <c r="AC262" s="131">
        <f>IFERROR(__xludf.DUMMYFUNCTION("""COMPUTED_VALUE"""),14.0)</f>
        <v>14</v>
      </c>
      <c r="AD262" s="131">
        <f>IFERROR(__xludf.DUMMYFUNCTION("""COMPUTED_VALUE"""),14.0)</f>
        <v>14</v>
      </c>
      <c r="AE262" s="131">
        <f>IFERROR(__xludf.DUMMYFUNCTION("""COMPUTED_VALUE"""),640.0)</f>
        <v>640</v>
      </c>
      <c r="AF262" s="131">
        <f>IFERROR(__xludf.DUMMYFUNCTION("""COMPUTED_VALUE"""),710.0)</f>
        <v>710</v>
      </c>
      <c r="AG262" s="131">
        <f>IFERROR(__xludf.DUMMYFUNCTION("""COMPUTED_VALUE"""),36.0)</f>
        <v>36</v>
      </c>
      <c r="AH262" s="131">
        <f>IFERROR(__xludf.DUMMYFUNCTION("""COMPUTED_VALUE"""),36.0)</f>
        <v>36</v>
      </c>
      <c r="AI262" s="131">
        <f>IFERROR(__xludf.DUMMYFUNCTION("""COMPUTED_VALUE"""),182.0)</f>
        <v>182</v>
      </c>
      <c r="AJ262" s="131"/>
      <c r="AK262" s="131"/>
    </row>
    <row r="263">
      <c r="A263" s="145" t="str">
        <f>IFERROR(__xludf.DUMMYFUNCTION("""COMPUTED_VALUE"""),"Y")</f>
        <v>Y</v>
      </c>
      <c r="B263" s="146" t="str">
        <f>IFERROR(__xludf.DUMMYFUNCTION("""COMPUTED_VALUE"""),"5")</f>
        <v>5</v>
      </c>
      <c r="C263" s="146"/>
      <c r="D263" s="147">
        <f>IFERROR(__xludf.DUMMYFUNCTION("""COMPUTED_VALUE"""),45699.0)</f>
        <v>45699</v>
      </c>
      <c r="E263" s="147">
        <f>IFERROR(__xludf.DUMMYFUNCTION("""COMPUTED_VALUE"""),45706.0)</f>
        <v>45706</v>
      </c>
      <c r="F263" s="147">
        <f>IFERROR(__xludf.DUMMYFUNCTION("""COMPUTED_VALUE"""),45727.0)</f>
        <v>45727</v>
      </c>
      <c r="G263" s="146" t="str">
        <f>IFERROR(__xludf.DUMMYFUNCTION("""COMPUTED_VALUE"""),"BRG11")</f>
        <v>BRG11</v>
      </c>
      <c r="H263" s="148">
        <f>IFERROR(__xludf.DUMMYFUNCTION("""COMPUTED_VALUE"""),773.0)</f>
        <v>773</v>
      </c>
      <c r="I263" s="148">
        <f>IFERROR(__xludf.DUMMYFUNCTION("""COMPUTED_VALUE"""),799.0)</f>
        <v>799</v>
      </c>
      <c r="J263" s="146">
        <f>IFERROR(__xludf.DUMMYFUNCTION("""COMPUTED_VALUE"""),14.0)</f>
        <v>14</v>
      </c>
      <c r="K263" s="146">
        <f>IFERROR(__xludf.DUMMYFUNCTION("""COMPUTED_VALUE"""),14.0)</f>
        <v>14</v>
      </c>
      <c r="L263" s="146">
        <f>IFERROR(__xludf.DUMMYFUNCTION("""COMPUTED_VALUE"""),640.0)</f>
        <v>640</v>
      </c>
      <c r="M263" s="146">
        <f>IFERROR(__xludf.DUMMYFUNCTION("""COMPUTED_VALUE"""),710.0)</f>
        <v>710</v>
      </c>
      <c r="N263" s="146">
        <f>IFERROR(__xludf.DUMMYFUNCTION("""COMPUTED_VALUE"""),36.0)</f>
        <v>36</v>
      </c>
      <c r="O263" s="146">
        <f>IFERROR(__xludf.DUMMYFUNCTION("""COMPUTED_VALUE"""),36.0)</f>
        <v>36</v>
      </c>
      <c r="P263" s="146">
        <f>IFERROR(__xludf.DUMMYFUNCTION("""COMPUTED_VALUE"""),182.0)</f>
        <v>182</v>
      </c>
      <c r="Q263" s="146"/>
      <c r="R263" s="146"/>
      <c r="T263" s="131" t="str">
        <f>IFERROR(__xludf.DUMMYFUNCTION("""COMPUTED_VALUE"""),"Y")</f>
        <v>Y</v>
      </c>
      <c r="U263" s="131" t="str">
        <f>IFERROR(__xludf.DUMMYFUNCTION("""COMPUTED_VALUE"""),"5")</f>
        <v>5</v>
      </c>
      <c r="V263" s="131"/>
      <c r="W263" s="144">
        <f>IFERROR(__xludf.DUMMYFUNCTION("""COMPUTED_VALUE"""),45699.0)</f>
        <v>45699</v>
      </c>
      <c r="X263" s="144">
        <f>IFERROR(__xludf.DUMMYFUNCTION("""COMPUTED_VALUE"""),45706.0)</f>
        <v>45706</v>
      </c>
      <c r="Y263" s="144">
        <f>IFERROR(__xludf.DUMMYFUNCTION("""COMPUTED_VALUE"""),45727.0)</f>
        <v>45727</v>
      </c>
      <c r="Z263" s="131" t="str">
        <f>IFERROR(__xludf.DUMMYFUNCTION("""COMPUTED_VALUE"""),"DC35")</f>
        <v>DC35</v>
      </c>
      <c r="AA263" s="131">
        <f>IFERROR(__xludf.DUMMYFUNCTION("""COMPUTED_VALUE"""),143.0)</f>
        <v>143</v>
      </c>
      <c r="AB263" s="131">
        <f>IFERROR(__xludf.DUMMYFUNCTION("""COMPUTED_VALUE"""),151.0)</f>
        <v>151</v>
      </c>
      <c r="AC263" s="131">
        <f>IFERROR(__xludf.DUMMYFUNCTION("""COMPUTED_VALUE"""),5.0)</f>
        <v>5</v>
      </c>
      <c r="AD263" s="131">
        <f>IFERROR(__xludf.DUMMYFUNCTION("""COMPUTED_VALUE"""),5.0)</f>
        <v>5</v>
      </c>
      <c r="AE263" s="131">
        <f>IFERROR(__xludf.DUMMYFUNCTION("""COMPUTED_VALUE"""),104.0)</f>
        <v>104</v>
      </c>
      <c r="AF263" s="131">
        <f>IFERROR(__xludf.DUMMYFUNCTION("""COMPUTED_VALUE"""),140.0)</f>
        <v>140</v>
      </c>
      <c r="AG263" s="131">
        <f>IFERROR(__xludf.DUMMYFUNCTION("""COMPUTED_VALUE"""),19.0)</f>
        <v>19</v>
      </c>
      <c r="AH263" s="131">
        <f>IFERROR(__xludf.DUMMYFUNCTION("""COMPUTED_VALUE"""),19.0)</f>
        <v>19</v>
      </c>
      <c r="AI263" s="131">
        <f>IFERROR(__xludf.DUMMYFUNCTION("""COMPUTED_VALUE"""),179.0)</f>
        <v>179</v>
      </c>
      <c r="AJ263" s="131"/>
      <c r="AK263" s="131"/>
    </row>
    <row r="264">
      <c r="A264" s="145" t="str">
        <f>IFERROR(__xludf.DUMMYFUNCTION("""COMPUTED_VALUE"""),"Y")</f>
        <v>Y</v>
      </c>
      <c r="B264" s="146" t="str">
        <f>IFERROR(__xludf.DUMMYFUNCTION("""COMPUTED_VALUE"""),"5")</f>
        <v>5</v>
      </c>
      <c r="C264" s="146"/>
      <c r="D264" s="147">
        <f>IFERROR(__xludf.DUMMYFUNCTION("""COMPUTED_VALUE"""),45699.0)</f>
        <v>45699</v>
      </c>
      <c r="E264" s="147">
        <f>IFERROR(__xludf.DUMMYFUNCTION("""COMPUTED_VALUE"""),45706.0)</f>
        <v>45706</v>
      </c>
      <c r="F264" s="147">
        <f>IFERROR(__xludf.DUMMYFUNCTION("""COMPUTED_VALUE"""),45727.0)</f>
        <v>45727</v>
      </c>
      <c r="G264" s="146" t="str">
        <f>IFERROR(__xludf.DUMMYFUNCTION("""COMPUTED_VALUE"""),"DC35")</f>
        <v>DC35</v>
      </c>
      <c r="H264" s="148">
        <f>IFERROR(__xludf.DUMMYFUNCTION("""COMPUTED_VALUE"""),143.0)</f>
        <v>143</v>
      </c>
      <c r="I264" s="148">
        <f>IFERROR(__xludf.DUMMYFUNCTION("""COMPUTED_VALUE"""),151.0)</f>
        <v>151</v>
      </c>
      <c r="J264" s="146">
        <f>IFERROR(__xludf.DUMMYFUNCTION("""COMPUTED_VALUE"""),5.0)</f>
        <v>5</v>
      </c>
      <c r="K264" s="146">
        <f>IFERROR(__xludf.DUMMYFUNCTION("""COMPUTED_VALUE"""),5.0)</f>
        <v>5</v>
      </c>
      <c r="L264" s="146">
        <f>IFERROR(__xludf.DUMMYFUNCTION("""COMPUTED_VALUE"""),104.0)</f>
        <v>104</v>
      </c>
      <c r="M264" s="146">
        <f>IFERROR(__xludf.DUMMYFUNCTION("""COMPUTED_VALUE"""),140.0)</f>
        <v>140</v>
      </c>
      <c r="N264" s="146">
        <f>IFERROR(__xludf.DUMMYFUNCTION("""COMPUTED_VALUE"""),19.0)</f>
        <v>19</v>
      </c>
      <c r="O264" s="146">
        <f>IFERROR(__xludf.DUMMYFUNCTION("""COMPUTED_VALUE"""),19.0)</f>
        <v>19</v>
      </c>
      <c r="P264" s="146">
        <f>IFERROR(__xludf.DUMMYFUNCTION("""COMPUTED_VALUE"""),179.0)</f>
        <v>179</v>
      </c>
      <c r="Q264" s="146"/>
      <c r="R264" s="146"/>
      <c r="T264" s="131" t="str">
        <f>IFERROR(__xludf.DUMMYFUNCTION("""COMPUTED_VALUE"""),"Y")</f>
        <v>Y</v>
      </c>
      <c r="U264" s="131" t="str">
        <f>IFERROR(__xludf.DUMMYFUNCTION("""COMPUTED_VALUE"""),"5")</f>
        <v>5</v>
      </c>
      <c r="V264" s="131"/>
      <c r="W264" s="144">
        <f>IFERROR(__xludf.DUMMYFUNCTION("""COMPUTED_VALUE"""),45699.0)</f>
        <v>45699</v>
      </c>
      <c r="X264" s="144">
        <f>IFERROR(__xludf.DUMMYFUNCTION("""COMPUTED_VALUE"""),45706.0)</f>
        <v>45706</v>
      </c>
      <c r="Y264" s="144">
        <f>IFERROR(__xludf.DUMMYFUNCTION("""COMPUTED_VALUE"""),45727.0)</f>
        <v>45727</v>
      </c>
      <c r="Z264" s="131" t="str">
        <f>IFERROR(__xludf.DUMMYFUNCTION("""COMPUTED_VALUE"""),"DC35")</f>
        <v>DC35</v>
      </c>
      <c r="AA264" s="131">
        <f>IFERROR(__xludf.DUMMYFUNCTION("""COMPUTED_VALUE"""),157.0)</f>
        <v>157</v>
      </c>
      <c r="AB264" s="131">
        <f>IFERROR(__xludf.DUMMYFUNCTION("""COMPUTED_VALUE"""),163.0)</f>
        <v>163</v>
      </c>
      <c r="AC264" s="131">
        <f>IFERROR(__xludf.DUMMYFUNCTION("""COMPUTED_VALUE"""),4.0)</f>
        <v>4</v>
      </c>
      <c r="AD264" s="131">
        <f>IFERROR(__xludf.DUMMYFUNCTION("""COMPUTED_VALUE"""),4.0)</f>
        <v>4</v>
      </c>
      <c r="AE264" s="131">
        <f>IFERROR(__xludf.DUMMYFUNCTION("""COMPUTED_VALUE"""),166.0)</f>
        <v>166</v>
      </c>
      <c r="AF264" s="131">
        <f>IFERROR(__xludf.DUMMYFUNCTION("""COMPUTED_VALUE"""),182.0)</f>
        <v>182</v>
      </c>
      <c r="AG264" s="131">
        <f>IFERROR(__xludf.DUMMYFUNCTION("""COMPUTED_VALUE"""),9.0)</f>
        <v>9</v>
      </c>
      <c r="AH264" s="131">
        <f>IFERROR(__xludf.DUMMYFUNCTION("""COMPUTED_VALUE"""),9.0)</f>
        <v>9</v>
      </c>
      <c r="AI264" s="131">
        <f>IFERROR(__xludf.DUMMYFUNCTION("""COMPUTED_VALUE"""),179.0)</f>
        <v>179</v>
      </c>
      <c r="AJ264" s="131"/>
      <c r="AK264" s="131"/>
    </row>
    <row r="265">
      <c r="A265" s="145" t="str">
        <f>IFERROR(__xludf.DUMMYFUNCTION("""COMPUTED_VALUE"""),"Y")</f>
        <v>Y</v>
      </c>
      <c r="B265" s="146" t="str">
        <f>IFERROR(__xludf.DUMMYFUNCTION("""COMPUTED_VALUE"""),"5")</f>
        <v>5</v>
      </c>
      <c r="C265" s="146"/>
      <c r="D265" s="147">
        <f>IFERROR(__xludf.DUMMYFUNCTION("""COMPUTED_VALUE"""),45699.0)</f>
        <v>45699</v>
      </c>
      <c r="E265" s="147">
        <f>IFERROR(__xludf.DUMMYFUNCTION("""COMPUTED_VALUE"""),45706.0)</f>
        <v>45706</v>
      </c>
      <c r="F265" s="147">
        <f>IFERROR(__xludf.DUMMYFUNCTION("""COMPUTED_VALUE"""),45727.0)</f>
        <v>45727</v>
      </c>
      <c r="G265" s="146" t="str">
        <f>IFERROR(__xludf.DUMMYFUNCTION("""COMPUTED_VALUE"""),"DC35")</f>
        <v>DC35</v>
      </c>
      <c r="H265" s="148">
        <f>IFERROR(__xludf.DUMMYFUNCTION("""COMPUTED_VALUE"""),157.0)</f>
        <v>157</v>
      </c>
      <c r="I265" s="148">
        <f>IFERROR(__xludf.DUMMYFUNCTION("""COMPUTED_VALUE"""),163.0)</f>
        <v>163</v>
      </c>
      <c r="J265" s="146">
        <f>IFERROR(__xludf.DUMMYFUNCTION("""COMPUTED_VALUE"""),4.0)</f>
        <v>4</v>
      </c>
      <c r="K265" s="146">
        <f>IFERROR(__xludf.DUMMYFUNCTION("""COMPUTED_VALUE"""),4.0)</f>
        <v>4</v>
      </c>
      <c r="L265" s="146">
        <f>IFERROR(__xludf.DUMMYFUNCTION("""COMPUTED_VALUE"""),166.0)</f>
        <v>166</v>
      </c>
      <c r="M265" s="146">
        <f>IFERROR(__xludf.DUMMYFUNCTION("""COMPUTED_VALUE"""),182.0)</f>
        <v>182</v>
      </c>
      <c r="N265" s="146">
        <f>IFERROR(__xludf.DUMMYFUNCTION("""COMPUTED_VALUE"""),9.0)</f>
        <v>9</v>
      </c>
      <c r="O265" s="146">
        <f>IFERROR(__xludf.DUMMYFUNCTION("""COMPUTED_VALUE"""),9.0)</f>
        <v>9</v>
      </c>
      <c r="P265" s="146">
        <f>IFERROR(__xludf.DUMMYFUNCTION("""COMPUTED_VALUE"""),179.0)</f>
        <v>179</v>
      </c>
      <c r="Q265" s="146"/>
      <c r="R265" s="146"/>
      <c r="T265" s="131" t="str">
        <f>IFERROR(__xludf.DUMMYFUNCTION("""COMPUTED_VALUE"""),"Y")</f>
        <v>Y</v>
      </c>
      <c r="U265" s="131" t="str">
        <f>IFERROR(__xludf.DUMMYFUNCTION("""COMPUTED_VALUE"""),"5")</f>
        <v>5</v>
      </c>
      <c r="V265" s="131"/>
      <c r="W265" s="144">
        <f>IFERROR(__xludf.DUMMYFUNCTION("""COMPUTED_VALUE"""),45699.0)</f>
        <v>45699</v>
      </c>
      <c r="X265" s="144">
        <f>IFERROR(__xludf.DUMMYFUNCTION("""COMPUTED_VALUE"""),45706.0)</f>
        <v>45706</v>
      </c>
      <c r="Y265" s="144">
        <f>IFERROR(__xludf.DUMMYFUNCTION("""COMPUTED_VALUE"""),45727.0)</f>
        <v>45727</v>
      </c>
      <c r="Z265" s="131" t="str">
        <f>IFERROR(__xludf.DUMMYFUNCTION("""COMPUTED_VALUE"""),"DC35")</f>
        <v>DC35</v>
      </c>
      <c r="AA265" s="131">
        <f>IFERROR(__xludf.DUMMYFUNCTION("""COMPUTED_VALUE"""),185.0)</f>
        <v>185</v>
      </c>
      <c r="AB265" s="131">
        <f>IFERROR(__xludf.DUMMYFUNCTION("""COMPUTED_VALUE"""),211.0)</f>
        <v>211</v>
      </c>
      <c r="AC265" s="131">
        <f>IFERROR(__xludf.DUMMYFUNCTION("""COMPUTED_VALUE"""),14.0)</f>
        <v>14</v>
      </c>
      <c r="AD265" s="131">
        <f>IFERROR(__xludf.DUMMYFUNCTION("""COMPUTED_VALUE"""),14.0)</f>
        <v>14</v>
      </c>
      <c r="AE265" s="131"/>
      <c r="AF265" s="131"/>
      <c r="AG265" s="131"/>
      <c r="AH265" s="131"/>
      <c r="AI265" s="131">
        <f>IFERROR(__xludf.DUMMYFUNCTION("""COMPUTED_VALUE"""),179.0)</f>
        <v>179</v>
      </c>
      <c r="AJ265" s="131"/>
      <c r="AK265" s="131"/>
    </row>
    <row r="266">
      <c r="A266" s="145" t="str">
        <f>IFERROR(__xludf.DUMMYFUNCTION("""COMPUTED_VALUE"""),"Y")</f>
        <v>Y</v>
      </c>
      <c r="B266" s="146" t="str">
        <f>IFERROR(__xludf.DUMMYFUNCTION("""COMPUTED_VALUE"""),"5")</f>
        <v>5</v>
      </c>
      <c r="C266" s="146"/>
      <c r="D266" s="147">
        <f>IFERROR(__xludf.DUMMYFUNCTION("""COMPUTED_VALUE"""),45699.0)</f>
        <v>45699</v>
      </c>
      <c r="E266" s="147">
        <f>IFERROR(__xludf.DUMMYFUNCTION("""COMPUTED_VALUE"""),45706.0)</f>
        <v>45706</v>
      </c>
      <c r="F266" s="147">
        <f>IFERROR(__xludf.DUMMYFUNCTION("""COMPUTED_VALUE"""),45727.0)</f>
        <v>45727</v>
      </c>
      <c r="G266" s="146" t="str">
        <f>IFERROR(__xludf.DUMMYFUNCTION("""COMPUTED_VALUE"""),"DC35")</f>
        <v>DC35</v>
      </c>
      <c r="H266" s="148">
        <f>IFERROR(__xludf.DUMMYFUNCTION("""COMPUTED_VALUE"""),185.0)</f>
        <v>185</v>
      </c>
      <c r="I266" s="148">
        <f>IFERROR(__xludf.DUMMYFUNCTION("""COMPUTED_VALUE"""),211.0)</f>
        <v>211</v>
      </c>
      <c r="J266" s="146">
        <f>IFERROR(__xludf.DUMMYFUNCTION("""COMPUTED_VALUE"""),14.0)</f>
        <v>14</v>
      </c>
      <c r="K266" s="146">
        <f>IFERROR(__xludf.DUMMYFUNCTION("""COMPUTED_VALUE"""),14.0)</f>
        <v>14</v>
      </c>
      <c r="L266" s="146"/>
      <c r="M266" s="146"/>
      <c r="N266" s="146"/>
      <c r="O266" s="146"/>
      <c r="P266" s="146">
        <f>IFERROR(__xludf.DUMMYFUNCTION("""COMPUTED_VALUE"""),179.0)</f>
        <v>179</v>
      </c>
      <c r="Q266" s="146"/>
      <c r="R266" s="146"/>
      <c r="T266" s="131" t="str">
        <f>IFERROR(__xludf.DUMMYFUNCTION("""COMPUTED_VALUE"""),"Y")</f>
        <v>Y</v>
      </c>
      <c r="U266" s="131" t="str">
        <f>IFERROR(__xludf.DUMMYFUNCTION("""COMPUTED_VALUE"""),"5")</f>
        <v>5</v>
      </c>
      <c r="V266" s="131"/>
      <c r="W266" s="144">
        <f>IFERROR(__xludf.DUMMYFUNCTION("""COMPUTED_VALUE"""),45700.0)</f>
        <v>45700</v>
      </c>
      <c r="X266" s="144">
        <f>IFERROR(__xludf.DUMMYFUNCTION("""COMPUTED_VALUE"""),45707.0)</f>
        <v>45707</v>
      </c>
      <c r="Y266" s="144">
        <f>IFERROR(__xludf.DUMMYFUNCTION("""COMPUTED_VALUE"""),45728.0)</f>
        <v>45728</v>
      </c>
      <c r="Z266" s="131" t="str">
        <f>IFERROR(__xludf.DUMMYFUNCTION("""COMPUTED_VALUE"""),"D41-4R")</f>
        <v>D41-4R</v>
      </c>
      <c r="AA266" s="131">
        <f>IFERROR(__xludf.DUMMYFUNCTION("""COMPUTED_VALUE"""),1.0)</f>
        <v>1</v>
      </c>
      <c r="AB266" s="131">
        <f>IFERROR(__xludf.DUMMYFUNCTION("""COMPUTED_VALUE"""),155.0)</f>
        <v>155</v>
      </c>
      <c r="AC266" s="131">
        <f>IFERROR(__xludf.DUMMYFUNCTION("""COMPUTED_VALUE"""),78.0)</f>
        <v>78</v>
      </c>
      <c r="AD266" s="131">
        <f>IFERROR(__xludf.DUMMYFUNCTION("""COMPUTED_VALUE"""),78.0)</f>
        <v>78</v>
      </c>
      <c r="AE266" s="131">
        <f>IFERROR(__xludf.DUMMYFUNCTION("""COMPUTED_VALUE"""),158.0)</f>
        <v>158</v>
      </c>
      <c r="AF266" s="131">
        <f>IFERROR(__xludf.DUMMYFUNCTION("""COMPUTED_VALUE"""),190.0)</f>
        <v>190</v>
      </c>
      <c r="AG266" s="131">
        <f>IFERROR(__xludf.DUMMYFUNCTION("""COMPUTED_VALUE"""),17.0)</f>
        <v>17</v>
      </c>
      <c r="AH266" s="131">
        <f>IFERROR(__xludf.DUMMYFUNCTION("""COMPUTED_VALUE"""),17.0)</f>
        <v>17</v>
      </c>
      <c r="AI266" s="131"/>
      <c r="AJ266" s="131"/>
      <c r="AK266" s="131"/>
    </row>
    <row r="267">
      <c r="A267" s="145" t="str">
        <f>IFERROR(__xludf.DUMMYFUNCTION("""COMPUTED_VALUE"""),"Y")</f>
        <v>Y</v>
      </c>
      <c r="B267" s="146" t="str">
        <f>IFERROR(__xludf.DUMMYFUNCTION("""COMPUTED_VALUE"""),"5")</f>
        <v>5</v>
      </c>
      <c r="C267" s="146"/>
      <c r="D267" s="147">
        <f>IFERROR(__xludf.DUMMYFUNCTION("""COMPUTED_VALUE"""),45700.0)</f>
        <v>45700</v>
      </c>
      <c r="E267" s="147">
        <f>IFERROR(__xludf.DUMMYFUNCTION("""COMPUTED_VALUE"""),45707.0)</f>
        <v>45707</v>
      </c>
      <c r="F267" s="147">
        <f>IFERROR(__xludf.DUMMYFUNCTION("""COMPUTED_VALUE"""),45728.0)</f>
        <v>45728</v>
      </c>
      <c r="G267" s="146" t="str">
        <f>IFERROR(__xludf.DUMMYFUNCTION("""COMPUTED_VALUE"""),"D41-4R")</f>
        <v>D41-4R</v>
      </c>
      <c r="H267" s="148">
        <f>IFERROR(__xludf.DUMMYFUNCTION("""COMPUTED_VALUE"""),1.0)</f>
        <v>1</v>
      </c>
      <c r="I267" s="148">
        <f>IFERROR(__xludf.DUMMYFUNCTION("""COMPUTED_VALUE"""),155.0)</f>
        <v>155</v>
      </c>
      <c r="J267" s="146">
        <f>IFERROR(__xludf.DUMMYFUNCTION("""COMPUTED_VALUE"""),78.0)</f>
        <v>78</v>
      </c>
      <c r="K267" s="146">
        <f>IFERROR(__xludf.DUMMYFUNCTION("""COMPUTED_VALUE"""),78.0)</f>
        <v>78</v>
      </c>
      <c r="L267" s="146">
        <f>IFERROR(__xludf.DUMMYFUNCTION("""COMPUTED_VALUE"""),158.0)</f>
        <v>158</v>
      </c>
      <c r="M267" s="146">
        <f>IFERROR(__xludf.DUMMYFUNCTION("""COMPUTED_VALUE"""),190.0)</f>
        <v>190</v>
      </c>
      <c r="N267" s="146">
        <f>IFERROR(__xludf.DUMMYFUNCTION("""COMPUTED_VALUE"""),17.0)</f>
        <v>17</v>
      </c>
      <c r="O267" s="146">
        <f>IFERROR(__xludf.DUMMYFUNCTION("""COMPUTED_VALUE"""),17.0)</f>
        <v>17</v>
      </c>
      <c r="P267" s="146"/>
      <c r="Q267" s="146"/>
      <c r="R267" s="146"/>
      <c r="T267" s="131" t="str">
        <f>IFERROR(__xludf.DUMMYFUNCTION("""COMPUTED_VALUE"""),"Y")</f>
        <v>Y</v>
      </c>
      <c r="U267" s="131" t="str">
        <f>IFERROR(__xludf.DUMMYFUNCTION("""COMPUTED_VALUE"""),"5")</f>
        <v>5</v>
      </c>
      <c r="V267" s="131"/>
      <c r="W267" s="144">
        <f>IFERROR(__xludf.DUMMYFUNCTION("""COMPUTED_VALUE"""),45700.0)</f>
        <v>45700</v>
      </c>
      <c r="X267" s="144">
        <f>IFERROR(__xludf.DUMMYFUNCTION("""COMPUTED_VALUE"""),45707.0)</f>
        <v>45707</v>
      </c>
      <c r="Y267" s="144">
        <f>IFERROR(__xludf.DUMMYFUNCTION("""COMPUTED_VALUE"""),45728.0)</f>
        <v>45728</v>
      </c>
      <c r="Z267" s="131" t="str">
        <f>IFERROR(__xludf.DUMMYFUNCTION("""COMPUTED_VALUE"""),"D41-4R")</f>
        <v>D41-4R</v>
      </c>
      <c r="AA267" s="131">
        <f>IFERROR(__xludf.DUMMYFUNCTION("""COMPUTED_VALUE"""),219.0)</f>
        <v>219</v>
      </c>
      <c r="AB267" s="131">
        <f>IFERROR(__xludf.DUMMYFUNCTION("""COMPUTED_VALUE"""),231.0)</f>
        <v>231</v>
      </c>
      <c r="AC267" s="131">
        <f>IFERROR(__xludf.DUMMYFUNCTION("""COMPUTED_VALUE"""),7.0)</f>
        <v>7</v>
      </c>
      <c r="AD267" s="131">
        <f>IFERROR(__xludf.DUMMYFUNCTION("""COMPUTED_VALUE"""),7.0)</f>
        <v>7</v>
      </c>
      <c r="AE267" s="131">
        <f>IFERROR(__xludf.DUMMYFUNCTION("""COMPUTED_VALUE"""),218.0)</f>
        <v>218</v>
      </c>
      <c r="AF267" s="131">
        <f>IFERROR(__xludf.DUMMYFUNCTION("""COMPUTED_VALUE"""),232.0)</f>
        <v>232</v>
      </c>
      <c r="AG267" s="131">
        <f>IFERROR(__xludf.DUMMYFUNCTION("""COMPUTED_VALUE"""),8.0)</f>
        <v>8</v>
      </c>
      <c r="AH267" s="131">
        <f>IFERROR(__xludf.DUMMYFUNCTION("""COMPUTED_VALUE"""),8.0)</f>
        <v>8</v>
      </c>
      <c r="AI267" s="131"/>
      <c r="AJ267" s="131"/>
      <c r="AK267" s="131"/>
    </row>
    <row r="268">
      <c r="A268" s="145" t="str">
        <f>IFERROR(__xludf.DUMMYFUNCTION("""COMPUTED_VALUE"""),"Y")</f>
        <v>Y</v>
      </c>
      <c r="B268" s="146" t="str">
        <f>IFERROR(__xludf.DUMMYFUNCTION("""COMPUTED_VALUE"""),"5")</f>
        <v>5</v>
      </c>
      <c r="C268" s="146"/>
      <c r="D268" s="147">
        <f>IFERROR(__xludf.DUMMYFUNCTION("""COMPUTED_VALUE"""),45700.0)</f>
        <v>45700</v>
      </c>
      <c r="E268" s="147">
        <f>IFERROR(__xludf.DUMMYFUNCTION("""COMPUTED_VALUE"""),45707.0)</f>
        <v>45707</v>
      </c>
      <c r="F268" s="147">
        <f>IFERROR(__xludf.DUMMYFUNCTION("""COMPUTED_VALUE"""),45728.0)</f>
        <v>45728</v>
      </c>
      <c r="G268" s="146" t="str">
        <f>IFERROR(__xludf.DUMMYFUNCTION("""COMPUTED_VALUE"""),"D41-4R")</f>
        <v>D41-4R</v>
      </c>
      <c r="H268" s="148">
        <f>IFERROR(__xludf.DUMMYFUNCTION("""COMPUTED_VALUE"""),219.0)</f>
        <v>219</v>
      </c>
      <c r="I268" s="148">
        <f>IFERROR(__xludf.DUMMYFUNCTION("""COMPUTED_VALUE"""),231.0)</f>
        <v>231</v>
      </c>
      <c r="J268" s="146">
        <f>IFERROR(__xludf.DUMMYFUNCTION("""COMPUTED_VALUE"""),7.0)</f>
        <v>7</v>
      </c>
      <c r="K268" s="146">
        <f>IFERROR(__xludf.DUMMYFUNCTION("""COMPUTED_VALUE"""),7.0)</f>
        <v>7</v>
      </c>
      <c r="L268" s="146">
        <f>IFERROR(__xludf.DUMMYFUNCTION("""COMPUTED_VALUE"""),218.0)</f>
        <v>218</v>
      </c>
      <c r="M268" s="146">
        <f>IFERROR(__xludf.DUMMYFUNCTION("""COMPUTED_VALUE"""),232.0)</f>
        <v>232</v>
      </c>
      <c r="N268" s="146">
        <f>IFERROR(__xludf.DUMMYFUNCTION("""COMPUTED_VALUE"""),8.0)</f>
        <v>8</v>
      </c>
      <c r="O268" s="146">
        <f>IFERROR(__xludf.DUMMYFUNCTION("""COMPUTED_VALUE"""),8.0)</f>
        <v>8</v>
      </c>
      <c r="P268" s="146"/>
      <c r="Q268" s="146"/>
      <c r="R268" s="146"/>
      <c r="T268" s="131" t="str">
        <f>IFERROR(__xludf.DUMMYFUNCTION("""COMPUTED_VALUE"""),"Y")</f>
        <v>Y</v>
      </c>
      <c r="U268" s="131" t="str">
        <f>IFERROR(__xludf.DUMMYFUNCTION("""COMPUTED_VALUE"""),"5")</f>
        <v>5</v>
      </c>
      <c r="V268" s="131"/>
      <c r="W268" s="144">
        <f>IFERROR(__xludf.DUMMYFUNCTION("""COMPUTED_VALUE"""),45700.0)</f>
        <v>45700</v>
      </c>
      <c r="X268" s="144">
        <f>IFERROR(__xludf.DUMMYFUNCTION("""COMPUTED_VALUE"""),45707.0)</f>
        <v>45707</v>
      </c>
      <c r="Y268" s="144">
        <f>IFERROR(__xludf.DUMMYFUNCTION("""COMPUTED_VALUE"""),45728.0)</f>
        <v>45728</v>
      </c>
      <c r="Z268" s="131" t="str">
        <f>IFERROR(__xludf.DUMMYFUNCTION("""COMPUTED_VALUE"""),"BRG11")</f>
        <v>BRG11</v>
      </c>
      <c r="AA268" s="131">
        <f>IFERROR(__xludf.DUMMYFUNCTION("""COMPUTED_VALUE"""),801.0)</f>
        <v>801</v>
      </c>
      <c r="AB268" s="131">
        <f>IFERROR(__xludf.DUMMYFUNCTION("""COMPUTED_VALUE"""),817.0)</f>
        <v>817</v>
      </c>
      <c r="AC268" s="131">
        <f>IFERROR(__xludf.DUMMYFUNCTION("""COMPUTED_VALUE"""),9.0)</f>
        <v>9</v>
      </c>
      <c r="AD268" s="131">
        <f>IFERROR(__xludf.DUMMYFUNCTION("""COMPUTED_VALUE"""),9.0)</f>
        <v>9</v>
      </c>
      <c r="AE268" s="131">
        <f>IFERROR(__xludf.DUMMYFUNCTION("""COMPUTED_VALUE"""),712.0)</f>
        <v>712</v>
      </c>
      <c r="AF268" s="131">
        <f>IFERROR(__xludf.DUMMYFUNCTION("""COMPUTED_VALUE"""),752.0)</f>
        <v>752</v>
      </c>
      <c r="AG268" s="131">
        <f>IFERROR(__xludf.DUMMYFUNCTION("""COMPUTED_VALUE"""),21.0)</f>
        <v>21</v>
      </c>
      <c r="AH268" s="131">
        <f>IFERROR(__xludf.DUMMYFUNCTION("""COMPUTED_VALUE"""),21.0)</f>
        <v>21</v>
      </c>
      <c r="AI268" s="131">
        <f>IFERROR(__xludf.DUMMYFUNCTION("""COMPUTED_VALUE"""),183.0)</f>
        <v>183</v>
      </c>
      <c r="AJ268" s="131"/>
      <c r="AK268" s="131"/>
    </row>
    <row r="269">
      <c r="A269" s="145" t="str">
        <f>IFERROR(__xludf.DUMMYFUNCTION("""COMPUTED_VALUE"""),"Y")</f>
        <v>Y</v>
      </c>
      <c r="B269" s="146" t="str">
        <f>IFERROR(__xludf.DUMMYFUNCTION("""COMPUTED_VALUE"""),"5")</f>
        <v>5</v>
      </c>
      <c r="C269" s="146"/>
      <c r="D269" s="147">
        <f>IFERROR(__xludf.DUMMYFUNCTION("""COMPUTED_VALUE"""),45700.0)</f>
        <v>45700</v>
      </c>
      <c r="E269" s="147">
        <f>IFERROR(__xludf.DUMMYFUNCTION("""COMPUTED_VALUE"""),45707.0)</f>
        <v>45707</v>
      </c>
      <c r="F269" s="147">
        <f>IFERROR(__xludf.DUMMYFUNCTION("""COMPUTED_VALUE"""),45728.0)</f>
        <v>45728</v>
      </c>
      <c r="G269" s="146" t="str">
        <f>IFERROR(__xludf.DUMMYFUNCTION("""COMPUTED_VALUE"""),"BRG11")</f>
        <v>BRG11</v>
      </c>
      <c r="H269" s="148">
        <f>IFERROR(__xludf.DUMMYFUNCTION("""COMPUTED_VALUE"""),801.0)</f>
        <v>801</v>
      </c>
      <c r="I269" s="148">
        <f>IFERROR(__xludf.DUMMYFUNCTION("""COMPUTED_VALUE"""),817.0)</f>
        <v>817</v>
      </c>
      <c r="J269" s="146">
        <f>IFERROR(__xludf.DUMMYFUNCTION("""COMPUTED_VALUE"""),9.0)</f>
        <v>9</v>
      </c>
      <c r="K269" s="146">
        <f>IFERROR(__xludf.DUMMYFUNCTION("""COMPUTED_VALUE"""),9.0)</f>
        <v>9</v>
      </c>
      <c r="L269" s="146">
        <f>IFERROR(__xludf.DUMMYFUNCTION("""COMPUTED_VALUE"""),712.0)</f>
        <v>712</v>
      </c>
      <c r="M269" s="146">
        <f>IFERROR(__xludf.DUMMYFUNCTION("""COMPUTED_VALUE"""),752.0)</f>
        <v>752</v>
      </c>
      <c r="N269" s="146">
        <f>IFERROR(__xludf.DUMMYFUNCTION("""COMPUTED_VALUE"""),21.0)</f>
        <v>21</v>
      </c>
      <c r="O269" s="146">
        <f>IFERROR(__xludf.DUMMYFUNCTION("""COMPUTED_VALUE"""),21.0)</f>
        <v>21</v>
      </c>
      <c r="P269" s="146">
        <f>IFERROR(__xludf.DUMMYFUNCTION("""COMPUTED_VALUE"""),183.0)</f>
        <v>183</v>
      </c>
      <c r="Q269" s="146"/>
      <c r="R269" s="146"/>
      <c r="T269" s="131" t="str">
        <f>IFERROR(__xludf.DUMMYFUNCTION("""COMPUTED_VALUE"""),"Y")</f>
        <v>Y</v>
      </c>
      <c r="U269" s="131" t="str">
        <f>IFERROR(__xludf.DUMMYFUNCTION("""COMPUTED_VALUE"""),"5")</f>
        <v>5</v>
      </c>
      <c r="V269" s="131"/>
      <c r="W269" s="144">
        <f>IFERROR(__xludf.DUMMYFUNCTION("""COMPUTED_VALUE"""),45700.0)</f>
        <v>45700</v>
      </c>
      <c r="X269" s="144">
        <f>IFERROR(__xludf.DUMMYFUNCTION("""COMPUTED_VALUE"""),45707.0)</f>
        <v>45707</v>
      </c>
      <c r="Y269" s="144">
        <f>IFERROR(__xludf.DUMMYFUNCTION("""COMPUTED_VALUE"""),45728.0)</f>
        <v>45728</v>
      </c>
      <c r="Z269" s="131" t="str">
        <f>IFERROR(__xludf.DUMMYFUNCTION("""COMPUTED_VALUE"""),"BRG11")</f>
        <v>BRG11</v>
      </c>
      <c r="AA269" s="131">
        <f>IFERROR(__xludf.DUMMYFUNCTION("""COMPUTED_VALUE"""),835.0)</f>
        <v>835</v>
      </c>
      <c r="AB269" s="131">
        <f>IFERROR(__xludf.DUMMYFUNCTION("""COMPUTED_VALUE"""),887.0)</f>
        <v>887</v>
      </c>
      <c r="AC269" s="131">
        <f>IFERROR(__xludf.DUMMYFUNCTION("""COMPUTED_VALUE"""),27.0)</f>
        <v>27</v>
      </c>
      <c r="AD269" s="131">
        <f>IFERROR(__xludf.DUMMYFUNCTION("""COMPUTED_VALUE"""),27.0)</f>
        <v>27</v>
      </c>
      <c r="AE269" s="131"/>
      <c r="AF269" s="131"/>
      <c r="AG269" s="131"/>
      <c r="AH269" s="131"/>
      <c r="AI269" s="131">
        <f>IFERROR(__xludf.DUMMYFUNCTION("""COMPUTED_VALUE"""),183.0)</f>
        <v>183</v>
      </c>
      <c r="AJ269" s="131"/>
      <c r="AK269" s="131"/>
    </row>
    <row r="270">
      <c r="A270" s="145" t="str">
        <f>IFERROR(__xludf.DUMMYFUNCTION("""COMPUTED_VALUE"""),"Y")</f>
        <v>Y</v>
      </c>
      <c r="B270" s="146" t="str">
        <f>IFERROR(__xludf.DUMMYFUNCTION("""COMPUTED_VALUE"""),"5")</f>
        <v>5</v>
      </c>
      <c r="C270" s="146"/>
      <c r="D270" s="147">
        <f>IFERROR(__xludf.DUMMYFUNCTION("""COMPUTED_VALUE"""),45700.0)</f>
        <v>45700</v>
      </c>
      <c r="E270" s="147">
        <f>IFERROR(__xludf.DUMMYFUNCTION("""COMPUTED_VALUE"""),45707.0)</f>
        <v>45707</v>
      </c>
      <c r="F270" s="147">
        <f>IFERROR(__xludf.DUMMYFUNCTION("""COMPUTED_VALUE"""),45728.0)</f>
        <v>45728</v>
      </c>
      <c r="G270" s="146" t="str">
        <f>IFERROR(__xludf.DUMMYFUNCTION("""COMPUTED_VALUE"""),"BRG11")</f>
        <v>BRG11</v>
      </c>
      <c r="H270" s="148">
        <f>IFERROR(__xludf.DUMMYFUNCTION("""COMPUTED_VALUE"""),835.0)</f>
        <v>835</v>
      </c>
      <c r="I270" s="148">
        <f>IFERROR(__xludf.DUMMYFUNCTION("""COMPUTED_VALUE"""),887.0)</f>
        <v>887</v>
      </c>
      <c r="J270" s="146">
        <f>IFERROR(__xludf.DUMMYFUNCTION("""COMPUTED_VALUE"""),27.0)</f>
        <v>27</v>
      </c>
      <c r="K270" s="146">
        <f>IFERROR(__xludf.DUMMYFUNCTION("""COMPUTED_VALUE"""),27.0)</f>
        <v>27</v>
      </c>
      <c r="L270" s="146"/>
      <c r="M270" s="146"/>
      <c r="N270" s="146"/>
      <c r="O270" s="146"/>
      <c r="P270" s="146">
        <f>IFERROR(__xludf.DUMMYFUNCTION("""COMPUTED_VALUE"""),183.0)</f>
        <v>183</v>
      </c>
      <c r="Q270" s="146"/>
      <c r="R270" s="146"/>
      <c r="T270" s="131" t="str">
        <f>IFERROR(__xludf.DUMMYFUNCTION("""COMPUTED_VALUE"""),"Y")</f>
        <v>Y</v>
      </c>
      <c r="U270" s="131" t="str">
        <f>IFERROR(__xludf.DUMMYFUNCTION("""COMPUTED_VALUE"""),"5")</f>
        <v>5</v>
      </c>
      <c r="V270" s="131"/>
      <c r="W270" s="144">
        <f>IFERROR(__xludf.DUMMYFUNCTION("""COMPUTED_VALUE"""),45700.0)</f>
        <v>45700</v>
      </c>
      <c r="X270" s="144">
        <f>IFERROR(__xludf.DUMMYFUNCTION("""COMPUTED_VALUE"""),45707.0)</f>
        <v>45707</v>
      </c>
      <c r="Y270" s="144">
        <f>IFERROR(__xludf.DUMMYFUNCTION("""COMPUTED_VALUE"""),45728.0)</f>
        <v>45728</v>
      </c>
      <c r="Z270" s="131" t="str">
        <f>IFERROR(__xludf.DUMMYFUNCTION("""COMPUTED_VALUE"""),"DC35")</f>
        <v>DC35</v>
      </c>
      <c r="AA270" s="131">
        <f>IFERROR(__xludf.DUMMYFUNCTION("""COMPUTED_VALUE"""),167.0)</f>
        <v>167</v>
      </c>
      <c r="AB270" s="131">
        <f>IFERROR(__xludf.DUMMYFUNCTION("""COMPUTED_VALUE"""),183.0)</f>
        <v>183</v>
      </c>
      <c r="AC270" s="131">
        <f>IFERROR(__xludf.DUMMYFUNCTION("""COMPUTED_VALUE"""),9.0)</f>
        <v>9</v>
      </c>
      <c r="AD270" s="131">
        <f>IFERROR(__xludf.DUMMYFUNCTION("""COMPUTED_VALUE"""),9.0)</f>
        <v>9</v>
      </c>
      <c r="AE270" s="131">
        <f>IFERROR(__xludf.DUMMYFUNCTION("""COMPUTED_VALUE"""),152.0)</f>
        <v>152</v>
      </c>
      <c r="AF270" s="131">
        <f>IFERROR(__xludf.DUMMYFUNCTION("""COMPUTED_VALUE"""),164.0)</f>
        <v>164</v>
      </c>
      <c r="AG270" s="131">
        <f>IFERROR(__xludf.DUMMYFUNCTION("""COMPUTED_VALUE"""),7.0)</f>
        <v>7</v>
      </c>
      <c r="AH270" s="131">
        <f>IFERROR(__xludf.DUMMYFUNCTION("""COMPUTED_VALUE"""),7.0)</f>
        <v>7</v>
      </c>
      <c r="AI270" s="131">
        <f>IFERROR(__xludf.DUMMYFUNCTION("""COMPUTED_VALUE"""),185.0)</f>
        <v>185</v>
      </c>
      <c r="AJ270" s="131"/>
      <c r="AK270" s="131"/>
    </row>
    <row r="271">
      <c r="A271" s="145" t="str">
        <f>IFERROR(__xludf.DUMMYFUNCTION("""COMPUTED_VALUE"""),"Y")</f>
        <v>Y</v>
      </c>
      <c r="B271" s="146" t="str">
        <f>IFERROR(__xludf.DUMMYFUNCTION("""COMPUTED_VALUE"""),"5")</f>
        <v>5</v>
      </c>
      <c r="C271" s="146"/>
      <c r="D271" s="147">
        <f>IFERROR(__xludf.DUMMYFUNCTION("""COMPUTED_VALUE"""),45700.0)</f>
        <v>45700</v>
      </c>
      <c r="E271" s="147">
        <f>IFERROR(__xludf.DUMMYFUNCTION("""COMPUTED_VALUE"""),45707.0)</f>
        <v>45707</v>
      </c>
      <c r="F271" s="147">
        <f>IFERROR(__xludf.DUMMYFUNCTION("""COMPUTED_VALUE"""),45728.0)</f>
        <v>45728</v>
      </c>
      <c r="G271" s="146" t="str">
        <f>IFERROR(__xludf.DUMMYFUNCTION("""COMPUTED_VALUE"""),"DC35")</f>
        <v>DC35</v>
      </c>
      <c r="H271" s="148">
        <f>IFERROR(__xludf.DUMMYFUNCTION("""COMPUTED_VALUE"""),167.0)</f>
        <v>167</v>
      </c>
      <c r="I271" s="148">
        <f>IFERROR(__xludf.DUMMYFUNCTION("""COMPUTED_VALUE"""),183.0)</f>
        <v>183</v>
      </c>
      <c r="J271" s="146">
        <f>IFERROR(__xludf.DUMMYFUNCTION("""COMPUTED_VALUE"""),9.0)</f>
        <v>9</v>
      </c>
      <c r="K271" s="146">
        <f>IFERROR(__xludf.DUMMYFUNCTION("""COMPUTED_VALUE"""),9.0)</f>
        <v>9</v>
      </c>
      <c r="L271" s="146">
        <f>IFERROR(__xludf.DUMMYFUNCTION("""COMPUTED_VALUE"""),152.0)</f>
        <v>152</v>
      </c>
      <c r="M271" s="146">
        <f>IFERROR(__xludf.DUMMYFUNCTION("""COMPUTED_VALUE"""),164.0)</f>
        <v>164</v>
      </c>
      <c r="N271" s="146">
        <f>IFERROR(__xludf.DUMMYFUNCTION("""COMPUTED_VALUE"""),7.0)</f>
        <v>7</v>
      </c>
      <c r="O271" s="146">
        <f>IFERROR(__xludf.DUMMYFUNCTION("""COMPUTED_VALUE"""),7.0)</f>
        <v>7</v>
      </c>
      <c r="P271" s="146">
        <f>IFERROR(__xludf.DUMMYFUNCTION("""COMPUTED_VALUE"""),185.0)</f>
        <v>185</v>
      </c>
      <c r="Q271" s="146"/>
      <c r="R271" s="146"/>
      <c r="T271" s="131" t="str">
        <f>IFERROR(__xludf.DUMMYFUNCTION("""COMPUTED_VALUE"""),"Y")</f>
        <v>Y</v>
      </c>
      <c r="U271" s="131" t="str">
        <f>IFERROR(__xludf.DUMMYFUNCTION("""COMPUTED_VALUE"""),"5")</f>
        <v>5</v>
      </c>
      <c r="V271" s="131"/>
      <c r="W271" s="144">
        <f>IFERROR(__xludf.DUMMYFUNCTION("""COMPUTED_VALUE"""),45700.0)</f>
        <v>45700</v>
      </c>
      <c r="X271" s="144">
        <f>IFERROR(__xludf.DUMMYFUNCTION("""COMPUTED_VALUE"""),45707.0)</f>
        <v>45707</v>
      </c>
      <c r="Y271" s="144">
        <f>IFERROR(__xludf.DUMMYFUNCTION("""COMPUTED_VALUE"""),45728.0)</f>
        <v>45728</v>
      </c>
      <c r="Z271" s="131" t="str">
        <f>IFERROR(__xludf.DUMMYFUNCTION("""COMPUTED_VALUE"""),"DC35")</f>
        <v>DC35</v>
      </c>
      <c r="AA271" s="131">
        <f>IFERROR(__xludf.DUMMYFUNCTION("""COMPUTED_VALUE"""),165.0)</f>
        <v>165</v>
      </c>
      <c r="AB271" s="131">
        <f>IFERROR(__xludf.DUMMYFUNCTION("""COMPUTED_VALUE"""),165.0)</f>
        <v>165</v>
      </c>
      <c r="AC271" s="131">
        <f>IFERROR(__xludf.DUMMYFUNCTION("""COMPUTED_VALUE"""),1.0)</f>
        <v>1</v>
      </c>
      <c r="AD271" s="131">
        <f>IFERROR(__xludf.DUMMYFUNCTION("""COMPUTED_VALUE"""),1.0)</f>
        <v>1</v>
      </c>
      <c r="AE271" s="131">
        <f>IFERROR(__xludf.DUMMYFUNCTION("""COMPUTED_VALUE"""),186.0)</f>
        <v>186</v>
      </c>
      <c r="AF271" s="131">
        <f>IFERROR(__xludf.DUMMYFUNCTION("""COMPUTED_VALUE"""),208.0)</f>
        <v>208</v>
      </c>
      <c r="AG271" s="131">
        <f>IFERROR(__xludf.DUMMYFUNCTION("""COMPUTED_VALUE"""),12.0)</f>
        <v>12</v>
      </c>
      <c r="AH271" s="131">
        <f>IFERROR(__xludf.DUMMYFUNCTION("""COMPUTED_VALUE"""),12.0)</f>
        <v>12</v>
      </c>
      <c r="AI271" s="131">
        <f>IFERROR(__xludf.DUMMYFUNCTION("""COMPUTED_VALUE"""),185.0)</f>
        <v>185</v>
      </c>
      <c r="AJ271" s="131"/>
      <c r="AK271" s="131"/>
    </row>
    <row r="272">
      <c r="A272" s="145" t="str">
        <f>IFERROR(__xludf.DUMMYFUNCTION("""COMPUTED_VALUE"""),"Y")</f>
        <v>Y</v>
      </c>
      <c r="B272" s="146" t="str">
        <f>IFERROR(__xludf.DUMMYFUNCTION("""COMPUTED_VALUE"""),"5")</f>
        <v>5</v>
      </c>
      <c r="C272" s="146"/>
      <c r="D272" s="147">
        <f>IFERROR(__xludf.DUMMYFUNCTION("""COMPUTED_VALUE"""),45700.0)</f>
        <v>45700</v>
      </c>
      <c r="E272" s="147">
        <f>IFERROR(__xludf.DUMMYFUNCTION("""COMPUTED_VALUE"""),45707.0)</f>
        <v>45707</v>
      </c>
      <c r="F272" s="147">
        <f>IFERROR(__xludf.DUMMYFUNCTION("""COMPUTED_VALUE"""),45728.0)</f>
        <v>45728</v>
      </c>
      <c r="G272" s="146" t="str">
        <f>IFERROR(__xludf.DUMMYFUNCTION("""COMPUTED_VALUE"""),"DC35")</f>
        <v>DC35</v>
      </c>
      <c r="H272" s="148">
        <f>IFERROR(__xludf.DUMMYFUNCTION("""COMPUTED_VALUE"""),165.0)</f>
        <v>165</v>
      </c>
      <c r="I272" s="148">
        <f>IFERROR(__xludf.DUMMYFUNCTION("""COMPUTED_VALUE"""),165.0)</f>
        <v>165</v>
      </c>
      <c r="J272" s="146">
        <f>IFERROR(__xludf.DUMMYFUNCTION("""COMPUTED_VALUE"""),1.0)</f>
        <v>1</v>
      </c>
      <c r="K272" s="146">
        <f>IFERROR(__xludf.DUMMYFUNCTION("""COMPUTED_VALUE"""),1.0)</f>
        <v>1</v>
      </c>
      <c r="L272" s="146">
        <f>IFERROR(__xludf.DUMMYFUNCTION("""COMPUTED_VALUE"""),186.0)</f>
        <v>186</v>
      </c>
      <c r="M272" s="146">
        <f>IFERROR(__xludf.DUMMYFUNCTION("""COMPUTED_VALUE"""),208.0)</f>
        <v>208</v>
      </c>
      <c r="N272" s="146">
        <f>IFERROR(__xludf.DUMMYFUNCTION("""COMPUTED_VALUE"""),12.0)</f>
        <v>12</v>
      </c>
      <c r="O272" s="146">
        <f>IFERROR(__xludf.DUMMYFUNCTION("""COMPUTED_VALUE"""),12.0)</f>
        <v>12</v>
      </c>
      <c r="P272" s="146">
        <f>IFERROR(__xludf.DUMMYFUNCTION("""COMPUTED_VALUE"""),185.0)</f>
        <v>185</v>
      </c>
      <c r="Q272" s="146"/>
      <c r="R272" s="146"/>
      <c r="T272" s="131" t="str">
        <f>IFERROR(__xludf.DUMMYFUNCTION("""COMPUTED_VALUE"""),"Y")</f>
        <v>Y</v>
      </c>
      <c r="U272" s="131" t="str">
        <f>IFERROR(__xludf.DUMMYFUNCTION("""COMPUTED_VALUE"""),"5")</f>
        <v>5</v>
      </c>
      <c r="V272" s="131"/>
      <c r="W272" s="144">
        <f>IFERROR(__xludf.DUMMYFUNCTION("""COMPUTED_VALUE"""),45700.0)</f>
        <v>45700</v>
      </c>
      <c r="X272" s="144">
        <f>IFERROR(__xludf.DUMMYFUNCTION("""COMPUTED_VALUE"""),45707.0)</f>
        <v>45707</v>
      </c>
      <c r="Y272" s="144">
        <f>IFERROR(__xludf.DUMMYFUNCTION("""COMPUTED_VALUE"""),45728.0)</f>
        <v>45728</v>
      </c>
      <c r="Z272" s="131" t="str">
        <f>IFERROR(__xludf.DUMMYFUNCTION("""COMPUTED_VALUE"""),"DC35")</f>
        <v>DC35</v>
      </c>
      <c r="AA272" s="131"/>
      <c r="AB272" s="131"/>
      <c r="AC272" s="131"/>
      <c r="AD272" s="131"/>
      <c r="AE272" s="131">
        <f>IFERROR(__xludf.DUMMYFUNCTION("""COMPUTED_VALUE"""),184.0)</f>
        <v>184</v>
      </c>
      <c r="AF272" s="131">
        <f>IFERROR(__xludf.DUMMYFUNCTION("""COMPUTED_VALUE"""),184.0)</f>
        <v>184</v>
      </c>
      <c r="AG272" s="131">
        <f>IFERROR(__xludf.DUMMYFUNCTION("""COMPUTED_VALUE"""),1.0)</f>
        <v>1</v>
      </c>
      <c r="AH272" s="131">
        <f>IFERROR(__xludf.DUMMYFUNCTION("""COMPUTED_VALUE"""),1.0)</f>
        <v>1</v>
      </c>
      <c r="AI272" s="131">
        <f>IFERROR(__xludf.DUMMYFUNCTION("""COMPUTED_VALUE"""),185.0)</f>
        <v>185</v>
      </c>
      <c r="AJ272" s="131"/>
      <c r="AK272" s="131"/>
    </row>
    <row r="273">
      <c r="A273" s="145" t="str">
        <f>IFERROR(__xludf.DUMMYFUNCTION("""COMPUTED_VALUE"""),"Y")</f>
        <v>Y</v>
      </c>
      <c r="B273" s="146" t="str">
        <f>IFERROR(__xludf.DUMMYFUNCTION("""COMPUTED_VALUE"""),"5")</f>
        <v>5</v>
      </c>
      <c r="C273" s="146"/>
      <c r="D273" s="147">
        <f>IFERROR(__xludf.DUMMYFUNCTION("""COMPUTED_VALUE"""),45700.0)</f>
        <v>45700</v>
      </c>
      <c r="E273" s="147">
        <f>IFERROR(__xludf.DUMMYFUNCTION("""COMPUTED_VALUE"""),45707.0)</f>
        <v>45707</v>
      </c>
      <c r="F273" s="147">
        <f>IFERROR(__xludf.DUMMYFUNCTION("""COMPUTED_VALUE"""),45728.0)</f>
        <v>45728</v>
      </c>
      <c r="G273" s="146" t="str">
        <f>IFERROR(__xludf.DUMMYFUNCTION("""COMPUTED_VALUE"""),"DC35")</f>
        <v>DC35</v>
      </c>
      <c r="H273" s="148"/>
      <c r="I273" s="148"/>
      <c r="J273" s="146"/>
      <c r="K273" s="146"/>
      <c r="L273" s="146">
        <f>IFERROR(__xludf.DUMMYFUNCTION("""COMPUTED_VALUE"""),184.0)</f>
        <v>184</v>
      </c>
      <c r="M273" s="146">
        <f>IFERROR(__xludf.DUMMYFUNCTION("""COMPUTED_VALUE"""),184.0)</f>
        <v>184</v>
      </c>
      <c r="N273" s="146">
        <f>IFERROR(__xludf.DUMMYFUNCTION("""COMPUTED_VALUE"""),1.0)</f>
        <v>1</v>
      </c>
      <c r="O273" s="146">
        <f>IFERROR(__xludf.DUMMYFUNCTION("""COMPUTED_VALUE"""),1.0)</f>
        <v>1</v>
      </c>
      <c r="P273" s="146">
        <f>IFERROR(__xludf.DUMMYFUNCTION("""COMPUTED_VALUE"""),185.0)</f>
        <v>185</v>
      </c>
      <c r="Q273" s="146"/>
      <c r="R273" s="146"/>
      <c r="T273" s="131" t="str">
        <f>IFERROR(__xludf.DUMMYFUNCTION("""COMPUTED_VALUE"""),"Y")</f>
        <v>Y</v>
      </c>
      <c r="U273" s="131" t="str">
        <f>IFERROR(__xludf.DUMMYFUNCTION("""COMPUTED_VALUE"""),"5")</f>
        <v>5</v>
      </c>
      <c r="V273" s="131"/>
      <c r="W273" s="144">
        <f>IFERROR(__xludf.DUMMYFUNCTION("""COMPUTED_VALUE"""),45703.0)</f>
        <v>45703</v>
      </c>
      <c r="X273" s="144">
        <f>IFERROR(__xludf.DUMMYFUNCTION("""COMPUTED_VALUE"""),45710.0)</f>
        <v>45710</v>
      </c>
      <c r="Y273" s="144">
        <f>IFERROR(__xludf.DUMMYFUNCTION("""COMPUTED_VALUE"""),45731.0)</f>
        <v>45731</v>
      </c>
      <c r="Z273" s="131" t="str">
        <f>IFERROR(__xludf.DUMMYFUNCTION("""COMPUTED_VALUE"""),"D41-4R")</f>
        <v>D41-4R</v>
      </c>
      <c r="AA273" s="131">
        <f>IFERROR(__xludf.DUMMYFUNCTION("""COMPUTED_VALUE"""),157.0)</f>
        <v>157</v>
      </c>
      <c r="AB273" s="131">
        <f>IFERROR(__xludf.DUMMYFUNCTION("""COMPUTED_VALUE"""),189.0)</f>
        <v>189</v>
      </c>
      <c r="AC273" s="131">
        <f>IFERROR(__xludf.DUMMYFUNCTION("""COMPUTED_VALUE"""),17.0)</f>
        <v>17</v>
      </c>
      <c r="AD273" s="131">
        <f>IFERROR(__xludf.DUMMYFUNCTION("""COMPUTED_VALUE"""),17.0)</f>
        <v>17</v>
      </c>
      <c r="AE273" s="131">
        <f>IFERROR(__xludf.DUMMYFUNCTION("""COMPUTED_VALUE"""),192.0)</f>
        <v>192</v>
      </c>
      <c r="AF273" s="131">
        <f>IFERROR(__xludf.DUMMYFUNCTION("""COMPUTED_VALUE"""),216.0)</f>
        <v>216</v>
      </c>
      <c r="AG273" s="131">
        <f>IFERROR(__xludf.DUMMYFUNCTION("""COMPUTED_VALUE"""),13.0)</f>
        <v>13</v>
      </c>
      <c r="AH273" s="131">
        <f>IFERROR(__xludf.DUMMYFUNCTION("""COMPUTED_VALUE"""),13.0)</f>
        <v>13</v>
      </c>
      <c r="AI273" s="131"/>
      <c r="AJ273" s="131"/>
      <c r="AK273" s="131"/>
    </row>
    <row r="274">
      <c r="A274" s="145" t="str">
        <f>IFERROR(__xludf.DUMMYFUNCTION("""COMPUTED_VALUE"""),"Y")</f>
        <v>Y</v>
      </c>
      <c r="B274" s="146" t="str">
        <f>IFERROR(__xludf.DUMMYFUNCTION("""COMPUTED_VALUE"""),"5")</f>
        <v>5</v>
      </c>
      <c r="C274" s="146"/>
      <c r="D274" s="147">
        <f>IFERROR(__xludf.DUMMYFUNCTION("""COMPUTED_VALUE"""),45703.0)</f>
        <v>45703</v>
      </c>
      <c r="E274" s="147">
        <f>IFERROR(__xludf.DUMMYFUNCTION("""COMPUTED_VALUE"""),45710.0)</f>
        <v>45710</v>
      </c>
      <c r="F274" s="147">
        <f>IFERROR(__xludf.DUMMYFUNCTION("""COMPUTED_VALUE"""),45731.0)</f>
        <v>45731</v>
      </c>
      <c r="G274" s="146" t="str">
        <f>IFERROR(__xludf.DUMMYFUNCTION("""COMPUTED_VALUE"""),"D41-4R")</f>
        <v>D41-4R</v>
      </c>
      <c r="H274" s="148">
        <f>IFERROR(__xludf.DUMMYFUNCTION("""COMPUTED_VALUE"""),157.0)</f>
        <v>157</v>
      </c>
      <c r="I274" s="148">
        <f>IFERROR(__xludf.DUMMYFUNCTION("""COMPUTED_VALUE"""),189.0)</f>
        <v>189</v>
      </c>
      <c r="J274" s="146">
        <f>IFERROR(__xludf.DUMMYFUNCTION("""COMPUTED_VALUE"""),17.0)</f>
        <v>17</v>
      </c>
      <c r="K274" s="146">
        <f>IFERROR(__xludf.DUMMYFUNCTION("""COMPUTED_VALUE"""),17.0)</f>
        <v>17</v>
      </c>
      <c r="L274" s="146">
        <f>IFERROR(__xludf.DUMMYFUNCTION("""COMPUTED_VALUE"""),192.0)</f>
        <v>192</v>
      </c>
      <c r="M274" s="146">
        <f>IFERROR(__xludf.DUMMYFUNCTION("""COMPUTED_VALUE"""),216.0)</f>
        <v>216</v>
      </c>
      <c r="N274" s="146">
        <f>IFERROR(__xludf.DUMMYFUNCTION("""COMPUTED_VALUE"""),13.0)</f>
        <v>13</v>
      </c>
      <c r="O274" s="146">
        <f>IFERROR(__xludf.DUMMYFUNCTION("""COMPUTED_VALUE"""),13.0)</f>
        <v>13</v>
      </c>
      <c r="P274" s="146"/>
      <c r="Q274" s="146"/>
      <c r="R274" s="146"/>
      <c r="T274" s="131" t="str">
        <f>IFERROR(__xludf.DUMMYFUNCTION("""COMPUTED_VALUE"""),"Y")</f>
        <v>Y</v>
      </c>
      <c r="U274" s="131" t="str">
        <f>IFERROR(__xludf.DUMMYFUNCTION("""COMPUTED_VALUE"""),"5")</f>
        <v>5</v>
      </c>
      <c r="V274" s="131"/>
      <c r="W274" s="144">
        <f>IFERROR(__xludf.DUMMYFUNCTION("""COMPUTED_VALUE"""),45703.0)</f>
        <v>45703</v>
      </c>
      <c r="X274" s="144">
        <f>IFERROR(__xludf.DUMMYFUNCTION("""COMPUTED_VALUE"""),45710.0)</f>
        <v>45710</v>
      </c>
      <c r="Y274" s="144">
        <f>IFERROR(__xludf.DUMMYFUNCTION("""COMPUTED_VALUE"""),45731.0)</f>
        <v>45731</v>
      </c>
      <c r="Z274" s="131" t="str">
        <f>IFERROR(__xludf.DUMMYFUNCTION("""COMPUTED_VALUE"""),"D41-4R")</f>
        <v>D41-4R</v>
      </c>
      <c r="AA274" s="131">
        <f>IFERROR(__xludf.DUMMYFUNCTION("""COMPUTED_VALUE"""),217.0)</f>
        <v>217</v>
      </c>
      <c r="AB274" s="131">
        <f>IFERROR(__xludf.DUMMYFUNCTION("""COMPUTED_VALUE"""),217.0)</f>
        <v>217</v>
      </c>
      <c r="AC274" s="131">
        <f>IFERROR(__xludf.DUMMYFUNCTION("""COMPUTED_VALUE"""),1.0)</f>
        <v>1</v>
      </c>
      <c r="AD274" s="131">
        <f>IFERROR(__xludf.DUMMYFUNCTION("""COMPUTED_VALUE"""),1.0)</f>
        <v>1</v>
      </c>
      <c r="AE274" s="131">
        <f>IFERROR(__xludf.DUMMYFUNCTION("""COMPUTED_VALUE"""),234.0)</f>
        <v>234</v>
      </c>
      <c r="AF274" s="131">
        <f>IFERROR(__xludf.DUMMYFUNCTION("""COMPUTED_VALUE"""),310.0)</f>
        <v>310</v>
      </c>
      <c r="AG274" s="131">
        <f>IFERROR(__xludf.DUMMYFUNCTION("""COMPUTED_VALUE"""),39.0)</f>
        <v>39</v>
      </c>
      <c r="AH274" s="131">
        <f>IFERROR(__xludf.DUMMYFUNCTION("""COMPUTED_VALUE"""),39.0)</f>
        <v>39</v>
      </c>
      <c r="AI274" s="131"/>
      <c r="AJ274" s="131"/>
      <c r="AK274" s="131"/>
    </row>
    <row r="275">
      <c r="A275" s="145" t="str">
        <f>IFERROR(__xludf.DUMMYFUNCTION("""COMPUTED_VALUE"""),"Y")</f>
        <v>Y</v>
      </c>
      <c r="B275" s="146" t="str">
        <f>IFERROR(__xludf.DUMMYFUNCTION("""COMPUTED_VALUE"""),"5")</f>
        <v>5</v>
      </c>
      <c r="C275" s="146"/>
      <c r="D275" s="147">
        <f>IFERROR(__xludf.DUMMYFUNCTION("""COMPUTED_VALUE"""),45703.0)</f>
        <v>45703</v>
      </c>
      <c r="E275" s="147">
        <f>IFERROR(__xludf.DUMMYFUNCTION("""COMPUTED_VALUE"""),45710.0)</f>
        <v>45710</v>
      </c>
      <c r="F275" s="147">
        <f>IFERROR(__xludf.DUMMYFUNCTION("""COMPUTED_VALUE"""),45731.0)</f>
        <v>45731</v>
      </c>
      <c r="G275" s="146" t="str">
        <f>IFERROR(__xludf.DUMMYFUNCTION("""COMPUTED_VALUE"""),"D41-4R")</f>
        <v>D41-4R</v>
      </c>
      <c r="H275" s="148">
        <f>IFERROR(__xludf.DUMMYFUNCTION("""COMPUTED_VALUE"""),217.0)</f>
        <v>217</v>
      </c>
      <c r="I275" s="148">
        <f>IFERROR(__xludf.DUMMYFUNCTION("""COMPUTED_VALUE"""),217.0)</f>
        <v>217</v>
      </c>
      <c r="J275" s="146">
        <f>IFERROR(__xludf.DUMMYFUNCTION("""COMPUTED_VALUE"""),1.0)</f>
        <v>1</v>
      </c>
      <c r="K275" s="146">
        <f>IFERROR(__xludf.DUMMYFUNCTION("""COMPUTED_VALUE"""),1.0)</f>
        <v>1</v>
      </c>
      <c r="L275" s="146">
        <f>IFERROR(__xludf.DUMMYFUNCTION("""COMPUTED_VALUE"""),234.0)</f>
        <v>234</v>
      </c>
      <c r="M275" s="146">
        <f>IFERROR(__xludf.DUMMYFUNCTION("""COMPUTED_VALUE"""),310.0)</f>
        <v>310</v>
      </c>
      <c r="N275" s="146">
        <f>IFERROR(__xludf.DUMMYFUNCTION("""COMPUTED_VALUE"""),39.0)</f>
        <v>39</v>
      </c>
      <c r="O275" s="146">
        <f>IFERROR(__xludf.DUMMYFUNCTION("""COMPUTED_VALUE"""),39.0)</f>
        <v>39</v>
      </c>
      <c r="P275" s="146"/>
      <c r="Q275" s="146"/>
      <c r="R275" s="146"/>
      <c r="T275" s="131" t="str">
        <f>IFERROR(__xludf.DUMMYFUNCTION("""COMPUTED_VALUE"""),"Y")</f>
        <v>Y</v>
      </c>
      <c r="U275" s="131" t="str">
        <f>IFERROR(__xludf.DUMMYFUNCTION("""COMPUTED_VALUE"""),"5")</f>
        <v>5</v>
      </c>
      <c r="V275" s="131"/>
      <c r="W275" s="144">
        <f>IFERROR(__xludf.DUMMYFUNCTION("""COMPUTED_VALUE"""),45703.0)</f>
        <v>45703</v>
      </c>
      <c r="X275" s="144">
        <f>IFERROR(__xludf.DUMMYFUNCTION("""COMPUTED_VALUE"""),45710.0)</f>
        <v>45710</v>
      </c>
      <c r="Y275" s="144">
        <f>IFERROR(__xludf.DUMMYFUNCTION("""COMPUTED_VALUE"""),45731.0)</f>
        <v>45731</v>
      </c>
      <c r="Z275" s="131" t="str">
        <f>IFERROR(__xludf.DUMMYFUNCTION("""COMPUTED_VALUE"""),"D41-5L")</f>
        <v>D41-5L</v>
      </c>
      <c r="AA275" s="131">
        <f>IFERROR(__xludf.DUMMYFUNCTION("""COMPUTED_VALUE"""),269.0)</f>
        <v>269</v>
      </c>
      <c r="AB275" s="131">
        <f>IFERROR(__xludf.DUMMYFUNCTION("""COMPUTED_VALUE"""),307.0)</f>
        <v>307</v>
      </c>
      <c r="AC275" s="131">
        <f>IFERROR(__xludf.DUMMYFUNCTION("""COMPUTED_VALUE"""),20.0)</f>
        <v>20</v>
      </c>
      <c r="AD275" s="131">
        <f>IFERROR(__xludf.DUMMYFUNCTION("""COMPUTED_VALUE"""),20.0)</f>
        <v>20</v>
      </c>
      <c r="AE275" s="131"/>
      <c r="AF275" s="131"/>
      <c r="AG275" s="131"/>
      <c r="AH275" s="131"/>
      <c r="AI275" s="131">
        <f>IFERROR(__xludf.DUMMYFUNCTION("""COMPUTED_VALUE"""),187.0)</f>
        <v>187</v>
      </c>
      <c r="AJ275" s="131"/>
      <c r="AK275" s="131"/>
    </row>
    <row r="276">
      <c r="A276" s="145" t="str">
        <f>IFERROR(__xludf.DUMMYFUNCTION("""COMPUTED_VALUE"""),"Y")</f>
        <v>Y</v>
      </c>
      <c r="B276" s="146" t="str">
        <f>IFERROR(__xludf.DUMMYFUNCTION("""COMPUTED_VALUE"""),"5")</f>
        <v>5</v>
      </c>
      <c r="C276" s="146"/>
      <c r="D276" s="147">
        <f>IFERROR(__xludf.DUMMYFUNCTION("""COMPUTED_VALUE"""),45703.0)</f>
        <v>45703</v>
      </c>
      <c r="E276" s="147">
        <f>IFERROR(__xludf.DUMMYFUNCTION("""COMPUTED_VALUE"""),45710.0)</f>
        <v>45710</v>
      </c>
      <c r="F276" s="147">
        <f>IFERROR(__xludf.DUMMYFUNCTION("""COMPUTED_VALUE"""),45731.0)</f>
        <v>45731</v>
      </c>
      <c r="G276" s="146" t="str">
        <f>IFERROR(__xludf.DUMMYFUNCTION("""COMPUTED_VALUE"""),"D41-5L")</f>
        <v>D41-5L</v>
      </c>
      <c r="H276" s="148">
        <f>IFERROR(__xludf.DUMMYFUNCTION("""COMPUTED_VALUE"""),269.0)</f>
        <v>269</v>
      </c>
      <c r="I276" s="148">
        <f>IFERROR(__xludf.DUMMYFUNCTION("""COMPUTED_VALUE"""),307.0)</f>
        <v>307</v>
      </c>
      <c r="J276" s="146">
        <f>IFERROR(__xludf.DUMMYFUNCTION("""COMPUTED_VALUE"""),20.0)</f>
        <v>20</v>
      </c>
      <c r="K276" s="146">
        <f>IFERROR(__xludf.DUMMYFUNCTION("""COMPUTED_VALUE"""),20.0)</f>
        <v>20</v>
      </c>
      <c r="L276" s="146"/>
      <c r="M276" s="146"/>
      <c r="N276" s="146"/>
      <c r="O276" s="146"/>
      <c r="P276" s="146">
        <f>IFERROR(__xludf.DUMMYFUNCTION("""COMPUTED_VALUE"""),187.0)</f>
        <v>187</v>
      </c>
      <c r="Q276" s="146"/>
      <c r="R276" s="146"/>
      <c r="T276" s="131" t="str">
        <f>IFERROR(__xludf.DUMMYFUNCTION("""COMPUTED_VALUE"""),"Y")</f>
        <v>Y</v>
      </c>
      <c r="U276" s="131" t="str">
        <f>IFERROR(__xludf.DUMMYFUNCTION("""COMPUTED_VALUE"""),"5")</f>
        <v>5</v>
      </c>
      <c r="V276" s="131"/>
      <c r="W276" s="144">
        <f>IFERROR(__xludf.DUMMYFUNCTION("""COMPUTED_VALUE"""),45703.0)</f>
        <v>45703</v>
      </c>
      <c r="X276" s="144">
        <f>IFERROR(__xludf.DUMMYFUNCTION("""COMPUTED_VALUE"""),45710.0)</f>
        <v>45710</v>
      </c>
      <c r="Y276" s="144">
        <f>IFERROR(__xludf.DUMMYFUNCTION("""COMPUTED_VALUE"""),45731.0)</f>
        <v>45731</v>
      </c>
      <c r="Z276" s="131" t="str">
        <f>IFERROR(__xludf.DUMMYFUNCTION("""COMPUTED_VALUE"""),"BRG11")</f>
        <v>BRG11</v>
      </c>
      <c r="AA276" s="131">
        <f>IFERROR(__xludf.DUMMYFUNCTION("""COMPUTED_VALUE"""),889.0)</f>
        <v>889</v>
      </c>
      <c r="AB276" s="131">
        <f>IFERROR(__xludf.DUMMYFUNCTION("""COMPUTED_VALUE"""),909.0)</f>
        <v>909</v>
      </c>
      <c r="AC276" s="131">
        <f>IFERROR(__xludf.DUMMYFUNCTION("""COMPUTED_VALUE"""),11.0)</f>
        <v>11</v>
      </c>
      <c r="AD276" s="131">
        <f>IFERROR(__xludf.DUMMYFUNCTION("""COMPUTED_VALUE"""),11.0)</f>
        <v>11</v>
      </c>
      <c r="AE276" s="131">
        <f>IFERROR(__xludf.DUMMYFUNCTION("""COMPUTED_VALUE"""),754.0)</f>
        <v>754</v>
      </c>
      <c r="AF276" s="131">
        <f>IFERROR(__xludf.DUMMYFUNCTION("""COMPUTED_VALUE"""),816.0)</f>
        <v>816</v>
      </c>
      <c r="AG276" s="131">
        <f>IFERROR(__xludf.DUMMYFUNCTION("""COMPUTED_VALUE"""),32.0)</f>
        <v>32</v>
      </c>
      <c r="AH276" s="131">
        <f>IFERROR(__xludf.DUMMYFUNCTION("""COMPUTED_VALUE"""),32.0)</f>
        <v>32</v>
      </c>
      <c r="AI276" s="131">
        <f>IFERROR(__xludf.DUMMYFUNCTION("""COMPUTED_VALUE"""),186.0)</f>
        <v>186</v>
      </c>
      <c r="AJ276" s="131"/>
      <c r="AK276" s="131"/>
    </row>
    <row r="277">
      <c r="A277" s="145" t="str">
        <f>IFERROR(__xludf.DUMMYFUNCTION("""COMPUTED_VALUE"""),"Y")</f>
        <v>Y</v>
      </c>
      <c r="B277" s="146" t="str">
        <f>IFERROR(__xludf.DUMMYFUNCTION("""COMPUTED_VALUE"""),"5")</f>
        <v>5</v>
      </c>
      <c r="C277" s="146"/>
      <c r="D277" s="147">
        <f>IFERROR(__xludf.DUMMYFUNCTION("""COMPUTED_VALUE"""),45703.0)</f>
        <v>45703</v>
      </c>
      <c r="E277" s="147">
        <f>IFERROR(__xludf.DUMMYFUNCTION("""COMPUTED_VALUE"""),45710.0)</f>
        <v>45710</v>
      </c>
      <c r="F277" s="147">
        <f>IFERROR(__xludf.DUMMYFUNCTION("""COMPUTED_VALUE"""),45731.0)</f>
        <v>45731</v>
      </c>
      <c r="G277" s="146" t="str">
        <f>IFERROR(__xludf.DUMMYFUNCTION("""COMPUTED_VALUE"""),"BRG11")</f>
        <v>BRG11</v>
      </c>
      <c r="H277" s="148">
        <f>IFERROR(__xludf.DUMMYFUNCTION("""COMPUTED_VALUE"""),889.0)</f>
        <v>889</v>
      </c>
      <c r="I277" s="148">
        <f>IFERROR(__xludf.DUMMYFUNCTION("""COMPUTED_VALUE"""),909.0)</f>
        <v>909</v>
      </c>
      <c r="J277" s="146">
        <f>IFERROR(__xludf.DUMMYFUNCTION("""COMPUTED_VALUE"""),11.0)</f>
        <v>11</v>
      </c>
      <c r="K277" s="146">
        <f>IFERROR(__xludf.DUMMYFUNCTION("""COMPUTED_VALUE"""),11.0)</f>
        <v>11</v>
      </c>
      <c r="L277" s="146">
        <f>IFERROR(__xludf.DUMMYFUNCTION("""COMPUTED_VALUE"""),754.0)</f>
        <v>754</v>
      </c>
      <c r="M277" s="146">
        <f>IFERROR(__xludf.DUMMYFUNCTION("""COMPUTED_VALUE"""),816.0)</f>
        <v>816</v>
      </c>
      <c r="N277" s="146">
        <f>IFERROR(__xludf.DUMMYFUNCTION("""COMPUTED_VALUE"""),32.0)</f>
        <v>32</v>
      </c>
      <c r="O277" s="146">
        <f>IFERROR(__xludf.DUMMYFUNCTION("""COMPUTED_VALUE"""),32.0)</f>
        <v>32</v>
      </c>
      <c r="P277" s="146">
        <f>IFERROR(__xludf.DUMMYFUNCTION("""COMPUTED_VALUE"""),186.0)</f>
        <v>186</v>
      </c>
      <c r="Q277" s="146"/>
      <c r="R277" s="146"/>
      <c r="T277" s="131" t="str">
        <f>IFERROR(__xludf.DUMMYFUNCTION("""COMPUTED_VALUE"""),"Y")</f>
        <v>Y</v>
      </c>
      <c r="U277" s="131" t="str">
        <f>IFERROR(__xludf.DUMMYFUNCTION("""COMPUTED_VALUE"""),"5")</f>
        <v>5</v>
      </c>
      <c r="V277" s="131"/>
      <c r="W277" s="144">
        <f>IFERROR(__xludf.DUMMYFUNCTION("""COMPUTED_VALUE"""),45703.0)</f>
        <v>45703</v>
      </c>
      <c r="X277" s="144">
        <f>IFERROR(__xludf.DUMMYFUNCTION("""COMPUTED_VALUE"""),45710.0)</f>
        <v>45710</v>
      </c>
      <c r="Y277" s="144">
        <f>IFERROR(__xludf.DUMMYFUNCTION("""COMPUTED_VALUE"""),45731.0)</f>
        <v>45731</v>
      </c>
      <c r="Z277" s="131" t="str">
        <f>IFERROR(__xludf.DUMMYFUNCTION("""COMPUTED_VALUE"""),"BRG11")</f>
        <v>BRG11</v>
      </c>
      <c r="AA277" s="131"/>
      <c r="AB277" s="131"/>
      <c r="AC277" s="131"/>
      <c r="AD277" s="131"/>
      <c r="AE277" s="131">
        <f>IFERROR(__xludf.DUMMYFUNCTION("""COMPUTED_VALUE"""),836.0)</f>
        <v>836</v>
      </c>
      <c r="AF277" s="131">
        <f>IFERROR(__xludf.DUMMYFUNCTION("""COMPUTED_VALUE"""),860.0)</f>
        <v>860</v>
      </c>
      <c r="AG277" s="131">
        <f>IFERROR(__xludf.DUMMYFUNCTION("""COMPUTED_VALUE"""),13.0)</f>
        <v>13</v>
      </c>
      <c r="AH277" s="131">
        <f>IFERROR(__xludf.DUMMYFUNCTION("""COMPUTED_VALUE"""),13.0)</f>
        <v>13</v>
      </c>
      <c r="AI277" s="131">
        <f>IFERROR(__xludf.DUMMYFUNCTION("""COMPUTED_VALUE"""),186.0)</f>
        <v>186</v>
      </c>
      <c r="AJ277" s="131"/>
      <c r="AK277" s="131"/>
    </row>
    <row r="278">
      <c r="A278" s="145" t="str">
        <f>IFERROR(__xludf.DUMMYFUNCTION("""COMPUTED_VALUE"""),"Y")</f>
        <v>Y</v>
      </c>
      <c r="B278" s="146" t="str">
        <f>IFERROR(__xludf.DUMMYFUNCTION("""COMPUTED_VALUE"""),"5")</f>
        <v>5</v>
      </c>
      <c r="C278" s="146"/>
      <c r="D278" s="147">
        <f>IFERROR(__xludf.DUMMYFUNCTION("""COMPUTED_VALUE"""),45703.0)</f>
        <v>45703</v>
      </c>
      <c r="E278" s="147">
        <f>IFERROR(__xludf.DUMMYFUNCTION("""COMPUTED_VALUE"""),45710.0)</f>
        <v>45710</v>
      </c>
      <c r="F278" s="147">
        <f>IFERROR(__xludf.DUMMYFUNCTION("""COMPUTED_VALUE"""),45731.0)</f>
        <v>45731</v>
      </c>
      <c r="G278" s="146" t="str">
        <f>IFERROR(__xludf.DUMMYFUNCTION("""COMPUTED_VALUE"""),"BRG11")</f>
        <v>BRG11</v>
      </c>
      <c r="H278" s="148"/>
      <c r="I278" s="148"/>
      <c r="J278" s="146"/>
      <c r="K278" s="146"/>
      <c r="L278" s="146">
        <f>IFERROR(__xludf.DUMMYFUNCTION("""COMPUTED_VALUE"""),836.0)</f>
        <v>836</v>
      </c>
      <c r="M278" s="146">
        <f>IFERROR(__xludf.DUMMYFUNCTION("""COMPUTED_VALUE"""),860.0)</f>
        <v>860</v>
      </c>
      <c r="N278" s="146">
        <f>IFERROR(__xludf.DUMMYFUNCTION("""COMPUTED_VALUE"""),13.0)</f>
        <v>13</v>
      </c>
      <c r="O278" s="146">
        <f>IFERROR(__xludf.DUMMYFUNCTION("""COMPUTED_VALUE"""),13.0)</f>
        <v>13</v>
      </c>
      <c r="P278" s="146">
        <f>IFERROR(__xludf.DUMMYFUNCTION("""COMPUTED_VALUE"""),186.0)</f>
        <v>186</v>
      </c>
      <c r="Q278" s="146"/>
      <c r="R278" s="146"/>
      <c r="T278" s="131" t="str">
        <f>IFERROR(__xludf.DUMMYFUNCTION("""COMPUTED_VALUE"""),"Y")</f>
        <v>Y</v>
      </c>
      <c r="U278" s="131" t="str">
        <f>IFERROR(__xludf.DUMMYFUNCTION("""COMPUTED_VALUE"""),"5")</f>
        <v>5</v>
      </c>
      <c r="V278" s="131"/>
      <c r="W278" s="144">
        <f>IFERROR(__xludf.DUMMYFUNCTION("""COMPUTED_VALUE"""),45704.0)</f>
        <v>45704</v>
      </c>
      <c r="X278" s="144">
        <f>IFERROR(__xludf.DUMMYFUNCTION("""COMPUTED_VALUE"""),45711.0)</f>
        <v>45711</v>
      </c>
      <c r="Y278" s="144">
        <f>IFERROR(__xludf.DUMMYFUNCTION("""COMPUTED_VALUE"""),45732.0)</f>
        <v>45732</v>
      </c>
      <c r="Z278" s="131" t="str">
        <f>IFERROR(__xludf.DUMMYFUNCTION("""COMPUTED_VALUE"""),"D41-4L")</f>
        <v>D41-4L</v>
      </c>
      <c r="AA278" s="131"/>
      <c r="AB278" s="131"/>
      <c r="AC278" s="131"/>
      <c r="AD278" s="131"/>
      <c r="AE278" s="131">
        <f>IFERROR(__xludf.DUMMYFUNCTION("""COMPUTED_VALUE"""),2.0)</f>
        <v>2</v>
      </c>
      <c r="AF278" s="131">
        <f>IFERROR(__xludf.DUMMYFUNCTION("""COMPUTED_VALUE"""),104.0)</f>
        <v>104</v>
      </c>
      <c r="AG278" s="131">
        <f>IFERROR(__xludf.DUMMYFUNCTION("""COMPUTED_VALUE"""),52.0)</f>
        <v>52</v>
      </c>
      <c r="AH278" s="131">
        <f>IFERROR(__xludf.DUMMYFUNCTION("""COMPUTED_VALUE"""),52.0)</f>
        <v>52</v>
      </c>
      <c r="AI278" s="131"/>
      <c r="AJ278" s="131"/>
      <c r="AK278" s="131"/>
    </row>
    <row r="279">
      <c r="A279" s="145" t="str">
        <f>IFERROR(__xludf.DUMMYFUNCTION("""COMPUTED_VALUE"""),"Y")</f>
        <v>Y</v>
      </c>
      <c r="B279" s="146" t="str">
        <f>IFERROR(__xludf.DUMMYFUNCTION("""COMPUTED_VALUE"""),"5")</f>
        <v>5</v>
      </c>
      <c r="C279" s="146"/>
      <c r="D279" s="147">
        <f>IFERROR(__xludf.DUMMYFUNCTION("""COMPUTED_VALUE"""),45704.0)</f>
        <v>45704</v>
      </c>
      <c r="E279" s="147">
        <f>IFERROR(__xludf.DUMMYFUNCTION("""COMPUTED_VALUE"""),45711.0)</f>
        <v>45711</v>
      </c>
      <c r="F279" s="147">
        <f>IFERROR(__xludf.DUMMYFUNCTION("""COMPUTED_VALUE"""),45732.0)</f>
        <v>45732</v>
      </c>
      <c r="G279" s="146" t="str">
        <f>IFERROR(__xludf.DUMMYFUNCTION("""COMPUTED_VALUE"""),"D41-4L")</f>
        <v>D41-4L</v>
      </c>
      <c r="H279" s="148"/>
      <c r="I279" s="148"/>
      <c r="J279" s="146"/>
      <c r="K279" s="146"/>
      <c r="L279" s="146">
        <f>IFERROR(__xludf.DUMMYFUNCTION("""COMPUTED_VALUE"""),2.0)</f>
        <v>2</v>
      </c>
      <c r="M279" s="146">
        <f>IFERROR(__xludf.DUMMYFUNCTION("""COMPUTED_VALUE"""),104.0)</f>
        <v>104</v>
      </c>
      <c r="N279" s="146">
        <f>IFERROR(__xludf.DUMMYFUNCTION("""COMPUTED_VALUE"""),52.0)</f>
        <v>52</v>
      </c>
      <c r="O279" s="146">
        <f>IFERROR(__xludf.DUMMYFUNCTION("""COMPUTED_VALUE"""),52.0)</f>
        <v>52</v>
      </c>
      <c r="P279" s="146"/>
      <c r="Q279" s="146"/>
      <c r="R279" s="146"/>
      <c r="T279" s="131" t="str">
        <f>IFERROR(__xludf.DUMMYFUNCTION("""COMPUTED_VALUE"""),"Y")</f>
        <v>Y</v>
      </c>
      <c r="U279" s="131" t="str">
        <f>IFERROR(__xludf.DUMMYFUNCTION("""COMPUTED_VALUE"""),"5")</f>
        <v>5</v>
      </c>
      <c r="V279" s="131"/>
      <c r="W279" s="144">
        <f>IFERROR(__xludf.DUMMYFUNCTION("""COMPUTED_VALUE"""),45704.0)</f>
        <v>45704</v>
      </c>
      <c r="X279" s="144">
        <f>IFERROR(__xludf.DUMMYFUNCTION("""COMPUTED_VALUE"""),45711.0)</f>
        <v>45711</v>
      </c>
      <c r="Y279" s="144">
        <f>IFERROR(__xludf.DUMMYFUNCTION("""COMPUTED_VALUE"""),45732.0)</f>
        <v>45732</v>
      </c>
      <c r="Z279" s="131" t="str">
        <f>IFERROR(__xludf.DUMMYFUNCTION("""COMPUTED_VALUE"""),"D41-4R")</f>
        <v>D41-4R</v>
      </c>
      <c r="AA279" s="131">
        <f>IFERROR(__xludf.DUMMYFUNCTION("""COMPUTED_VALUE"""),191.0)</f>
        <v>191</v>
      </c>
      <c r="AB279" s="131">
        <f>IFERROR(__xludf.DUMMYFUNCTION("""COMPUTED_VALUE"""),215.0)</f>
        <v>215</v>
      </c>
      <c r="AC279" s="131">
        <f>IFERROR(__xludf.DUMMYFUNCTION("""COMPUTED_VALUE"""),13.0)</f>
        <v>13</v>
      </c>
      <c r="AD279" s="131">
        <f>IFERROR(__xludf.DUMMYFUNCTION("""COMPUTED_VALUE"""),13.0)</f>
        <v>13</v>
      </c>
      <c r="AE279" s="131">
        <f>IFERROR(__xludf.DUMMYFUNCTION("""COMPUTED_VALUE"""),216.0)</f>
        <v>216</v>
      </c>
      <c r="AF279" s="131">
        <f>IFERROR(__xludf.DUMMYFUNCTION("""COMPUTED_VALUE"""),216.0)</f>
        <v>216</v>
      </c>
      <c r="AG279" s="131">
        <f>IFERROR(__xludf.DUMMYFUNCTION("""COMPUTED_VALUE"""),1.0)</f>
        <v>1</v>
      </c>
      <c r="AH279" s="131">
        <f>IFERROR(__xludf.DUMMYFUNCTION("""COMPUTED_VALUE"""),1.0)</f>
        <v>1</v>
      </c>
      <c r="AI279" s="131"/>
      <c r="AJ279" s="131"/>
      <c r="AK279" s="131"/>
    </row>
    <row r="280">
      <c r="A280" s="145" t="str">
        <f>IFERROR(__xludf.DUMMYFUNCTION("""COMPUTED_VALUE"""),"Y")</f>
        <v>Y</v>
      </c>
      <c r="B280" s="146" t="str">
        <f>IFERROR(__xludf.DUMMYFUNCTION("""COMPUTED_VALUE"""),"5")</f>
        <v>5</v>
      </c>
      <c r="C280" s="146"/>
      <c r="D280" s="147">
        <f>IFERROR(__xludf.DUMMYFUNCTION("""COMPUTED_VALUE"""),45704.0)</f>
        <v>45704</v>
      </c>
      <c r="E280" s="147">
        <f>IFERROR(__xludf.DUMMYFUNCTION("""COMPUTED_VALUE"""),45711.0)</f>
        <v>45711</v>
      </c>
      <c r="F280" s="147">
        <f>IFERROR(__xludf.DUMMYFUNCTION("""COMPUTED_VALUE"""),45732.0)</f>
        <v>45732</v>
      </c>
      <c r="G280" s="146" t="str">
        <f>IFERROR(__xludf.DUMMYFUNCTION("""COMPUTED_VALUE"""),"D41-4R")</f>
        <v>D41-4R</v>
      </c>
      <c r="H280" s="148">
        <f>IFERROR(__xludf.DUMMYFUNCTION("""COMPUTED_VALUE"""),191.0)</f>
        <v>191</v>
      </c>
      <c r="I280" s="148">
        <f>IFERROR(__xludf.DUMMYFUNCTION("""COMPUTED_VALUE"""),215.0)</f>
        <v>215</v>
      </c>
      <c r="J280" s="146">
        <f>IFERROR(__xludf.DUMMYFUNCTION("""COMPUTED_VALUE"""),13.0)</f>
        <v>13</v>
      </c>
      <c r="K280" s="146">
        <f>IFERROR(__xludf.DUMMYFUNCTION("""COMPUTED_VALUE"""),13.0)</f>
        <v>13</v>
      </c>
      <c r="L280" s="146">
        <f>IFERROR(__xludf.DUMMYFUNCTION("""COMPUTED_VALUE"""),216.0)</f>
        <v>216</v>
      </c>
      <c r="M280" s="146">
        <f>IFERROR(__xludf.DUMMYFUNCTION("""COMPUTED_VALUE"""),216.0)</f>
        <v>216</v>
      </c>
      <c r="N280" s="146">
        <f>IFERROR(__xludf.DUMMYFUNCTION("""COMPUTED_VALUE"""),1.0)</f>
        <v>1</v>
      </c>
      <c r="O280" s="146">
        <f>IFERROR(__xludf.DUMMYFUNCTION("""COMPUTED_VALUE"""),1.0)</f>
        <v>1</v>
      </c>
      <c r="P280" s="146"/>
      <c r="Q280" s="146"/>
      <c r="R280" s="146"/>
      <c r="T280" s="131" t="str">
        <f>IFERROR(__xludf.DUMMYFUNCTION("""COMPUTED_VALUE"""),"Y")</f>
        <v>Y</v>
      </c>
      <c r="U280" s="131" t="str">
        <f>IFERROR(__xludf.DUMMYFUNCTION("""COMPUTED_VALUE"""),"5")</f>
        <v>5</v>
      </c>
      <c r="V280" s="131"/>
      <c r="W280" s="144">
        <f>IFERROR(__xludf.DUMMYFUNCTION("""COMPUTED_VALUE"""),45704.0)</f>
        <v>45704</v>
      </c>
      <c r="X280" s="144">
        <f>IFERROR(__xludf.DUMMYFUNCTION("""COMPUTED_VALUE"""),45711.0)</f>
        <v>45711</v>
      </c>
      <c r="Y280" s="144">
        <f>IFERROR(__xludf.DUMMYFUNCTION("""COMPUTED_VALUE"""),45732.0)</f>
        <v>45732</v>
      </c>
      <c r="Z280" s="131" t="str">
        <f>IFERROR(__xludf.DUMMYFUNCTION("""COMPUTED_VALUE"""),"D41-4R")</f>
        <v>D41-4R</v>
      </c>
      <c r="AA280" s="131">
        <f>IFERROR(__xludf.DUMMYFUNCTION("""COMPUTED_VALUE"""),233.0)</f>
        <v>233</v>
      </c>
      <c r="AB280" s="131">
        <f>IFERROR(__xludf.DUMMYFUNCTION("""COMPUTED_VALUE"""),309.0)</f>
        <v>309</v>
      </c>
      <c r="AC280" s="131">
        <f>IFERROR(__xludf.DUMMYFUNCTION("""COMPUTED_VALUE"""),39.0)</f>
        <v>39</v>
      </c>
      <c r="AD280" s="131">
        <f>IFERROR(__xludf.DUMMYFUNCTION("""COMPUTED_VALUE"""),39.0)</f>
        <v>39</v>
      </c>
      <c r="AE280" s="131"/>
      <c r="AF280" s="131"/>
      <c r="AG280" s="131"/>
      <c r="AH280" s="131"/>
      <c r="AI280" s="131"/>
      <c r="AJ280" s="131"/>
      <c r="AK280" s="131"/>
    </row>
    <row r="281">
      <c r="A281" s="145" t="str">
        <f>IFERROR(__xludf.DUMMYFUNCTION("""COMPUTED_VALUE"""),"Y")</f>
        <v>Y</v>
      </c>
      <c r="B281" s="146" t="str">
        <f>IFERROR(__xludf.DUMMYFUNCTION("""COMPUTED_VALUE"""),"5")</f>
        <v>5</v>
      </c>
      <c r="C281" s="146"/>
      <c r="D281" s="147">
        <f>IFERROR(__xludf.DUMMYFUNCTION("""COMPUTED_VALUE"""),45704.0)</f>
        <v>45704</v>
      </c>
      <c r="E281" s="147">
        <f>IFERROR(__xludf.DUMMYFUNCTION("""COMPUTED_VALUE"""),45711.0)</f>
        <v>45711</v>
      </c>
      <c r="F281" s="147">
        <f>IFERROR(__xludf.DUMMYFUNCTION("""COMPUTED_VALUE"""),45732.0)</f>
        <v>45732</v>
      </c>
      <c r="G281" s="146" t="str">
        <f>IFERROR(__xludf.DUMMYFUNCTION("""COMPUTED_VALUE"""),"D41-4R")</f>
        <v>D41-4R</v>
      </c>
      <c r="H281" s="148">
        <f>IFERROR(__xludf.DUMMYFUNCTION("""COMPUTED_VALUE"""),233.0)</f>
        <v>233</v>
      </c>
      <c r="I281" s="148">
        <f>IFERROR(__xludf.DUMMYFUNCTION("""COMPUTED_VALUE"""),309.0)</f>
        <v>309</v>
      </c>
      <c r="J281" s="146">
        <f>IFERROR(__xludf.DUMMYFUNCTION("""COMPUTED_VALUE"""),39.0)</f>
        <v>39</v>
      </c>
      <c r="K281" s="146">
        <f>IFERROR(__xludf.DUMMYFUNCTION("""COMPUTED_VALUE"""),39.0)</f>
        <v>39</v>
      </c>
      <c r="L281" s="146"/>
      <c r="M281" s="146"/>
      <c r="N281" s="146"/>
      <c r="O281" s="146"/>
      <c r="P281" s="146"/>
      <c r="Q281" s="146"/>
      <c r="R281" s="146"/>
      <c r="T281" s="131" t="str">
        <f>IFERROR(__xludf.DUMMYFUNCTION("""COMPUTED_VALUE"""),"Y")</f>
        <v>Y</v>
      </c>
      <c r="U281" s="131" t="str">
        <f>IFERROR(__xludf.DUMMYFUNCTION("""COMPUTED_VALUE"""),"5")</f>
        <v>5</v>
      </c>
      <c r="V281" s="131"/>
      <c r="W281" s="144">
        <f>IFERROR(__xludf.DUMMYFUNCTION("""COMPUTED_VALUE"""),45704.0)</f>
        <v>45704</v>
      </c>
      <c r="X281" s="144">
        <f>IFERROR(__xludf.DUMMYFUNCTION("""COMPUTED_VALUE"""),45711.0)</f>
        <v>45711</v>
      </c>
      <c r="Y281" s="144">
        <f>IFERROR(__xludf.DUMMYFUNCTION("""COMPUTED_VALUE"""),45732.0)</f>
        <v>45732</v>
      </c>
      <c r="Z281" s="131" t="str">
        <f>IFERROR(__xludf.DUMMYFUNCTION("""COMPUTED_VALUE"""),"BRG11")</f>
        <v>BRG11</v>
      </c>
      <c r="AA281" s="131">
        <f>IFERROR(__xludf.DUMMYFUNCTION("""COMPUTED_VALUE"""),911.0)</f>
        <v>911</v>
      </c>
      <c r="AB281" s="131">
        <f>IFERROR(__xludf.DUMMYFUNCTION("""COMPUTED_VALUE"""),1031.0)</f>
        <v>1031</v>
      </c>
      <c r="AC281" s="131">
        <f>IFERROR(__xludf.DUMMYFUNCTION("""COMPUTED_VALUE"""),61.0)</f>
        <v>61</v>
      </c>
      <c r="AD281" s="131">
        <f>IFERROR(__xludf.DUMMYFUNCTION("""COMPUTED_VALUE"""),61.0)</f>
        <v>61</v>
      </c>
      <c r="AE281" s="131"/>
      <c r="AF281" s="131"/>
      <c r="AG281" s="131"/>
      <c r="AH281" s="131"/>
      <c r="AI281" s="131">
        <f>IFERROR(__xludf.DUMMYFUNCTION("""COMPUTED_VALUE"""),188.0)</f>
        <v>188</v>
      </c>
      <c r="AJ281" s="131"/>
      <c r="AK281" s="131"/>
    </row>
    <row r="282">
      <c r="A282" s="145" t="str">
        <f>IFERROR(__xludf.DUMMYFUNCTION("""COMPUTED_VALUE"""),"Y")</f>
        <v>Y</v>
      </c>
      <c r="B282" s="146" t="str">
        <f>IFERROR(__xludf.DUMMYFUNCTION("""COMPUTED_VALUE"""),"5")</f>
        <v>5</v>
      </c>
      <c r="C282" s="146"/>
      <c r="D282" s="147">
        <f>IFERROR(__xludf.DUMMYFUNCTION("""COMPUTED_VALUE"""),45704.0)</f>
        <v>45704</v>
      </c>
      <c r="E282" s="147">
        <f>IFERROR(__xludf.DUMMYFUNCTION("""COMPUTED_VALUE"""),45711.0)</f>
        <v>45711</v>
      </c>
      <c r="F282" s="147">
        <f>IFERROR(__xludf.DUMMYFUNCTION("""COMPUTED_VALUE"""),45732.0)</f>
        <v>45732</v>
      </c>
      <c r="G282" s="146" t="str">
        <f>IFERROR(__xludf.DUMMYFUNCTION("""COMPUTED_VALUE"""),"BRG11")</f>
        <v>BRG11</v>
      </c>
      <c r="H282" s="148">
        <f>IFERROR(__xludf.DUMMYFUNCTION("""COMPUTED_VALUE"""),911.0)</f>
        <v>911</v>
      </c>
      <c r="I282" s="148">
        <f>IFERROR(__xludf.DUMMYFUNCTION("""COMPUTED_VALUE"""),1031.0)</f>
        <v>1031</v>
      </c>
      <c r="J282" s="146">
        <f>IFERROR(__xludf.DUMMYFUNCTION("""COMPUTED_VALUE"""),61.0)</f>
        <v>61</v>
      </c>
      <c r="K282" s="146">
        <f>IFERROR(__xludf.DUMMYFUNCTION("""COMPUTED_VALUE"""),61.0)</f>
        <v>61</v>
      </c>
      <c r="L282" s="146"/>
      <c r="M282" s="146"/>
      <c r="N282" s="146"/>
      <c r="O282" s="146"/>
      <c r="P282" s="146">
        <f>IFERROR(__xludf.DUMMYFUNCTION("""COMPUTED_VALUE"""),188.0)</f>
        <v>188</v>
      </c>
      <c r="Q282" s="146"/>
      <c r="R282" s="146"/>
      <c r="T282" s="131" t="str">
        <f>IFERROR(__xludf.DUMMYFUNCTION("""COMPUTED_VALUE"""),"Y")</f>
        <v>Y</v>
      </c>
      <c r="U282" s="131" t="str">
        <f>IFERROR(__xludf.DUMMYFUNCTION("""COMPUTED_VALUE"""),"5")</f>
        <v>5</v>
      </c>
      <c r="V282" s="131"/>
      <c r="W282" s="144">
        <f>IFERROR(__xludf.DUMMYFUNCTION("""COMPUTED_VALUE"""),45704.0)</f>
        <v>45704</v>
      </c>
      <c r="X282" s="144">
        <f>IFERROR(__xludf.DUMMYFUNCTION("""COMPUTED_VALUE"""),45711.0)</f>
        <v>45711</v>
      </c>
      <c r="Y282" s="144">
        <f>IFERROR(__xludf.DUMMYFUNCTION("""COMPUTED_VALUE"""),45732.0)</f>
        <v>45732</v>
      </c>
      <c r="Z282" s="131" t="str">
        <f>IFERROR(__xludf.DUMMYFUNCTION("""COMPUTED_VALUE"""),"DC38")</f>
        <v>DC38</v>
      </c>
      <c r="AA282" s="131">
        <f>IFERROR(__xludf.DUMMYFUNCTION("""COMPUTED_VALUE"""),3.0)</f>
        <v>3</v>
      </c>
      <c r="AB282" s="131">
        <f>IFERROR(__xludf.DUMMYFUNCTION("""COMPUTED_VALUE"""),75.0)</f>
        <v>75</v>
      </c>
      <c r="AC282" s="131">
        <f>IFERROR(__xludf.DUMMYFUNCTION("""COMPUTED_VALUE"""),37.0)</f>
        <v>37</v>
      </c>
      <c r="AD282" s="131">
        <f>IFERROR(__xludf.DUMMYFUNCTION("""COMPUTED_VALUE"""),37.0)</f>
        <v>37</v>
      </c>
      <c r="AE282" s="131"/>
      <c r="AF282" s="131"/>
      <c r="AG282" s="131"/>
      <c r="AH282" s="131"/>
      <c r="AI282" s="131">
        <f>IFERROR(__xludf.DUMMYFUNCTION("""COMPUTED_VALUE"""),189.0)</f>
        <v>189</v>
      </c>
      <c r="AJ282" s="131"/>
      <c r="AK282" s="131"/>
    </row>
    <row r="283">
      <c r="A283" s="145" t="str">
        <f>IFERROR(__xludf.DUMMYFUNCTION("""COMPUTED_VALUE"""),"Y")</f>
        <v>Y</v>
      </c>
      <c r="B283" s="146" t="str">
        <f>IFERROR(__xludf.DUMMYFUNCTION("""COMPUTED_VALUE"""),"5")</f>
        <v>5</v>
      </c>
      <c r="C283" s="146"/>
      <c r="D283" s="147">
        <f>IFERROR(__xludf.DUMMYFUNCTION("""COMPUTED_VALUE"""),45704.0)</f>
        <v>45704</v>
      </c>
      <c r="E283" s="147">
        <f>IFERROR(__xludf.DUMMYFUNCTION("""COMPUTED_VALUE"""),45711.0)</f>
        <v>45711</v>
      </c>
      <c r="F283" s="147">
        <f>IFERROR(__xludf.DUMMYFUNCTION("""COMPUTED_VALUE"""),45732.0)</f>
        <v>45732</v>
      </c>
      <c r="G283" s="146" t="str">
        <f>IFERROR(__xludf.DUMMYFUNCTION("""COMPUTED_VALUE"""),"DC38")</f>
        <v>DC38</v>
      </c>
      <c r="H283" s="148">
        <f>IFERROR(__xludf.DUMMYFUNCTION("""COMPUTED_VALUE"""),3.0)</f>
        <v>3</v>
      </c>
      <c r="I283" s="148">
        <f>IFERROR(__xludf.DUMMYFUNCTION("""COMPUTED_VALUE"""),75.0)</f>
        <v>75</v>
      </c>
      <c r="J283" s="146">
        <f>IFERROR(__xludf.DUMMYFUNCTION("""COMPUTED_VALUE"""),37.0)</f>
        <v>37</v>
      </c>
      <c r="K283" s="146">
        <f>IFERROR(__xludf.DUMMYFUNCTION("""COMPUTED_VALUE"""),37.0)</f>
        <v>37</v>
      </c>
      <c r="L283" s="146"/>
      <c r="M283" s="146"/>
      <c r="N283" s="146"/>
      <c r="O283" s="146"/>
      <c r="P283" s="146">
        <f>IFERROR(__xludf.DUMMYFUNCTION("""COMPUTED_VALUE"""),189.0)</f>
        <v>189</v>
      </c>
      <c r="Q283" s="146"/>
      <c r="R283" s="146"/>
      <c r="T283" s="131" t="str">
        <f>IFERROR(__xludf.DUMMYFUNCTION("""COMPUTED_VALUE"""),"Y")</f>
        <v>Y</v>
      </c>
      <c r="U283" s="131" t="str">
        <f>IFERROR(__xludf.DUMMYFUNCTION("""COMPUTED_VALUE"""),"5")</f>
        <v>5</v>
      </c>
      <c r="V283" s="131"/>
      <c r="W283" s="144">
        <f>IFERROR(__xludf.DUMMYFUNCTION("""COMPUTED_VALUE"""),45704.0)</f>
        <v>45704</v>
      </c>
      <c r="X283" s="144">
        <f>IFERROR(__xludf.DUMMYFUNCTION("""COMPUTED_VALUE"""),45711.0)</f>
        <v>45711</v>
      </c>
      <c r="Y283" s="144">
        <f>IFERROR(__xludf.DUMMYFUNCTION("""COMPUTED_VALUE"""),45732.0)</f>
        <v>45732</v>
      </c>
      <c r="Z283" s="131" t="str">
        <f>IFERROR(__xludf.DUMMYFUNCTION("""COMPUTED_VALUE"""),"DC38")</f>
        <v>DC38</v>
      </c>
      <c r="AA283" s="131">
        <f>IFERROR(__xludf.DUMMYFUNCTION("""COMPUTED_VALUE"""),91.0)</f>
        <v>91</v>
      </c>
      <c r="AB283" s="131">
        <f>IFERROR(__xludf.DUMMYFUNCTION("""COMPUTED_VALUE"""),139.0)</f>
        <v>139</v>
      </c>
      <c r="AC283" s="131">
        <f>IFERROR(__xludf.DUMMYFUNCTION("""COMPUTED_VALUE"""),25.0)</f>
        <v>25</v>
      </c>
      <c r="AD283" s="131">
        <f>IFERROR(__xludf.DUMMYFUNCTION("""COMPUTED_VALUE"""),25.0)</f>
        <v>25</v>
      </c>
      <c r="AE283" s="131"/>
      <c r="AF283" s="131"/>
      <c r="AG283" s="131"/>
      <c r="AH283" s="131"/>
      <c r="AI283" s="131">
        <f>IFERROR(__xludf.DUMMYFUNCTION("""COMPUTED_VALUE"""),189.0)</f>
        <v>189</v>
      </c>
      <c r="AJ283" s="131"/>
      <c r="AK283" s="131"/>
    </row>
    <row r="284">
      <c r="A284" s="145" t="str">
        <f>IFERROR(__xludf.DUMMYFUNCTION("""COMPUTED_VALUE"""),"Y")</f>
        <v>Y</v>
      </c>
      <c r="B284" s="146" t="str">
        <f>IFERROR(__xludf.DUMMYFUNCTION("""COMPUTED_VALUE"""),"5")</f>
        <v>5</v>
      </c>
      <c r="C284" s="146"/>
      <c r="D284" s="147">
        <f>IFERROR(__xludf.DUMMYFUNCTION("""COMPUTED_VALUE"""),45704.0)</f>
        <v>45704</v>
      </c>
      <c r="E284" s="147">
        <f>IFERROR(__xludf.DUMMYFUNCTION("""COMPUTED_VALUE"""),45711.0)</f>
        <v>45711</v>
      </c>
      <c r="F284" s="147">
        <f>IFERROR(__xludf.DUMMYFUNCTION("""COMPUTED_VALUE"""),45732.0)</f>
        <v>45732</v>
      </c>
      <c r="G284" s="146" t="str">
        <f>IFERROR(__xludf.DUMMYFUNCTION("""COMPUTED_VALUE"""),"DC38")</f>
        <v>DC38</v>
      </c>
      <c r="H284" s="148">
        <f>IFERROR(__xludf.DUMMYFUNCTION("""COMPUTED_VALUE"""),91.0)</f>
        <v>91</v>
      </c>
      <c r="I284" s="148">
        <f>IFERROR(__xludf.DUMMYFUNCTION("""COMPUTED_VALUE"""),139.0)</f>
        <v>139</v>
      </c>
      <c r="J284" s="146">
        <f>IFERROR(__xludf.DUMMYFUNCTION("""COMPUTED_VALUE"""),25.0)</f>
        <v>25</v>
      </c>
      <c r="K284" s="146">
        <f>IFERROR(__xludf.DUMMYFUNCTION("""COMPUTED_VALUE"""),25.0)</f>
        <v>25</v>
      </c>
      <c r="L284" s="146"/>
      <c r="M284" s="146"/>
      <c r="N284" s="146"/>
      <c r="O284" s="146"/>
      <c r="P284" s="146">
        <f>IFERROR(__xludf.DUMMYFUNCTION("""COMPUTED_VALUE"""),189.0)</f>
        <v>189</v>
      </c>
      <c r="Q284" s="146"/>
      <c r="R284" s="146"/>
      <c r="T284" s="131" t="str">
        <f>IFERROR(__xludf.DUMMYFUNCTION("""COMPUTED_VALUE"""),"Y")</f>
        <v>Y</v>
      </c>
      <c r="U284" s="131" t="str">
        <f>IFERROR(__xludf.DUMMYFUNCTION("""COMPUTED_VALUE"""),"5")</f>
        <v>5</v>
      </c>
      <c r="V284" s="131"/>
      <c r="W284" s="144">
        <f>IFERROR(__xludf.DUMMYFUNCTION("""COMPUTED_VALUE"""),45705.0)</f>
        <v>45705</v>
      </c>
      <c r="X284" s="144">
        <f>IFERROR(__xludf.DUMMYFUNCTION("""COMPUTED_VALUE"""),45712.0)</f>
        <v>45712</v>
      </c>
      <c r="Y284" s="144">
        <f>IFERROR(__xludf.DUMMYFUNCTION("""COMPUTED_VALUE"""),45733.0)</f>
        <v>45733</v>
      </c>
      <c r="Z284" s="131" t="str">
        <f>IFERROR(__xludf.DUMMYFUNCTION("""COMPUTED_VALUE"""),"D41-4L")</f>
        <v>D41-4L</v>
      </c>
      <c r="AA284" s="131">
        <f>IFERROR(__xludf.DUMMYFUNCTION("""COMPUTED_VALUE"""),1.0)</f>
        <v>1</v>
      </c>
      <c r="AB284" s="131">
        <f>IFERROR(__xludf.DUMMYFUNCTION("""COMPUTED_VALUE"""),103.0)</f>
        <v>103</v>
      </c>
      <c r="AC284" s="131">
        <f>IFERROR(__xludf.DUMMYFUNCTION("""COMPUTED_VALUE"""),52.0)</f>
        <v>52</v>
      </c>
      <c r="AD284" s="131">
        <f>IFERROR(__xludf.DUMMYFUNCTION("""COMPUTED_VALUE"""),52.0)</f>
        <v>52</v>
      </c>
      <c r="AE284" s="131">
        <f>IFERROR(__xludf.DUMMYFUNCTION("""COMPUTED_VALUE"""),106.0)</f>
        <v>106</v>
      </c>
      <c r="AF284" s="131">
        <f>IFERROR(__xludf.DUMMYFUNCTION("""COMPUTED_VALUE"""),198.0)</f>
        <v>198</v>
      </c>
      <c r="AG284" s="131">
        <f>IFERROR(__xludf.DUMMYFUNCTION("""COMPUTED_VALUE"""),47.0)</f>
        <v>47</v>
      </c>
      <c r="AH284" s="131">
        <f>IFERROR(__xludf.DUMMYFUNCTION("""COMPUTED_VALUE"""),47.0)</f>
        <v>47</v>
      </c>
      <c r="AI284" s="131"/>
      <c r="AJ284" s="131"/>
      <c r="AK284" s="131"/>
    </row>
    <row r="285">
      <c r="A285" s="145" t="str">
        <f>IFERROR(__xludf.DUMMYFUNCTION("""COMPUTED_VALUE"""),"Y")</f>
        <v>Y</v>
      </c>
      <c r="B285" s="146" t="str">
        <f>IFERROR(__xludf.DUMMYFUNCTION("""COMPUTED_VALUE"""),"5")</f>
        <v>5</v>
      </c>
      <c r="C285" s="146"/>
      <c r="D285" s="147">
        <f>IFERROR(__xludf.DUMMYFUNCTION("""COMPUTED_VALUE"""),45705.0)</f>
        <v>45705</v>
      </c>
      <c r="E285" s="147">
        <f>IFERROR(__xludf.DUMMYFUNCTION("""COMPUTED_VALUE"""),45712.0)</f>
        <v>45712</v>
      </c>
      <c r="F285" s="147">
        <f>IFERROR(__xludf.DUMMYFUNCTION("""COMPUTED_VALUE"""),45733.0)</f>
        <v>45733</v>
      </c>
      <c r="G285" s="146" t="str">
        <f>IFERROR(__xludf.DUMMYFUNCTION("""COMPUTED_VALUE"""),"D41-4L")</f>
        <v>D41-4L</v>
      </c>
      <c r="H285" s="148">
        <f>IFERROR(__xludf.DUMMYFUNCTION("""COMPUTED_VALUE"""),1.0)</f>
        <v>1</v>
      </c>
      <c r="I285" s="148">
        <f>IFERROR(__xludf.DUMMYFUNCTION("""COMPUTED_VALUE"""),103.0)</f>
        <v>103</v>
      </c>
      <c r="J285" s="146">
        <f>IFERROR(__xludf.DUMMYFUNCTION("""COMPUTED_VALUE"""),52.0)</f>
        <v>52</v>
      </c>
      <c r="K285" s="146">
        <f>IFERROR(__xludf.DUMMYFUNCTION("""COMPUTED_VALUE"""),52.0)</f>
        <v>52</v>
      </c>
      <c r="L285" s="146">
        <f>IFERROR(__xludf.DUMMYFUNCTION("""COMPUTED_VALUE"""),106.0)</f>
        <v>106</v>
      </c>
      <c r="M285" s="146">
        <f>IFERROR(__xludf.DUMMYFUNCTION("""COMPUTED_VALUE"""),198.0)</f>
        <v>198</v>
      </c>
      <c r="N285" s="146">
        <f>IFERROR(__xludf.DUMMYFUNCTION("""COMPUTED_VALUE"""),47.0)</f>
        <v>47</v>
      </c>
      <c r="O285" s="146">
        <f>IFERROR(__xludf.DUMMYFUNCTION("""COMPUTED_VALUE"""),47.0)</f>
        <v>47</v>
      </c>
      <c r="P285" s="146"/>
      <c r="Q285" s="146"/>
      <c r="R285" s="146"/>
      <c r="T285" s="131" t="str">
        <f>IFERROR(__xludf.DUMMYFUNCTION("""COMPUTED_VALUE"""),"Y")</f>
        <v>Y</v>
      </c>
      <c r="U285" s="131" t="str">
        <f>IFERROR(__xludf.DUMMYFUNCTION("""COMPUTED_VALUE"""),"5")</f>
        <v>5</v>
      </c>
      <c r="V285" s="131"/>
      <c r="W285" s="144">
        <f>IFERROR(__xludf.DUMMYFUNCTION("""COMPUTED_VALUE"""),45705.0)</f>
        <v>45705</v>
      </c>
      <c r="X285" s="144">
        <f>IFERROR(__xludf.DUMMYFUNCTION("""COMPUTED_VALUE"""),45712.0)</f>
        <v>45712</v>
      </c>
      <c r="Y285" s="144">
        <f>IFERROR(__xludf.DUMMYFUNCTION("""COMPUTED_VALUE"""),45733.0)</f>
        <v>45733</v>
      </c>
      <c r="Z285" s="131" t="str">
        <f>IFERROR(__xludf.DUMMYFUNCTION("""COMPUTED_VALUE"""),"BRG11")</f>
        <v>BRG11</v>
      </c>
      <c r="AA285" s="131">
        <f>IFERROR(__xludf.DUMMYFUNCTION("""COMPUTED_VALUE"""),1033.0)</f>
        <v>1033</v>
      </c>
      <c r="AB285" s="131">
        <f>IFERROR(__xludf.DUMMYFUNCTION("""COMPUTED_VALUE"""),1105.0)</f>
        <v>1105</v>
      </c>
      <c r="AC285" s="131">
        <f>IFERROR(__xludf.DUMMYFUNCTION("""COMPUTED_VALUE"""),37.0)</f>
        <v>37</v>
      </c>
      <c r="AD285" s="131">
        <f>IFERROR(__xludf.DUMMYFUNCTION("""COMPUTED_VALUE"""),37.0)</f>
        <v>37</v>
      </c>
      <c r="AE285" s="131">
        <f>IFERROR(__xludf.DUMMYFUNCTION("""COMPUTED_VALUE"""),862.0)</f>
        <v>862</v>
      </c>
      <c r="AF285" s="131">
        <f>IFERROR(__xludf.DUMMYFUNCTION("""COMPUTED_VALUE"""),902.0)</f>
        <v>902</v>
      </c>
      <c r="AG285" s="131">
        <f>IFERROR(__xludf.DUMMYFUNCTION("""COMPUTED_VALUE"""),21.0)</f>
        <v>21</v>
      </c>
      <c r="AH285" s="131">
        <f>IFERROR(__xludf.DUMMYFUNCTION("""COMPUTED_VALUE"""),21.0)</f>
        <v>21</v>
      </c>
      <c r="AI285" s="131">
        <f>IFERROR(__xludf.DUMMYFUNCTION("""COMPUTED_VALUE"""),191.0)</f>
        <v>191</v>
      </c>
      <c r="AJ285" s="131"/>
      <c r="AK285" s="131"/>
    </row>
    <row r="286">
      <c r="A286" s="145" t="str">
        <f>IFERROR(__xludf.DUMMYFUNCTION("""COMPUTED_VALUE"""),"Y")</f>
        <v>Y</v>
      </c>
      <c r="B286" s="146" t="str">
        <f>IFERROR(__xludf.DUMMYFUNCTION("""COMPUTED_VALUE"""),"5")</f>
        <v>5</v>
      </c>
      <c r="C286" s="146"/>
      <c r="D286" s="147">
        <f>IFERROR(__xludf.DUMMYFUNCTION("""COMPUTED_VALUE"""),45705.0)</f>
        <v>45705</v>
      </c>
      <c r="E286" s="147">
        <f>IFERROR(__xludf.DUMMYFUNCTION("""COMPUTED_VALUE"""),45712.0)</f>
        <v>45712</v>
      </c>
      <c r="F286" s="147">
        <f>IFERROR(__xludf.DUMMYFUNCTION("""COMPUTED_VALUE"""),45733.0)</f>
        <v>45733</v>
      </c>
      <c r="G286" s="146" t="str">
        <f>IFERROR(__xludf.DUMMYFUNCTION("""COMPUTED_VALUE"""),"BRG11")</f>
        <v>BRG11</v>
      </c>
      <c r="H286" s="148">
        <f>IFERROR(__xludf.DUMMYFUNCTION("""COMPUTED_VALUE"""),1033.0)</f>
        <v>1033</v>
      </c>
      <c r="I286" s="148">
        <f>IFERROR(__xludf.DUMMYFUNCTION("""COMPUTED_VALUE"""),1105.0)</f>
        <v>1105</v>
      </c>
      <c r="J286" s="146">
        <f>IFERROR(__xludf.DUMMYFUNCTION("""COMPUTED_VALUE"""),37.0)</f>
        <v>37</v>
      </c>
      <c r="K286" s="146">
        <f>IFERROR(__xludf.DUMMYFUNCTION("""COMPUTED_VALUE"""),37.0)</f>
        <v>37</v>
      </c>
      <c r="L286" s="146">
        <f>IFERROR(__xludf.DUMMYFUNCTION("""COMPUTED_VALUE"""),862.0)</f>
        <v>862</v>
      </c>
      <c r="M286" s="146">
        <f>IFERROR(__xludf.DUMMYFUNCTION("""COMPUTED_VALUE"""),902.0)</f>
        <v>902</v>
      </c>
      <c r="N286" s="146">
        <f>IFERROR(__xludf.DUMMYFUNCTION("""COMPUTED_VALUE"""),21.0)</f>
        <v>21</v>
      </c>
      <c r="O286" s="146">
        <f>IFERROR(__xludf.DUMMYFUNCTION("""COMPUTED_VALUE"""),21.0)</f>
        <v>21</v>
      </c>
      <c r="P286" s="146">
        <f>IFERROR(__xludf.DUMMYFUNCTION("""COMPUTED_VALUE"""),191.0)</f>
        <v>191</v>
      </c>
      <c r="Q286" s="146"/>
      <c r="R286" s="146"/>
      <c r="T286" s="131" t="str">
        <f>IFERROR(__xludf.DUMMYFUNCTION("""COMPUTED_VALUE"""),"Y")</f>
        <v>Y</v>
      </c>
      <c r="U286" s="131" t="str">
        <f>IFERROR(__xludf.DUMMYFUNCTION("""COMPUTED_VALUE"""),"5")</f>
        <v>5</v>
      </c>
      <c r="V286" s="131"/>
      <c r="W286" s="144">
        <f>IFERROR(__xludf.DUMMYFUNCTION("""COMPUTED_VALUE"""),45705.0)</f>
        <v>45705</v>
      </c>
      <c r="X286" s="144">
        <f>IFERROR(__xludf.DUMMYFUNCTION("""COMPUTED_VALUE"""),45712.0)</f>
        <v>45712</v>
      </c>
      <c r="Y286" s="144">
        <f>IFERROR(__xludf.DUMMYFUNCTION("""COMPUTED_VALUE"""),45733.0)</f>
        <v>45733</v>
      </c>
      <c r="Z286" s="131" t="str">
        <f>IFERROR(__xludf.DUMMYFUNCTION("""COMPUTED_VALUE"""),"DC38")</f>
        <v>DC38</v>
      </c>
      <c r="AA286" s="131">
        <f>IFERROR(__xludf.DUMMYFUNCTION("""COMPUTED_VALUE"""),141.0)</f>
        <v>141</v>
      </c>
      <c r="AB286" s="131">
        <f>IFERROR(__xludf.DUMMYFUNCTION("""COMPUTED_VALUE"""),167.0)</f>
        <v>167</v>
      </c>
      <c r="AC286" s="131">
        <f>IFERROR(__xludf.DUMMYFUNCTION("""COMPUTED_VALUE"""),14.0)</f>
        <v>14</v>
      </c>
      <c r="AD286" s="131">
        <f>IFERROR(__xludf.DUMMYFUNCTION("""COMPUTED_VALUE"""),14.0)</f>
        <v>14</v>
      </c>
      <c r="AE286" s="131">
        <f>IFERROR(__xludf.DUMMYFUNCTION("""COMPUTED_VALUE"""),4.0)</f>
        <v>4</v>
      </c>
      <c r="AF286" s="131">
        <f>IFERROR(__xludf.DUMMYFUNCTION("""COMPUTED_VALUE"""),28.0)</f>
        <v>28</v>
      </c>
      <c r="AG286" s="131">
        <f>IFERROR(__xludf.DUMMYFUNCTION("""COMPUTED_VALUE"""),13.0)</f>
        <v>13</v>
      </c>
      <c r="AH286" s="131">
        <f>IFERROR(__xludf.DUMMYFUNCTION("""COMPUTED_VALUE"""),13.0)</f>
        <v>13</v>
      </c>
      <c r="AI286" s="131">
        <f>IFERROR(__xludf.DUMMYFUNCTION("""COMPUTED_VALUE"""),192.0)</f>
        <v>192</v>
      </c>
      <c r="AJ286" s="131"/>
      <c r="AK286" s="131"/>
    </row>
    <row r="287">
      <c r="A287" s="145" t="str">
        <f>IFERROR(__xludf.DUMMYFUNCTION("""COMPUTED_VALUE"""),"Y")</f>
        <v>Y</v>
      </c>
      <c r="B287" s="146" t="str">
        <f>IFERROR(__xludf.DUMMYFUNCTION("""COMPUTED_VALUE"""),"5")</f>
        <v>5</v>
      </c>
      <c r="C287" s="146"/>
      <c r="D287" s="147">
        <f>IFERROR(__xludf.DUMMYFUNCTION("""COMPUTED_VALUE"""),45705.0)</f>
        <v>45705</v>
      </c>
      <c r="E287" s="147">
        <f>IFERROR(__xludf.DUMMYFUNCTION("""COMPUTED_VALUE"""),45712.0)</f>
        <v>45712</v>
      </c>
      <c r="F287" s="147">
        <f>IFERROR(__xludf.DUMMYFUNCTION("""COMPUTED_VALUE"""),45733.0)</f>
        <v>45733</v>
      </c>
      <c r="G287" s="146" t="str">
        <f>IFERROR(__xludf.DUMMYFUNCTION("""COMPUTED_VALUE"""),"DC38")</f>
        <v>DC38</v>
      </c>
      <c r="H287" s="148">
        <f>IFERROR(__xludf.DUMMYFUNCTION("""COMPUTED_VALUE"""),141.0)</f>
        <v>141</v>
      </c>
      <c r="I287" s="148">
        <f>IFERROR(__xludf.DUMMYFUNCTION("""COMPUTED_VALUE"""),167.0)</f>
        <v>167</v>
      </c>
      <c r="J287" s="146">
        <f>IFERROR(__xludf.DUMMYFUNCTION("""COMPUTED_VALUE"""),14.0)</f>
        <v>14</v>
      </c>
      <c r="K287" s="146">
        <f>IFERROR(__xludf.DUMMYFUNCTION("""COMPUTED_VALUE"""),14.0)</f>
        <v>14</v>
      </c>
      <c r="L287" s="146">
        <f>IFERROR(__xludf.DUMMYFUNCTION("""COMPUTED_VALUE"""),4.0)</f>
        <v>4</v>
      </c>
      <c r="M287" s="146">
        <f>IFERROR(__xludf.DUMMYFUNCTION("""COMPUTED_VALUE"""),28.0)</f>
        <v>28</v>
      </c>
      <c r="N287" s="146">
        <f>IFERROR(__xludf.DUMMYFUNCTION("""COMPUTED_VALUE"""),13.0)</f>
        <v>13</v>
      </c>
      <c r="O287" s="146">
        <f>IFERROR(__xludf.DUMMYFUNCTION("""COMPUTED_VALUE"""),13.0)</f>
        <v>13</v>
      </c>
      <c r="P287" s="146">
        <f>IFERROR(__xludf.DUMMYFUNCTION("""COMPUTED_VALUE"""),192.0)</f>
        <v>192</v>
      </c>
      <c r="Q287" s="146"/>
      <c r="R287" s="146"/>
      <c r="T287" s="131" t="str">
        <f>IFERROR(__xludf.DUMMYFUNCTION("""COMPUTED_VALUE"""),"Y")</f>
        <v>Y</v>
      </c>
      <c r="U287" s="131" t="str">
        <f>IFERROR(__xludf.DUMMYFUNCTION("""COMPUTED_VALUE"""),"5")</f>
        <v>5</v>
      </c>
      <c r="V287" s="131"/>
      <c r="W287" s="144">
        <f>IFERROR(__xludf.DUMMYFUNCTION("""COMPUTED_VALUE"""),45705.0)</f>
        <v>45705</v>
      </c>
      <c r="X287" s="144">
        <f>IFERROR(__xludf.DUMMYFUNCTION("""COMPUTED_VALUE"""),45712.0)</f>
        <v>45712</v>
      </c>
      <c r="Y287" s="144">
        <f>IFERROR(__xludf.DUMMYFUNCTION("""COMPUTED_VALUE"""),45733.0)</f>
        <v>45733</v>
      </c>
      <c r="Z287" s="131" t="str">
        <f>IFERROR(__xludf.DUMMYFUNCTION("""COMPUTED_VALUE"""),"DC38")</f>
        <v>DC38</v>
      </c>
      <c r="AA287" s="131"/>
      <c r="AB287" s="131"/>
      <c r="AC287" s="131"/>
      <c r="AD287" s="131"/>
      <c r="AE287" s="131">
        <f>IFERROR(__xludf.DUMMYFUNCTION("""COMPUTED_VALUE"""),92.0)</f>
        <v>92</v>
      </c>
      <c r="AF287" s="131">
        <f>IFERROR(__xludf.DUMMYFUNCTION("""COMPUTED_VALUE"""),138.0)</f>
        <v>138</v>
      </c>
      <c r="AG287" s="131">
        <f>IFERROR(__xludf.DUMMYFUNCTION("""COMPUTED_VALUE"""),24.0)</f>
        <v>24</v>
      </c>
      <c r="AH287" s="131">
        <f>IFERROR(__xludf.DUMMYFUNCTION("""COMPUTED_VALUE"""),24.0)</f>
        <v>24</v>
      </c>
      <c r="AI287" s="131">
        <f>IFERROR(__xludf.DUMMYFUNCTION("""COMPUTED_VALUE"""),192.0)</f>
        <v>192</v>
      </c>
      <c r="AJ287" s="131"/>
      <c r="AK287" s="131"/>
    </row>
    <row r="288">
      <c r="A288" s="145" t="str">
        <f>IFERROR(__xludf.DUMMYFUNCTION("""COMPUTED_VALUE"""),"Y")</f>
        <v>Y</v>
      </c>
      <c r="B288" s="146" t="str">
        <f>IFERROR(__xludf.DUMMYFUNCTION("""COMPUTED_VALUE"""),"5")</f>
        <v>5</v>
      </c>
      <c r="C288" s="146"/>
      <c r="D288" s="147">
        <f>IFERROR(__xludf.DUMMYFUNCTION("""COMPUTED_VALUE"""),45705.0)</f>
        <v>45705</v>
      </c>
      <c r="E288" s="147">
        <f>IFERROR(__xludf.DUMMYFUNCTION("""COMPUTED_VALUE"""),45712.0)</f>
        <v>45712</v>
      </c>
      <c r="F288" s="147">
        <f>IFERROR(__xludf.DUMMYFUNCTION("""COMPUTED_VALUE"""),45733.0)</f>
        <v>45733</v>
      </c>
      <c r="G288" s="146" t="str">
        <f>IFERROR(__xludf.DUMMYFUNCTION("""COMPUTED_VALUE"""),"DC38")</f>
        <v>DC38</v>
      </c>
      <c r="H288" s="148"/>
      <c r="I288" s="148"/>
      <c r="J288" s="146"/>
      <c r="K288" s="146"/>
      <c r="L288" s="146">
        <f>IFERROR(__xludf.DUMMYFUNCTION("""COMPUTED_VALUE"""),92.0)</f>
        <v>92</v>
      </c>
      <c r="M288" s="146">
        <f>IFERROR(__xludf.DUMMYFUNCTION("""COMPUTED_VALUE"""),138.0)</f>
        <v>138</v>
      </c>
      <c r="N288" s="146">
        <f>IFERROR(__xludf.DUMMYFUNCTION("""COMPUTED_VALUE"""),24.0)</f>
        <v>24</v>
      </c>
      <c r="O288" s="146">
        <f>IFERROR(__xludf.DUMMYFUNCTION("""COMPUTED_VALUE"""),24.0)</f>
        <v>24</v>
      </c>
      <c r="P288" s="146">
        <f>IFERROR(__xludf.DUMMYFUNCTION("""COMPUTED_VALUE"""),192.0)</f>
        <v>192</v>
      </c>
      <c r="Q288" s="146"/>
      <c r="R288" s="146"/>
      <c r="T288" s="131" t="str">
        <f>IFERROR(__xludf.DUMMYFUNCTION("""COMPUTED_VALUE"""),"Y")</f>
        <v>Y</v>
      </c>
      <c r="U288" s="131" t="str">
        <f>IFERROR(__xludf.DUMMYFUNCTION("""COMPUTED_VALUE"""),"5")</f>
        <v>5</v>
      </c>
      <c r="V288" s="131"/>
      <c r="W288" s="144">
        <f>IFERROR(__xludf.DUMMYFUNCTION("""COMPUTED_VALUE"""),45706.0)</f>
        <v>45706</v>
      </c>
      <c r="X288" s="144">
        <f>IFERROR(__xludf.DUMMYFUNCTION("""COMPUTED_VALUE"""),45713.0)</f>
        <v>45713</v>
      </c>
      <c r="Y288" s="144">
        <f>IFERROR(__xludf.DUMMYFUNCTION("""COMPUTED_VALUE"""),45734.0)</f>
        <v>45734</v>
      </c>
      <c r="Z288" s="131" t="str">
        <f>IFERROR(__xludf.DUMMYFUNCTION("""COMPUTED_VALUE"""),"D41-4L")</f>
        <v>D41-4L</v>
      </c>
      <c r="AA288" s="131">
        <f>IFERROR(__xludf.DUMMYFUNCTION("""COMPUTED_VALUE"""),105.0)</f>
        <v>105</v>
      </c>
      <c r="AB288" s="131">
        <f>IFERROR(__xludf.DUMMYFUNCTION("""COMPUTED_VALUE"""),197.0)</f>
        <v>197</v>
      </c>
      <c r="AC288" s="131">
        <f>IFERROR(__xludf.DUMMYFUNCTION("""COMPUTED_VALUE"""),47.0)</f>
        <v>47</v>
      </c>
      <c r="AD288" s="131">
        <f>IFERROR(__xludf.DUMMYFUNCTION("""COMPUTED_VALUE"""),47.0)</f>
        <v>47</v>
      </c>
      <c r="AE288" s="131">
        <f>IFERROR(__xludf.DUMMYFUNCTION("""COMPUTED_VALUE"""),200.0)</f>
        <v>200</v>
      </c>
      <c r="AF288" s="131">
        <f>IFERROR(__xludf.DUMMYFUNCTION("""COMPUTED_VALUE"""),302.0)</f>
        <v>302</v>
      </c>
      <c r="AG288" s="131">
        <f>IFERROR(__xludf.DUMMYFUNCTION("""COMPUTED_VALUE"""),52.0)</f>
        <v>52</v>
      </c>
      <c r="AH288" s="131">
        <f>IFERROR(__xludf.DUMMYFUNCTION("""COMPUTED_VALUE"""),52.0)</f>
        <v>52</v>
      </c>
      <c r="AI288" s="131"/>
      <c r="AJ288" s="131"/>
      <c r="AK288" s="131"/>
    </row>
    <row r="289">
      <c r="A289" s="145" t="str">
        <f>IFERROR(__xludf.DUMMYFUNCTION("""COMPUTED_VALUE"""),"Y")</f>
        <v>Y</v>
      </c>
      <c r="B289" s="146" t="str">
        <f>IFERROR(__xludf.DUMMYFUNCTION("""COMPUTED_VALUE"""),"5")</f>
        <v>5</v>
      </c>
      <c r="C289" s="146"/>
      <c r="D289" s="147">
        <f>IFERROR(__xludf.DUMMYFUNCTION("""COMPUTED_VALUE"""),45706.0)</f>
        <v>45706</v>
      </c>
      <c r="E289" s="147">
        <f>IFERROR(__xludf.DUMMYFUNCTION("""COMPUTED_VALUE"""),45713.0)</f>
        <v>45713</v>
      </c>
      <c r="F289" s="147">
        <f>IFERROR(__xludf.DUMMYFUNCTION("""COMPUTED_VALUE"""),45734.0)</f>
        <v>45734</v>
      </c>
      <c r="G289" s="146" t="str">
        <f>IFERROR(__xludf.DUMMYFUNCTION("""COMPUTED_VALUE"""),"D41-4L")</f>
        <v>D41-4L</v>
      </c>
      <c r="H289" s="148">
        <f>IFERROR(__xludf.DUMMYFUNCTION("""COMPUTED_VALUE"""),105.0)</f>
        <v>105</v>
      </c>
      <c r="I289" s="148">
        <f>IFERROR(__xludf.DUMMYFUNCTION("""COMPUTED_VALUE"""),197.0)</f>
        <v>197</v>
      </c>
      <c r="J289" s="146">
        <f>IFERROR(__xludf.DUMMYFUNCTION("""COMPUTED_VALUE"""),47.0)</f>
        <v>47</v>
      </c>
      <c r="K289" s="146">
        <f>IFERROR(__xludf.DUMMYFUNCTION("""COMPUTED_VALUE"""),47.0)</f>
        <v>47</v>
      </c>
      <c r="L289" s="146">
        <f>IFERROR(__xludf.DUMMYFUNCTION("""COMPUTED_VALUE"""),200.0)</f>
        <v>200</v>
      </c>
      <c r="M289" s="146">
        <f>IFERROR(__xludf.DUMMYFUNCTION("""COMPUTED_VALUE"""),302.0)</f>
        <v>302</v>
      </c>
      <c r="N289" s="146">
        <f>IFERROR(__xludf.DUMMYFUNCTION("""COMPUTED_VALUE"""),52.0)</f>
        <v>52</v>
      </c>
      <c r="O289" s="146">
        <f>IFERROR(__xludf.DUMMYFUNCTION("""COMPUTED_VALUE"""),52.0)</f>
        <v>52</v>
      </c>
      <c r="P289" s="146"/>
      <c r="Q289" s="146"/>
      <c r="R289" s="146"/>
      <c r="T289" s="131" t="str">
        <f>IFERROR(__xludf.DUMMYFUNCTION("""COMPUTED_VALUE"""),"Y")</f>
        <v>Y</v>
      </c>
      <c r="U289" s="131" t="str">
        <f>IFERROR(__xludf.DUMMYFUNCTION("""COMPUTED_VALUE"""),"5")</f>
        <v>5</v>
      </c>
      <c r="V289" s="131"/>
      <c r="W289" s="144">
        <f>IFERROR(__xludf.DUMMYFUNCTION("""COMPUTED_VALUE"""),45706.0)</f>
        <v>45706</v>
      </c>
      <c r="X289" s="144">
        <f>IFERROR(__xludf.DUMMYFUNCTION("""COMPUTED_VALUE"""),45713.0)</f>
        <v>45713</v>
      </c>
      <c r="Y289" s="144">
        <f>IFERROR(__xludf.DUMMYFUNCTION("""COMPUTED_VALUE"""),45734.0)</f>
        <v>45734</v>
      </c>
      <c r="Z289" s="131" t="str">
        <f>IFERROR(__xludf.DUMMYFUNCTION("""COMPUTED_VALUE"""),"D41-4L")</f>
        <v>D41-4L</v>
      </c>
      <c r="AA289" s="131">
        <f>IFERROR(__xludf.DUMMYFUNCTION("""COMPUTED_VALUE"""),203.0)</f>
        <v>203</v>
      </c>
      <c r="AB289" s="131">
        <f>IFERROR(__xludf.DUMMYFUNCTION("""COMPUTED_VALUE"""),203.0)</f>
        <v>203</v>
      </c>
      <c r="AC289" s="131">
        <f>IFERROR(__xludf.DUMMYFUNCTION("""COMPUTED_VALUE"""),1.0)</f>
        <v>1</v>
      </c>
      <c r="AD289" s="131">
        <f>IFERROR(__xludf.DUMMYFUNCTION("""COMPUTED_VALUE"""),1.0)</f>
        <v>1</v>
      </c>
      <c r="AE289" s="131"/>
      <c r="AF289" s="131"/>
      <c r="AG289" s="131"/>
      <c r="AH289" s="131"/>
      <c r="AI289" s="131"/>
      <c r="AJ289" s="131"/>
      <c r="AK289" s="131"/>
    </row>
    <row r="290">
      <c r="A290" s="145" t="str">
        <f>IFERROR(__xludf.DUMMYFUNCTION("""COMPUTED_VALUE"""),"Y")</f>
        <v>Y</v>
      </c>
      <c r="B290" s="146" t="str">
        <f>IFERROR(__xludf.DUMMYFUNCTION("""COMPUTED_VALUE"""),"5")</f>
        <v>5</v>
      </c>
      <c r="C290" s="146"/>
      <c r="D290" s="147">
        <f>IFERROR(__xludf.DUMMYFUNCTION("""COMPUTED_VALUE"""),45706.0)</f>
        <v>45706</v>
      </c>
      <c r="E290" s="147">
        <f>IFERROR(__xludf.DUMMYFUNCTION("""COMPUTED_VALUE"""),45713.0)</f>
        <v>45713</v>
      </c>
      <c r="F290" s="147">
        <f>IFERROR(__xludf.DUMMYFUNCTION("""COMPUTED_VALUE"""),45734.0)</f>
        <v>45734</v>
      </c>
      <c r="G290" s="146" t="str">
        <f>IFERROR(__xludf.DUMMYFUNCTION("""COMPUTED_VALUE"""),"D41-4L")</f>
        <v>D41-4L</v>
      </c>
      <c r="H290" s="148">
        <f>IFERROR(__xludf.DUMMYFUNCTION("""COMPUTED_VALUE"""),203.0)</f>
        <v>203</v>
      </c>
      <c r="I290" s="148">
        <f>IFERROR(__xludf.DUMMYFUNCTION("""COMPUTED_VALUE"""),203.0)</f>
        <v>203</v>
      </c>
      <c r="J290" s="146">
        <f>IFERROR(__xludf.DUMMYFUNCTION("""COMPUTED_VALUE"""),1.0)</f>
        <v>1</v>
      </c>
      <c r="K290" s="146">
        <f>IFERROR(__xludf.DUMMYFUNCTION("""COMPUTED_VALUE"""),1.0)</f>
        <v>1</v>
      </c>
      <c r="L290" s="146"/>
      <c r="M290" s="146"/>
      <c r="N290" s="146"/>
      <c r="O290" s="146"/>
      <c r="P290" s="146"/>
      <c r="Q290" s="146"/>
      <c r="R290" s="146"/>
      <c r="T290" s="131" t="str">
        <f>IFERROR(__xludf.DUMMYFUNCTION("""COMPUTED_VALUE"""),"Y")</f>
        <v>Y</v>
      </c>
      <c r="U290" s="131" t="str">
        <f>IFERROR(__xludf.DUMMYFUNCTION("""COMPUTED_VALUE"""),"5")</f>
        <v>5</v>
      </c>
      <c r="V290" s="131"/>
      <c r="W290" s="144">
        <f>IFERROR(__xludf.DUMMYFUNCTION("""COMPUTED_VALUE"""),45706.0)</f>
        <v>45706</v>
      </c>
      <c r="X290" s="144">
        <f>IFERROR(__xludf.DUMMYFUNCTION("""COMPUTED_VALUE"""),45713.0)</f>
        <v>45713</v>
      </c>
      <c r="Y290" s="144">
        <f>IFERROR(__xludf.DUMMYFUNCTION("""COMPUTED_VALUE"""),45734.0)</f>
        <v>45734</v>
      </c>
      <c r="Z290" s="131" t="str">
        <f>IFERROR(__xludf.DUMMYFUNCTION("""COMPUTED_VALUE"""),"D41-4L")</f>
        <v>D41-4L</v>
      </c>
      <c r="AA290" s="131">
        <f>IFERROR(__xludf.DUMMYFUNCTION("""COMPUTED_VALUE"""),199.0)</f>
        <v>199</v>
      </c>
      <c r="AB290" s="131">
        <f>IFERROR(__xludf.DUMMYFUNCTION("""COMPUTED_VALUE"""),219.0)</f>
        <v>219</v>
      </c>
      <c r="AC290" s="131">
        <f>IFERROR(__xludf.DUMMYFUNCTION("""COMPUTED_VALUE"""),11.0)</f>
        <v>11</v>
      </c>
      <c r="AD290" s="131">
        <f>IFERROR(__xludf.DUMMYFUNCTION("""COMPUTED_VALUE"""),11.0)</f>
        <v>11</v>
      </c>
      <c r="AE290" s="131"/>
      <c r="AF290" s="131"/>
      <c r="AG290" s="131"/>
      <c r="AH290" s="131"/>
      <c r="AI290" s="131"/>
      <c r="AJ290" s="131"/>
      <c r="AK290" s="131"/>
    </row>
    <row r="291">
      <c r="A291" s="145" t="str">
        <f>IFERROR(__xludf.DUMMYFUNCTION("""COMPUTED_VALUE"""),"Y")</f>
        <v>Y</v>
      </c>
      <c r="B291" s="146" t="str">
        <f>IFERROR(__xludf.DUMMYFUNCTION("""COMPUTED_VALUE"""),"5")</f>
        <v>5</v>
      </c>
      <c r="C291" s="146"/>
      <c r="D291" s="147">
        <f>IFERROR(__xludf.DUMMYFUNCTION("""COMPUTED_VALUE"""),45706.0)</f>
        <v>45706</v>
      </c>
      <c r="E291" s="147">
        <f>IFERROR(__xludf.DUMMYFUNCTION("""COMPUTED_VALUE"""),45713.0)</f>
        <v>45713</v>
      </c>
      <c r="F291" s="147">
        <f>IFERROR(__xludf.DUMMYFUNCTION("""COMPUTED_VALUE"""),45734.0)</f>
        <v>45734</v>
      </c>
      <c r="G291" s="146" t="str">
        <f>IFERROR(__xludf.DUMMYFUNCTION("""COMPUTED_VALUE"""),"D41-4L")</f>
        <v>D41-4L</v>
      </c>
      <c r="H291" s="148">
        <f>IFERROR(__xludf.DUMMYFUNCTION("""COMPUTED_VALUE"""),199.0)</f>
        <v>199</v>
      </c>
      <c r="I291" s="148">
        <f>IFERROR(__xludf.DUMMYFUNCTION("""COMPUTED_VALUE"""),219.0)</f>
        <v>219</v>
      </c>
      <c r="J291" s="146">
        <f>IFERROR(__xludf.DUMMYFUNCTION("""COMPUTED_VALUE"""),11.0)</f>
        <v>11</v>
      </c>
      <c r="K291" s="146">
        <f>IFERROR(__xludf.DUMMYFUNCTION("""COMPUTED_VALUE"""),11.0)</f>
        <v>11</v>
      </c>
      <c r="L291" s="146"/>
      <c r="M291" s="146"/>
      <c r="N291" s="146"/>
      <c r="O291" s="146"/>
      <c r="P291" s="146"/>
      <c r="Q291" s="146"/>
      <c r="R291" s="146"/>
      <c r="T291" s="131" t="str">
        <f>IFERROR(__xludf.DUMMYFUNCTION("""COMPUTED_VALUE"""),"Y")</f>
        <v>Y</v>
      </c>
      <c r="U291" s="131" t="str">
        <f>IFERROR(__xludf.DUMMYFUNCTION("""COMPUTED_VALUE"""),"5")</f>
        <v>5</v>
      </c>
      <c r="V291" s="131"/>
      <c r="W291" s="144">
        <f>IFERROR(__xludf.DUMMYFUNCTION("""COMPUTED_VALUE"""),45706.0)</f>
        <v>45706</v>
      </c>
      <c r="X291" s="144">
        <f>IFERROR(__xludf.DUMMYFUNCTION("""COMPUTED_VALUE"""),45713.0)</f>
        <v>45713</v>
      </c>
      <c r="Y291" s="144">
        <f>IFERROR(__xludf.DUMMYFUNCTION("""COMPUTED_VALUE"""),45734.0)</f>
        <v>45734</v>
      </c>
      <c r="Z291" s="131" t="str">
        <f>IFERROR(__xludf.DUMMYFUNCTION("""COMPUTED_VALUE"""),"BRG11")</f>
        <v>BRG11</v>
      </c>
      <c r="AA291" s="131"/>
      <c r="AB291" s="131"/>
      <c r="AC291" s="131"/>
      <c r="AD291" s="131"/>
      <c r="AE291" s="131">
        <f>IFERROR(__xludf.DUMMYFUNCTION("""COMPUTED_VALUE"""),904.0)</f>
        <v>904</v>
      </c>
      <c r="AF291" s="131">
        <f>IFERROR(__xludf.DUMMYFUNCTION("""COMPUTED_VALUE"""),1032.0)</f>
        <v>1032</v>
      </c>
      <c r="AG291" s="131">
        <f>IFERROR(__xludf.DUMMYFUNCTION("""COMPUTED_VALUE"""),65.0)</f>
        <v>65</v>
      </c>
      <c r="AH291" s="131">
        <f>IFERROR(__xludf.DUMMYFUNCTION("""COMPUTED_VALUE"""),65.0)</f>
        <v>65</v>
      </c>
      <c r="AI291" s="131">
        <f>IFERROR(__xludf.DUMMYFUNCTION("""COMPUTED_VALUE"""),195.0)</f>
        <v>195</v>
      </c>
      <c r="AJ291" s="131"/>
      <c r="AK291" s="131"/>
    </row>
    <row r="292">
      <c r="A292" s="145" t="str">
        <f>IFERROR(__xludf.DUMMYFUNCTION("""COMPUTED_VALUE"""),"Y")</f>
        <v>Y</v>
      </c>
      <c r="B292" s="146" t="str">
        <f>IFERROR(__xludf.DUMMYFUNCTION("""COMPUTED_VALUE"""),"5")</f>
        <v>5</v>
      </c>
      <c r="C292" s="146"/>
      <c r="D292" s="147">
        <f>IFERROR(__xludf.DUMMYFUNCTION("""COMPUTED_VALUE"""),45706.0)</f>
        <v>45706</v>
      </c>
      <c r="E292" s="147">
        <f>IFERROR(__xludf.DUMMYFUNCTION("""COMPUTED_VALUE"""),45713.0)</f>
        <v>45713</v>
      </c>
      <c r="F292" s="147">
        <f>IFERROR(__xludf.DUMMYFUNCTION("""COMPUTED_VALUE"""),45734.0)</f>
        <v>45734</v>
      </c>
      <c r="G292" s="146" t="str">
        <f>IFERROR(__xludf.DUMMYFUNCTION("""COMPUTED_VALUE"""),"BRG11")</f>
        <v>BRG11</v>
      </c>
      <c r="H292" s="148"/>
      <c r="I292" s="148"/>
      <c r="J292" s="146"/>
      <c r="K292" s="146"/>
      <c r="L292" s="146">
        <f>IFERROR(__xludf.DUMMYFUNCTION("""COMPUTED_VALUE"""),904.0)</f>
        <v>904</v>
      </c>
      <c r="M292" s="146">
        <f>IFERROR(__xludf.DUMMYFUNCTION("""COMPUTED_VALUE"""),1032.0)</f>
        <v>1032</v>
      </c>
      <c r="N292" s="146">
        <f>IFERROR(__xludf.DUMMYFUNCTION("""COMPUTED_VALUE"""),65.0)</f>
        <v>65</v>
      </c>
      <c r="O292" s="146">
        <f>IFERROR(__xludf.DUMMYFUNCTION("""COMPUTED_VALUE"""),65.0)</f>
        <v>65</v>
      </c>
      <c r="P292" s="146">
        <f>IFERROR(__xludf.DUMMYFUNCTION("""COMPUTED_VALUE"""),195.0)</f>
        <v>195</v>
      </c>
      <c r="Q292" s="146"/>
      <c r="R292" s="146"/>
      <c r="T292" s="131" t="str">
        <f>IFERROR(__xludf.DUMMYFUNCTION("""COMPUTED_VALUE"""),"Y")</f>
        <v>Y</v>
      </c>
      <c r="U292" s="131" t="str">
        <f>IFERROR(__xludf.DUMMYFUNCTION("""COMPUTED_VALUE"""),"5")</f>
        <v>5</v>
      </c>
      <c r="V292" s="131"/>
      <c r="W292" s="144">
        <f>IFERROR(__xludf.DUMMYFUNCTION("""COMPUTED_VALUE"""),45706.0)</f>
        <v>45706</v>
      </c>
      <c r="X292" s="144">
        <f>IFERROR(__xludf.DUMMYFUNCTION("""COMPUTED_VALUE"""),45713.0)</f>
        <v>45713</v>
      </c>
      <c r="Y292" s="144">
        <f>IFERROR(__xludf.DUMMYFUNCTION("""COMPUTED_VALUE"""),45734.0)</f>
        <v>45734</v>
      </c>
      <c r="Z292" s="131" t="str">
        <f>IFERROR(__xludf.DUMMYFUNCTION("""COMPUTED_VALUE"""),"BRG11")</f>
        <v>BRG11</v>
      </c>
      <c r="AA292" s="131">
        <f>IFERROR(__xludf.DUMMYFUNCTION("""COMPUTED_VALUE"""),1107.0)</f>
        <v>1107</v>
      </c>
      <c r="AB292" s="131">
        <f>IFERROR(__xludf.DUMMYFUNCTION("""COMPUTED_VALUE"""),1189.0)</f>
        <v>1189</v>
      </c>
      <c r="AC292" s="131">
        <f>IFERROR(__xludf.DUMMYFUNCTION("""COMPUTED_VALUE"""),42.0)</f>
        <v>42</v>
      </c>
      <c r="AD292" s="131">
        <f>IFERROR(__xludf.DUMMYFUNCTION("""COMPUTED_VALUE"""),42.0)</f>
        <v>42</v>
      </c>
      <c r="AE292" s="131">
        <f>IFERROR(__xludf.DUMMYFUNCTION("""COMPUTED_VALUE"""),1034.0)</f>
        <v>1034</v>
      </c>
      <c r="AF292" s="131">
        <f>IFERROR(__xludf.DUMMYFUNCTION("""COMPUTED_VALUE"""),1052.0)</f>
        <v>1052</v>
      </c>
      <c r="AG292" s="131">
        <f>IFERROR(__xludf.DUMMYFUNCTION("""COMPUTED_VALUE"""),10.0)</f>
        <v>10</v>
      </c>
      <c r="AH292" s="131">
        <f>IFERROR(__xludf.DUMMYFUNCTION("""COMPUTED_VALUE"""),10.0)</f>
        <v>10</v>
      </c>
      <c r="AI292" s="131">
        <f>IFERROR(__xludf.DUMMYFUNCTION("""COMPUTED_VALUE"""),197.0)</f>
        <v>197</v>
      </c>
      <c r="AJ292" s="131"/>
      <c r="AK292" s="131"/>
    </row>
    <row r="293">
      <c r="A293" s="145" t="str">
        <f>IFERROR(__xludf.DUMMYFUNCTION("""COMPUTED_VALUE"""),"Y")</f>
        <v>Y</v>
      </c>
      <c r="B293" s="146" t="str">
        <f>IFERROR(__xludf.DUMMYFUNCTION("""COMPUTED_VALUE"""),"5")</f>
        <v>5</v>
      </c>
      <c r="C293" s="146"/>
      <c r="D293" s="147">
        <f>IFERROR(__xludf.DUMMYFUNCTION("""COMPUTED_VALUE"""),45706.0)</f>
        <v>45706</v>
      </c>
      <c r="E293" s="147">
        <f>IFERROR(__xludf.DUMMYFUNCTION("""COMPUTED_VALUE"""),45713.0)</f>
        <v>45713</v>
      </c>
      <c r="F293" s="147">
        <f>IFERROR(__xludf.DUMMYFUNCTION("""COMPUTED_VALUE"""),45734.0)</f>
        <v>45734</v>
      </c>
      <c r="G293" s="146" t="str">
        <f>IFERROR(__xludf.DUMMYFUNCTION("""COMPUTED_VALUE"""),"BRG11")</f>
        <v>BRG11</v>
      </c>
      <c r="H293" s="148">
        <f>IFERROR(__xludf.DUMMYFUNCTION("""COMPUTED_VALUE"""),1107.0)</f>
        <v>1107</v>
      </c>
      <c r="I293" s="148">
        <f>IFERROR(__xludf.DUMMYFUNCTION("""COMPUTED_VALUE"""),1189.0)</f>
        <v>1189</v>
      </c>
      <c r="J293" s="146">
        <f>IFERROR(__xludf.DUMMYFUNCTION("""COMPUTED_VALUE"""),42.0)</f>
        <v>42</v>
      </c>
      <c r="K293" s="146">
        <f>IFERROR(__xludf.DUMMYFUNCTION("""COMPUTED_VALUE"""),42.0)</f>
        <v>42</v>
      </c>
      <c r="L293" s="146">
        <f>IFERROR(__xludf.DUMMYFUNCTION("""COMPUTED_VALUE"""),1034.0)</f>
        <v>1034</v>
      </c>
      <c r="M293" s="146">
        <f>IFERROR(__xludf.DUMMYFUNCTION("""COMPUTED_VALUE"""),1052.0)</f>
        <v>1052</v>
      </c>
      <c r="N293" s="146">
        <f>IFERROR(__xludf.DUMMYFUNCTION("""COMPUTED_VALUE"""),10.0)</f>
        <v>10</v>
      </c>
      <c r="O293" s="146">
        <f>IFERROR(__xludf.DUMMYFUNCTION("""COMPUTED_VALUE"""),10.0)</f>
        <v>10</v>
      </c>
      <c r="P293" s="146">
        <f>IFERROR(__xludf.DUMMYFUNCTION("""COMPUTED_VALUE"""),197.0)</f>
        <v>197</v>
      </c>
      <c r="Q293" s="146"/>
      <c r="R293" s="146"/>
      <c r="T293" s="131" t="str">
        <f>IFERROR(__xludf.DUMMYFUNCTION("""COMPUTED_VALUE"""),"Y")</f>
        <v>Y</v>
      </c>
      <c r="U293" s="131" t="str">
        <f>IFERROR(__xludf.DUMMYFUNCTION("""COMPUTED_VALUE"""),"5")</f>
        <v>5</v>
      </c>
      <c r="V293" s="131"/>
      <c r="W293" s="144">
        <f>IFERROR(__xludf.DUMMYFUNCTION("""COMPUTED_VALUE"""),45707.0)</f>
        <v>45707</v>
      </c>
      <c r="X293" s="144">
        <f>IFERROR(__xludf.DUMMYFUNCTION("""COMPUTED_VALUE"""),45714.0)</f>
        <v>45714</v>
      </c>
      <c r="Y293" s="144">
        <f>IFERROR(__xludf.DUMMYFUNCTION("""COMPUTED_VALUE"""),45735.0)</f>
        <v>45735</v>
      </c>
      <c r="Z293" s="131" t="str">
        <f>IFERROR(__xludf.DUMMYFUNCTION("""COMPUTED_VALUE"""),"D41-4L")</f>
        <v>D41-4L</v>
      </c>
      <c r="AA293" s="131">
        <f>IFERROR(__xludf.DUMMYFUNCTION("""COMPUTED_VALUE"""),221.0)</f>
        <v>221</v>
      </c>
      <c r="AB293" s="131">
        <f>IFERROR(__xludf.DUMMYFUNCTION("""COMPUTED_VALUE"""),301.0)</f>
        <v>301</v>
      </c>
      <c r="AC293" s="131">
        <f>IFERROR(__xludf.DUMMYFUNCTION("""COMPUTED_VALUE"""),41.0)</f>
        <v>41</v>
      </c>
      <c r="AD293" s="131">
        <f>IFERROR(__xludf.DUMMYFUNCTION("""COMPUTED_VALUE"""),41.0)</f>
        <v>41</v>
      </c>
      <c r="AE293" s="131"/>
      <c r="AF293" s="131"/>
      <c r="AG293" s="131"/>
      <c r="AH293" s="131"/>
      <c r="AI293" s="131"/>
      <c r="AJ293" s="131"/>
      <c r="AK293" s="131"/>
    </row>
    <row r="294">
      <c r="A294" s="145" t="str">
        <f>IFERROR(__xludf.DUMMYFUNCTION("""COMPUTED_VALUE"""),"Y")</f>
        <v>Y</v>
      </c>
      <c r="B294" s="146" t="str">
        <f>IFERROR(__xludf.DUMMYFUNCTION("""COMPUTED_VALUE"""),"5")</f>
        <v>5</v>
      </c>
      <c r="C294" s="146"/>
      <c r="D294" s="147">
        <f>IFERROR(__xludf.DUMMYFUNCTION("""COMPUTED_VALUE"""),45707.0)</f>
        <v>45707</v>
      </c>
      <c r="E294" s="147">
        <f>IFERROR(__xludf.DUMMYFUNCTION("""COMPUTED_VALUE"""),45714.0)</f>
        <v>45714</v>
      </c>
      <c r="F294" s="147">
        <f>IFERROR(__xludf.DUMMYFUNCTION("""COMPUTED_VALUE"""),45735.0)</f>
        <v>45735</v>
      </c>
      <c r="G294" s="146" t="str">
        <f>IFERROR(__xludf.DUMMYFUNCTION("""COMPUTED_VALUE"""),"D41-4L")</f>
        <v>D41-4L</v>
      </c>
      <c r="H294" s="148">
        <f>IFERROR(__xludf.DUMMYFUNCTION("""COMPUTED_VALUE"""),221.0)</f>
        <v>221</v>
      </c>
      <c r="I294" s="148">
        <f>IFERROR(__xludf.DUMMYFUNCTION("""COMPUTED_VALUE"""),301.0)</f>
        <v>301</v>
      </c>
      <c r="J294" s="146">
        <f>IFERROR(__xludf.DUMMYFUNCTION("""COMPUTED_VALUE"""),41.0)</f>
        <v>41</v>
      </c>
      <c r="K294" s="146">
        <f>IFERROR(__xludf.DUMMYFUNCTION("""COMPUTED_VALUE"""),41.0)</f>
        <v>41</v>
      </c>
      <c r="L294" s="146"/>
      <c r="M294" s="146"/>
      <c r="N294" s="146"/>
      <c r="O294" s="146"/>
      <c r="P294" s="146"/>
      <c r="Q294" s="146"/>
      <c r="R294" s="146"/>
      <c r="T294" s="131" t="str">
        <f>IFERROR(__xludf.DUMMYFUNCTION("""COMPUTED_VALUE"""),"Y")</f>
        <v>Y</v>
      </c>
      <c r="U294" s="131" t="str">
        <f>IFERROR(__xludf.DUMMYFUNCTION("""COMPUTED_VALUE"""),"5")</f>
        <v>5</v>
      </c>
      <c r="V294" s="131"/>
      <c r="W294" s="144">
        <f>IFERROR(__xludf.DUMMYFUNCTION("""COMPUTED_VALUE"""),45707.0)</f>
        <v>45707</v>
      </c>
      <c r="X294" s="144">
        <f>IFERROR(__xludf.DUMMYFUNCTION("""COMPUTED_VALUE"""),45714.0)</f>
        <v>45714</v>
      </c>
      <c r="Y294" s="144">
        <f>IFERROR(__xludf.DUMMYFUNCTION("""COMPUTED_VALUE"""),45735.0)</f>
        <v>45735</v>
      </c>
      <c r="Z294" s="131" t="str">
        <f>IFERROR(__xludf.DUMMYFUNCTION("""COMPUTED_VALUE"""),"D41-5R")</f>
        <v>D41-5R</v>
      </c>
      <c r="AA294" s="131">
        <f>IFERROR(__xludf.DUMMYFUNCTION("""COMPUTED_VALUE"""),1.0)</f>
        <v>1</v>
      </c>
      <c r="AB294" s="131">
        <f>IFERROR(__xludf.DUMMYFUNCTION("""COMPUTED_VALUE"""),153.0)</f>
        <v>153</v>
      </c>
      <c r="AC294" s="131">
        <f>IFERROR(__xludf.DUMMYFUNCTION("""COMPUTED_VALUE"""),77.0)</f>
        <v>77</v>
      </c>
      <c r="AD294" s="131">
        <f>IFERROR(__xludf.DUMMYFUNCTION("""COMPUTED_VALUE"""),77.0)</f>
        <v>77</v>
      </c>
      <c r="AE294" s="131"/>
      <c r="AF294" s="131"/>
      <c r="AG294" s="131"/>
      <c r="AH294" s="131"/>
      <c r="AI294" s="131"/>
      <c r="AJ294" s="131"/>
      <c r="AK294" s="131"/>
    </row>
    <row r="295">
      <c r="A295" s="145" t="str">
        <f>IFERROR(__xludf.DUMMYFUNCTION("""COMPUTED_VALUE"""),"Y")</f>
        <v>Y</v>
      </c>
      <c r="B295" s="146" t="str">
        <f>IFERROR(__xludf.DUMMYFUNCTION("""COMPUTED_VALUE"""),"5")</f>
        <v>5</v>
      </c>
      <c r="C295" s="146"/>
      <c r="D295" s="147">
        <f>IFERROR(__xludf.DUMMYFUNCTION("""COMPUTED_VALUE"""),45707.0)</f>
        <v>45707</v>
      </c>
      <c r="E295" s="147">
        <f>IFERROR(__xludf.DUMMYFUNCTION("""COMPUTED_VALUE"""),45714.0)</f>
        <v>45714</v>
      </c>
      <c r="F295" s="147">
        <f>IFERROR(__xludf.DUMMYFUNCTION("""COMPUTED_VALUE"""),45735.0)</f>
        <v>45735</v>
      </c>
      <c r="G295" s="146" t="str">
        <f>IFERROR(__xludf.DUMMYFUNCTION("""COMPUTED_VALUE"""),"D41-5R")</f>
        <v>D41-5R</v>
      </c>
      <c r="H295" s="148">
        <f>IFERROR(__xludf.DUMMYFUNCTION("""COMPUTED_VALUE"""),1.0)</f>
        <v>1</v>
      </c>
      <c r="I295" s="148">
        <f>IFERROR(__xludf.DUMMYFUNCTION("""COMPUTED_VALUE"""),153.0)</f>
        <v>153</v>
      </c>
      <c r="J295" s="146">
        <f>IFERROR(__xludf.DUMMYFUNCTION("""COMPUTED_VALUE"""),77.0)</f>
        <v>77</v>
      </c>
      <c r="K295" s="146">
        <f>IFERROR(__xludf.DUMMYFUNCTION("""COMPUTED_VALUE"""),77.0)</f>
        <v>77</v>
      </c>
      <c r="L295" s="146"/>
      <c r="M295" s="146"/>
      <c r="N295" s="146"/>
      <c r="O295" s="146"/>
      <c r="P295" s="146"/>
      <c r="Q295" s="146"/>
      <c r="R295" s="146"/>
      <c r="T295" s="131" t="str">
        <f>IFERROR(__xludf.DUMMYFUNCTION("""COMPUTED_VALUE"""),"N")</f>
        <v>N</v>
      </c>
      <c r="U295" s="131" t="str">
        <f>IFERROR(__xludf.DUMMYFUNCTION("""COMPUTED_VALUE"""),"5")</f>
        <v>5</v>
      </c>
      <c r="V295" s="131"/>
      <c r="W295" s="144">
        <f>IFERROR(__xludf.DUMMYFUNCTION("""COMPUTED_VALUE"""),45707.0)</f>
        <v>45707</v>
      </c>
      <c r="X295" s="144">
        <f>IFERROR(__xludf.DUMMYFUNCTION("""COMPUTED_VALUE"""),45714.0)</f>
        <v>45714</v>
      </c>
      <c r="Y295" s="144">
        <f>IFERROR(__xludf.DUMMYFUNCTION("""COMPUTED_VALUE"""),45735.0)</f>
        <v>45735</v>
      </c>
      <c r="Z295" s="131" t="str">
        <f>IFERROR(__xludf.DUMMYFUNCTION("""COMPUTED_VALUE"""),"D35-1R")</f>
        <v>D35-1R</v>
      </c>
      <c r="AA295" s="131">
        <f>IFERROR(__xludf.DUMMYFUNCTION("""COMPUTED_VALUE"""),37.0)</f>
        <v>37</v>
      </c>
      <c r="AB295" s="131">
        <f>IFERROR(__xludf.DUMMYFUNCTION("""COMPUTED_VALUE"""),133.0)</f>
        <v>133</v>
      </c>
      <c r="AC295" s="131">
        <f>IFERROR(__xludf.DUMMYFUNCTION("""COMPUTED_VALUE"""),49.0)</f>
        <v>49</v>
      </c>
      <c r="AD295" s="131">
        <f>IFERROR(__xludf.DUMMYFUNCTION("""COMPUTED_VALUE"""),49.0)</f>
        <v>49</v>
      </c>
      <c r="AE295" s="131"/>
      <c r="AF295" s="131"/>
      <c r="AG295" s="131"/>
      <c r="AH295" s="131"/>
      <c r="AI295" s="131">
        <f>IFERROR(__xludf.DUMMYFUNCTION("""COMPUTED_VALUE"""),201.0)</f>
        <v>201</v>
      </c>
      <c r="AJ295" s="131"/>
      <c r="AK295" s="131"/>
    </row>
    <row r="296">
      <c r="A296" s="145" t="str">
        <f>IFERROR(__xludf.DUMMYFUNCTION("""COMPUTED_VALUE"""),"N")</f>
        <v>N</v>
      </c>
      <c r="B296" s="146" t="str">
        <f>IFERROR(__xludf.DUMMYFUNCTION("""COMPUTED_VALUE"""),"5")</f>
        <v>5</v>
      </c>
      <c r="C296" s="146"/>
      <c r="D296" s="147">
        <f>IFERROR(__xludf.DUMMYFUNCTION("""COMPUTED_VALUE"""),45707.0)</f>
        <v>45707</v>
      </c>
      <c r="E296" s="147">
        <f>IFERROR(__xludf.DUMMYFUNCTION("""COMPUTED_VALUE"""),45714.0)</f>
        <v>45714</v>
      </c>
      <c r="F296" s="147">
        <f>IFERROR(__xludf.DUMMYFUNCTION("""COMPUTED_VALUE"""),45735.0)</f>
        <v>45735</v>
      </c>
      <c r="G296" s="146" t="str">
        <f>IFERROR(__xludf.DUMMYFUNCTION("""COMPUTED_VALUE"""),"D35-1R")</f>
        <v>D35-1R</v>
      </c>
      <c r="H296" s="148">
        <f>IFERROR(__xludf.DUMMYFUNCTION("""COMPUTED_VALUE"""),37.0)</f>
        <v>37</v>
      </c>
      <c r="I296" s="148">
        <f>IFERROR(__xludf.DUMMYFUNCTION("""COMPUTED_VALUE"""),133.0)</f>
        <v>133</v>
      </c>
      <c r="J296" s="146">
        <f>IFERROR(__xludf.DUMMYFUNCTION("""COMPUTED_VALUE"""),49.0)</f>
        <v>49</v>
      </c>
      <c r="K296" s="146">
        <f>IFERROR(__xludf.DUMMYFUNCTION("""COMPUTED_VALUE"""),49.0)</f>
        <v>49</v>
      </c>
      <c r="L296" s="146"/>
      <c r="M296" s="146"/>
      <c r="N296" s="146"/>
      <c r="O296" s="146"/>
      <c r="P296" s="146">
        <f>IFERROR(__xludf.DUMMYFUNCTION("""COMPUTED_VALUE"""),201.0)</f>
        <v>201</v>
      </c>
      <c r="Q296" s="146"/>
      <c r="R296" s="146"/>
      <c r="T296" s="131" t="str">
        <f>IFERROR(__xludf.DUMMYFUNCTION("""COMPUTED_VALUE"""),"N")</f>
        <v>N</v>
      </c>
      <c r="U296" s="131" t="str">
        <f>IFERROR(__xludf.DUMMYFUNCTION("""COMPUTED_VALUE"""),"5")</f>
        <v>5</v>
      </c>
      <c r="V296" s="131"/>
      <c r="W296" s="144">
        <f>IFERROR(__xludf.DUMMYFUNCTION("""COMPUTED_VALUE"""),45707.0)</f>
        <v>45707</v>
      </c>
      <c r="X296" s="144">
        <f>IFERROR(__xludf.DUMMYFUNCTION("""COMPUTED_VALUE"""),45714.0)</f>
        <v>45714</v>
      </c>
      <c r="Y296" s="144">
        <f>IFERROR(__xludf.DUMMYFUNCTION("""COMPUTED_VALUE"""),45735.0)</f>
        <v>45735</v>
      </c>
      <c r="Z296" s="131" t="str">
        <f>IFERROR(__xludf.DUMMYFUNCTION("""COMPUTED_VALUE"""),"D35-2R")</f>
        <v>D35-2R</v>
      </c>
      <c r="AA296" s="131">
        <f>IFERROR(__xludf.DUMMYFUNCTION("""COMPUTED_VALUE"""),129.0)</f>
        <v>129</v>
      </c>
      <c r="AB296" s="131">
        <f>IFERROR(__xludf.DUMMYFUNCTION("""COMPUTED_VALUE"""),183.0)</f>
        <v>183</v>
      </c>
      <c r="AC296" s="131">
        <f>IFERROR(__xludf.DUMMYFUNCTION("""COMPUTED_VALUE"""),28.0)</f>
        <v>28</v>
      </c>
      <c r="AD296" s="131">
        <f>IFERROR(__xludf.DUMMYFUNCTION("""COMPUTED_VALUE"""),28.0)</f>
        <v>28</v>
      </c>
      <c r="AE296" s="131"/>
      <c r="AF296" s="131"/>
      <c r="AG296" s="131"/>
      <c r="AH296" s="131"/>
      <c r="AI296" s="131">
        <f>IFERROR(__xludf.DUMMYFUNCTION("""COMPUTED_VALUE"""),201.0)</f>
        <v>201</v>
      </c>
      <c r="AJ296" s="131"/>
      <c r="AK296" s="131"/>
    </row>
    <row r="297">
      <c r="A297" s="145" t="str">
        <f>IFERROR(__xludf.DUMMYFUNCTION("""COMPUTED_VALUE"""),"N")</f>
        <v>N</v>
      </c>
      <c r="B297" s="146" t="str">
        <f>IFERROR(__xludf.DUMMYFUNCTION("""COMPUTED_VALUE"""),"5")</f>
        <v>5</v>
      </c>
      <c r="C297" s="146"/>
      <c r="D297" s="147">
        <f>IFERROR(__xludf.DUMMYFUNCTION("""COMPUTED_VALUE"""),45707.0)</f>
        <v>45707</v>
      </c>
      <c r="E297" s="147">
        <f>IFERROR(__xludf.DUMMYFUNCTION("""COMPUTED_VALUE"""),45714.0)</f>
        <v>45714</v>
      </c>
      <c r="F297" s="147">
        <f>IFERROR(__xludf.DUMMYFUNCTION("""COMPUTED_VALUE"""),45735.0)</f>
        <v>45735</v>
      </c>
      <c r="G297" s="146" t="str">
        <f>IFERROR(__xludf.DUMMYFUNCTION("""COMPUTED_VALUE"""),"D35-2R")</f>
        <v>D35-2R</v>
      </c>
      <c r="H297" s="148">
        <f>IFERROR(__xludf.DUMMYFUNCTION("""COMPUTED_VALUE"""),129.0)</f>
        <v>129</v>
      </c>
      <c r="I297" s="148">
        <f>IFERROR(__xludf.DUMMYFUNCTION("""COMPUTED_VALUE"""),183.0)</f>
        <v>183</v>
      </c>
      <c r="J297" s="146">
        <f>IFERROR(__xludf.DUMMYFUNCTION("""COMPUTED_VALUE"""),28.0)</f>
        <v>28</v>
      </c>
      <c r="K297" s="146">
        <f>IFERROR(__xludf.DUMMYFUNCTION("""COMPUTED_VALUE"""),28.0)</f>
        <v>28</v>
      </c>
      <c r="L297" s="146"/>
      <c r="M297" s="146"/>
      <c r="N297" s="146"/>
      <c r="O297" s="146"/>
      <c r="P297" s="146">
        <f>IFERROR(__xludf.DUMMYFUNCTION("""COMPUTED_VALUE"""),201.0)</f>
        <v>201</v>
      </c>
      <c r="Q297" s="146"/>
      <c r="R297" s="146"/>
      <c r="T297" s="131" t="str">
        <f>IFERROR(__xludf.DUMMYFUNCTION("""COMPUTED_VALUE"""),"Y")</f>
        <v>Y</v>
      </c>
      <c r="U297" s="131" t="str">
        <f>IFERROR(__xludf.DUMMYFUNCTION("""COMPUTED_VALUE"""),"5")</f>
        <v>5</v>
      </c>
      <c r="V297" s="131"/>
      <c r="W297" s="144">
        <f>IFERROR(__xludf.DUMMYFUNCTION("""COMPUTED_VALUE"""),45707.0)</f>
        <v>45707</v>
      </c>
      <c r="X297" s="144">
        <f>IFERROR(__xludf.DUMMYFUNCTION("""COMPUTED_VALUE"""),45714.0)</f>
        <v>45714</v>
      </c>
      <c r="Y297" s="144">
        <f>IFERROR(__xludf.DUMMYFUNCTION("""COMPUTED_VALUE"""),45735.0)</f>
        <v>45735</v>
      </c>
      <c r="Z297" s="131" t="str">
        <f>IFERROR(__xludf.DUMMYFUNCTION("""COMPUTED_VALUE"""),"BRG11")</f>
        <v>BRG11</v>
      </c>
      <c r="AA297" s="131">
        <f>IFERROR(__xludf.DUMMYFUNCTION("""COMPUTED_VALUE"""),1191.0)</f>
        <v>1191</v>
      </c>
      <c r="AB297" s="131">
        <f>IFERROR(__xludf.DUMMYFUNCTION("""COMPUTED_VALUE"""),1231.0)</f>
        <v>1231</v>
      </c>
      <c r="AC297" s="131">
        <f>IFERROR(__xludf.DUMMYFUNCTION("""COMPUTED_VALUE"""),21.0)</f>
        <v>21</v>
      </c>
      <c r="AD297" s="131">
        <f>IFERROR(__xludf.DUMMYFUNCTION("""COMPUTED_VALUE"""),21.0)</f>
        <v>21</v>
      </c>
      <c r="AE297" s="131">
        <f>IFERROR(__xludf.DUMMYFUNCTION("""COMPUTED_VALUE"""),1054.0)</f>
        <v>1054</v>
      </c>
      <c r="AF297" s="131">
        <f>IFERROR(__xludf.DUMMYFUNCTION("""COMPUTED_VALUE"""),1138.0)</f>
        <v>1138</v>
      </c>
      <c r="AG297" s="131">
        <f>IFERROR(__xludf.DUMMYFUNCTION("""COMPUTED_VALUE"""),43.0)</f>
        <v>43</v>
      </c>
      <c r="AH297" s="131">
        <f>IFERROR(__xludf.DUMMYFUNCTION("""COMPUTED_VALUE"""),43.0)</f>
        <v>43</v>
      </c>
      <c r="AI297" s="131">
        <f>IFERROR(__xludf.DUMMYFUNCTION("""COMPUTED_VALUE"""),198.0)</f>
        <v>198</v>
      </c>
      <c r="AJ297" s="131"/>
      <c r="AK297" s="131"/>
    </row>
    <row r="298">
      <c r="A298" s="145" t="str">
        <f>IFERROR(__xludf.DUMMYFUNCTION("""COMPUTED_VALUE"""),"Y")</f>
        <v>Y</v>
      </c>
      <c r="B298" s="146" t="str">
        <f>IFERROR(__xludf.DUMMYFUNCTION("""COMPUTED_VALUE"""),"5")</f>
        <v>5</v>
      </c>
      <c r="C298" s="146"/>
      <c r="D298" s="147">
        <f>IFERROR(__xludf.DUMMYFUNCTION("""COMPUTED_VALUE"""),45707.0)</f>
        <v>45707</v>
      </c>
      <c r="E298" s="147">
        <f>IFERROR(__xludf.DUMMYFUNCTION("""COMPUTED_VALUE"""),45714.0)</f>
        <v>45714</v>
      </c>
      <c r="F298" s="147">
        <f>IFERROR(__xludf.DUMMYFUNCTION("""COMPUTED_VALUE"""),45735.0)</f>
        <v>45735</v>
      </c>
      <c r="G298" s="146" t="str">
        <f>IFERROR(__xludf.DUMMYFUNCTION("""COMPUTED_VALUE"""),"BRG11")</f>
        <v>BRG11</v>
      </c>
      <c r="H298" s="148">
        <f>IFERROR(__xludf.DUMMYFUNCTION("""COMPUTED_VALUE"""),1191.0)</f>
        <v>1191</v>
      </c>
      <c r="I298" s="148">
        <f>IFERROR(__xludf.DUMMYFUNCTION("""COMPUTED_VALUE"""),1231.0)</f>
        <v>1231</v>
      </c>
      <c r="J298" s="146">
        <f>IFERROR(__xludf.DUMMYFUNCTION("""COMPUTED_VALUE"""),21.0)</f>
        <v>21</v>
      </c>
      <c r="K298" s="146">
        <f>IFERROR(__xludf.DUMMYFUNCTION("""COMPUTED_VALUE"""),21.0)</f>
        <v>21</v>
      </c>
      <c r="L298" s="146">
        <f>IFERROR(__xludf.DUMMYFUNCTION("""COMPUTED_VALUE"""),1054.0)</f>
        <v>1054</v>
      </c>
      <c r="M298" s="146">
        <f>IFERROR(__xludf.DUMMYFUNCTION("""COMPUTED_VALUE"""),1138.0)</f>
        <v>1138</v>
      </c>
      <c r="N298" s="146">
        <f>IFERROR(__xludf.DUMMYFUNCTION("""COMPUTED_VALUE"""),43.0)</f>
        <v>43</v>
      </c>
      <c r="O298" s="146">
        <f>IFERROR(__xludf.DUMMYFUNCTION("""COMPUTED_VALUE"""),43.0)</f>
        <v>43</v>
      </c>
      <c r="P298" s="146">
        <f>IFERROR(__xludf.DUMMYFUNCTION("""COMPUTED_VALUE"""),198.0)</f>
        <v>198</v>
      </c>
      <c r="Q298" s="146"/>
      <c r="R298" s="146"/>
      <c r="T298" s="131" t="str">
        <f>IFERROR(__xludf.DUMMYFUNCTION("""COMPUTED_VALUE"""),"Y")</f>
        <v>Y</v>
      </c>
      <c r="U298" s="131" t="str">
        <f>IFERROR(__xludf.DUMMYFUNCTION("""COMPUTED_VALUE"""),"5")</f>
        <v>5</v>
      </c>
      <c r="V298" s="131"/>
      <c r="W298" s="144">
        <f>IFERROR(__xludf.DUMMYFUNCTION("""COMPUTED_VALUE"""),45707.0)</f>
        <v>45707</v>
      </c>
      <c r="X298" s="144">
        <f>IFERROR(__xludf.DUMMYFUNCTION("""COMPUTED_VALUE"""),45714.0)</f>
        <v>45714</v>
      </c>
      <c r="Y298" s="144">
        <f>IFERROR(__xludf.DUMMYFUNCTION("""COMPUTED_VALUE"""),45735.0)</f>
        <v>45735</v>
      </c>
      <c r="Z298" s="131" t="str">
        <f>IFERROR(__xludf.DUMMYFUNCTION("""COMPUTED_VALUE"""),"DC38")</f>
        <v>DC38</v>
      </c>
      <c r="AA298" s="131">
        <f>IFERROR(__xludf.DUMMYFUNCTION("""COMPUTED_VALUE"""),627.0)</f>
        <v>627</v>
      </c>
      <c r="AB298" s="131">
        <f>IFERROR(__xludf.DUMMYFUNCTION("""COMPUTED_VALUE"""),689.0)</f>
        <v>689</v>
      </c>
      <c r="AC298" s="131">
        <f>IFERROR(__xludf.DUMMYFUNCTION("""COMPUTED_VALUE"""),32.0)</f>
        <v>32</v>
      </c>
      <c r="AD298" s="131">
        <f>IFERROR(__xludf.DUMMYFUNCTION("""COMPUTED_VALUE"""),32.0)</f>
        <v>32</v>
      </c>
      <c r="AE298" s="131">
        <f>IFERROR(__xludf.DUMMYFUNCTION("""COMPUTED_VALUE"""),30.0)</f>
        <v>30</v>
      </c>
      <c r="AF298" s="131">
        <f>IFERROR(__xludf.DUMMYFUNCTION("""COMPUTED_VALUE"""),74.0)</f>
        <v>74</v>
      </c>
      <c r="AG298" s="131">
        <f>IFERROR(__xludf.DUMMYFUNCTION("""COMPUTED_VALUE"""),23.0)</f>
        <v>23</v>
      </c>
      <c r="AH298" s="131">
        <f>IFERROR(__xludf.DUMMYFUNCTION("""COMPUTED_VALUE"""),23.0)</f>
        <v>23</v>
      </c>
      <c r="AI298" s="131">
        <f>IFERROR(__xludf.DUMMYFUNCTION("""COMPUTED_VALUE"""),199.0)</f>
        <v>199</v>
      </c>
      <c r="AJ298" s="131"/>
      <c r="AK298" s="131"/>
    </row>
    <row r="299">
      <c r="A299" s="145" t="str">
        <f>IFERROR(__xludf.DUMMYFUNCTION("""COMPUTED_VALUE"""),"Y")</f>
        <v>Y</v>
      </c>
      <c r="B299" s="146" t="str">
        <f>IFERROR(__xludf.DUMMYFUNCTION("""COMPUTED_VALUE"""),"5")</f>
        <v>5</v>
      </c>
      <c r="C299" s="146"/>
      <c r="D299" s="147">
        <f>IFERROR(__xludf.DUMMYFUNCTION("""COMPUTED_VALUE"""),45707.0)</f>
        <v>45707</v>
      </c>
      <c r="E299" s="147">
        <f>IFERROR(__xludf.DUMMYFUNCTION("""COMPUTED_VALUE"""),45714.0)</f>
        <v>45714</v>
      </c>
      <c r="F299" s="147">
        <f>IFERROR(__xludf.DUMMYFUNCTION("""COMPUTED_VALUE"""),45735.0)</f>
        <v>45735</v>
      </c>
      <c r="G299" s="146" t="str">
        <f>IFERROR(__xludf.DUMMYFUNCTION("""COMPUTED_VALUE"""),"DC38")</f>
        <v>DC38</v>
      </c>
      <c r="H299" s="148">
        <f>IFERROR(__xludf.DUMMYFUNCTION("""COMPUTED_VALUE"""),627.0)</f>
        <v>627</v>
      </c>
      <c r="I299" s="148">
        <f>IFERROR(__xludf.DUMMYFUNCTION("""COMPUTED_VALUE"""),689.0)</f>
        <v>689</v>
      </c>
      <c r="J299" s="146">
        <f>IFERROR(__xludf.DUMMYFUNCTION("""COMPUTED_VALUE"""),32.0)</f>
        <v>32</v>
      </c>
      <c r="K299" s="146">
        <f>IFERROR(__xludf.DUMMYFUNCTION("""COMPUTED_VALUE"""),32.0)</f>
        <v>32</v>
      </c>
      <c r="L299" s="146">
        <f>IFERROR(__xludf.DUMMYFUNCTION("""COMPUTED_VALUE"""),30.0)</f>
        <v>30</v>
      </c>
      <c r="M299" s="146">
        <f>IFERROR(__xludf.DUMMYFUNCTION("""COMPUTED_VALUE"""),74.0)</f>
        <v>74</v>
      </c>
      <c r="N299" s="146">
        <f>IFERROR(__xludf.DUMMYFUNCTION("""COMPUTED_VALUE"""),23.0)</f>
        <v>23</v>
      </c>
      <c r="O299" s="146">
        <f>IFERROR(__xludf.DUMMYFUNCTION("""COMPUTED_VALUE"""),23.0)</f>
        <v>23</v>
      </c>
      <c r="P299" s="146">
        <f>IFERROR(__xludf.DUMMYFUNCTION("""COMPUTED_VALUE"""),199.0)</f>
        <v>199</v>
      </c>
      <c r="Q299" s="146"/>
      <c r="R299" s="146"/>
      <c r="T299" s="131" t="str">
        <f>IFERROR(__xludf.DUMMYFUNCTION("""COMPUTED_VALUE"""),"Y")</f>
        <v>Y</v>
      </c>
      <c r="U299" s="131" t="str">
        <f>IFERROR(__xludf.DUMMYFUNCTION("""COMPUTED_VALUE"""),"5")</f>
        <v>5</v>
      </c>
      <c r="V299" s="131"/>
      <c r="W299" s="144">
        <f>IFERROR(__xludf.DUMMYFUNCTION("""COMPUTED_VALUE"""),45707.0)</f>
        <v>45707</v>
      </c>
      <c r="X299" s="144">
        <f>IFERROR(__xludf.DUMMYFUNCTION("""COMPUTED_VALUE"""),45714.0)</f>
        <v>45714</v>
      </c>
      <c r="Y299" s="144">
        <f>IFERROR(__xludf.DUMMYFUNCTION("""COMPUTED_VALUE"""),45735.0)</f>
        <v>45735</v>
      </c>
      <c r="Z299" s="131" t="str">
        <f>IFERROR(__xludf.DUMMYFUNCTION("""COMPUTED_VALUE"""),"DC38")</f>
        <v>DC38</v>
      </c>
      <c r="AA299" s="131"/>
      <c r="AB299" s="131"/>
      <c r="AC299" s="131"/>
      <c r="AD299" s="131"/>
      <c r="AE299" s="131">
        <f>IFERROR(__xludf.DUMMYFUNCTION("""COMPUTED_VALUE"""),140.0)</f>
        <v>140</v>
      </c>
      <c r="AF299" s="131">
        <f>IFERROR(__xludf.DUMMYFUNCTION("""COMPUTED_VALUE"""),166.0)</f>
        <v>166</v>
      </c>
      <c r="AG299" s="131">
        <f>IFERROR(__xludf.DUMMYFUNCTION("""COMPUTED_VALUE"""),14.0)</f>
        <v>14</v>
      </c>
      <c r="AH299" s="131">
        <f>IFERROR(__xludf.DUMMYFUNCTION("""COMPUTED_VALUE"""),14.0)</f>
        <v>14</v>
      </c>
      <c r="AI299" s="131">
        <f>IFERROR(__xludf.DUMMYFUNCTION("""COMPUTED_VALUE"""),199.0)</f>
        <v>199</v>
      </c>
      <c r="AJ299" s="131"/>
      <c r="AK299" s="131"/>
    </row>
    <row r="300">
      <c r="A300" s="145" t="str">
        <f>IFERROR(__xludf.DUMMYFUNCTION("""COMPUTED_VALUE"""),"Y")</f>
        <v>Y</v>
      </c>
      <c r="B300" s="146" t="str">
        <f>IFERROR(__xludf.DUMMYFUNCTION("""COMPUTED_VALUE"""),"5")</f>
        <v>5</v>
      </c>
      <c r="C300" s="146"/>
      <c r="D300" s="147">
        <f>IFERROR(__xludf.DUMMYFUNCTION("""COMPUTED_VALUE"""),45707.0)</f>
        <v>45707</v>
      </c>
      <c r="E300" s="147">
        <f>IFERROR(__xludf.DUMMYFUNCTION("""COMPUTED_VALUE"""),45714.0)</f>
        <v>45714</v>
      </c>
      <c r="F300" s="147">
        <f>IFERROR(__xludf.DUMMYFUNCTION("""COMPUTED_VALUE"""),45735.0)</f>
        <v>45735</v>
      </c>
      <c r="G300" s="146" t="str">
        <f>IFERROR(__xludf.DUMMYFUNCTION("""COMPUTED_VALUE"""),"DC38")</f>
        <v>DC38</v>
      </c>
      <c r="H300" s="148"/>
      <c r="I300" s="148"/>
      <c r="J300" s="146"/>
      <c r="K300" s="146"/>
      <c r="L300" s="146">
        <f>IFERROR(__xludf.DUMMYFUNCTION("""COMPUTED_VALUE"""),140.0)</f>
        <v>140</v>
      </c>
      <c r="M300" s="146">
        <f>IFERROR(__xludf.DUMMYFUNCTION("""COMPUTED_VALUE"""),166.0)</f>
        <v>166</v>
      </c>
      <c r="N300" s="146">
        <f>IFERROR(__xludf.DUMMYFUNCTION("""COMPUTED_VALUE"""),14.0)</f>
        <v>14</v>
      </c>
      <c r="O300" s="146">
        <f>IFERROR(__xludf.DUMMYFUNCTION("""COMPUTED_VALUE"""),14.0)</f>
        <v>14</v>
      </c>
      <c r="P300" s="146">
        <f>IFERROR(__xludf.DUMMYFUNCTION("""COMPUTED_VALUE"""),199.0)</f>
        <v>199</v>
      </c>
      <c r="Q300" s="146"/>
      <c r="R300" s="146"/>
      <c r="T300" s="131" t="str">
        <f>IFERROR(__xludf.DUMMYFUNCTION("""COMPUTED_VALUE"""),"Y")</f>
        <v>Y</v>
      </c>
      <c r="U300" s="131" t="str">
        <f>IFERROR(__xludf.DUMMYFUNCTION("""COMPUTED_VALUE"""),"5")</f>
        <v>5</v>
      </c>
      <c r="V300" s="131"/>
      <c r="W300" s="144">
        <f>IFERROR(__xludf.DUMMYFUNCTION("""COMPUTED_VALUE"""),45708.0)</f>
        <v>45708</v>
      </c>
      <c r="X300" s="144">
        <f>IFERROR(__xludf.DUMMYFUNCTION("""COMPUTED_VALUE"""),45715.0)</f>
        <v>45715</v>
      </c>
      <c r="Y300" s="144">
        <f>IFERROR(__xludf.DUMMYFUNCTION("""COMPUTED_VALUE"""),45736.0)</f>
        <v>45736</v>
      </c>
      <c r="Z300" s="131" t="str">
        <f>IFERROR(__xludf.DUMMYFUNCTION("""COMPUTED_VALUE"""),"D35-2R")</f>
        <v>D35-2R</v>
      </c>
      <c r="AA300" s="131">
        <f>IFERROR(__xludf.DUMMYFUNCTION("""COMPUTED_VALUE"""),123.0)</f>
        <v>123</v>
      </c>
      <c r="AB300" s="131">
        <f>IFERROR(__xludf.DUMMYFUNCTION("""COMPUTED_VALUE"""),127.0)</f>
        <v>127</v>
      </c>
      <c r="AC300" s="131">
        <f>IFERROR(__xludf.DUMMYFUNCTION("""COMPUTED_VALUE"""),3.0)</f>
        <v>3</v>
      </c>
      <c r="AD300" s="131">
        <f>IFERROR(__xludf.DUMMYFUNCTION("""COMPUTED_VALUE"""),3.0)</f>
        <v>3</v>
      </c>
      <c r="AE300" s="131">
        <f>IFERROR(__xludf.DUMMYFUNCTION("""COMPUTED_VALUE"""),130.0)</f>
        <v>130</v>
      </c>
      <c r="AF300" s="131">
        <f>IFERROR(__xludf.DUMMYFUNCTION("""COMPUTED_VALUE"""),160.0)</f>
        <v>160</v>
      </c>
      <c r="AG300" s="131">
        <f>IFERROR(__xludf.DUMMYFUNCTION("""COMPUTED_VALUE"""),16.0)</f>
        <v>16</v>
      </c>
      <c r="AH300" s="131">
        <f>IFERROR(__xludf.DUMMYFUNCTION("""COMPUTED_VALUE"""),16.0)</f>
        <v>16</v>
      </c>
      <c r="AI300" s="131">
        <f>IFERROR(__xludf.DUMMYFUNCTION("""COMPUTED_VALUE"""),205.0)</f>
        <v>205</v>
      </c>
      <c r="AJ300" s="131"/>
      <c r="AK300" s="131"/>
    </row>
    <row r="301">
      <c r="A301" s="145" t="str">
        <f>IFERROR(__xludf.DUMMYFUNCTION("""COMPUTED_VALUE"""),"Y")</f>
        <v>Y</v>
      </c>
      <c r="B301" s="146" t="str">
        <f>IFERROR(__xludf.DUMMYFUNCTION("""COMPUTED_VALUE"""),"5")</f>
        <v>5</v>
      </c>
      <c r="C301" s="146"/>
      <c r="D301" s="147">
        <f>IFERROR(__xludf.DUMMYFUNCTION("""COMPUTED_VALUE"""),45708.0)</f>
        <v>45708</v>
      </c>
      <c r="E301" s="147">
        <f>IFERROR(__xludf.DUMMYFUNCTION("""COMPUTED_VALUE"""),45715.0)</f>
        <v>45715</v>
      </c>
      <c r="F301" s="147">
        <f>IFERROR(__xludf.DUMMYFUNCTION("""COMPUTED_VALUE"""),45736.0)</f>
        <v>45736</v>
      </c>
      <c r="G301" s="146" t="str">
        <f>IFERROR(__xludf.DUMMYFUNCTION("""COMPUTED_VALUE"""),"D35-2R")</f>
        <v>D35-2R</v>
      </c>
      <c r="H301" s="148">
        <f>IFERROR(__xludf.DUMMYFUNCTION("""COMPUTED_VALUE"""),123.0)</f>
        <v>123</v>
      </c>
      <c r="I301" s="148">
        <f>IFERROR(__xludf.DUMMYFUNCTION("""COMPUTED_VALUE"""),127.0)</f>
        <v>127</v>
      </c>
      <c r="J301" s="146">
        <f>IFERROR(__xludf.DUMMYFUNCTION("""COMPUTED_VALUE"""),3.0)</f>
        <v>3</v>
      </c>
      <c r="K301" s="146">
        <f>IFERROR(__xludf.DUMMYFUNCTION("""COMPUTED_VALUE"""),3.0)</f>
        <v>3</v>
      </c>
      <c r="L301" s="146">
        <f>IFERROR(__xludf.DUMMYFUNCTION("""COMPUTED_VALUE"""),130.0)</f>
        <v>130</v>
      </c>
      <c r="M301" s="146">
        <f>IFERROR(__xludf.DUMMYFUNCTION("""COMPUTED_VALUE"""),160.0)</f>
        <v>160</v>
      </c>
      <c r="N301" s="146">
        <f>IFERROR(__xludf.DUMMYFUNCTION("""COMPUTED_VALUE"""),16.0)</f>
        <v>16</v>
      </c>
      <c r="O301" s="146">
        <f>IFERROR(__xludf.DUMMYFUNCTION("""COMPUTED_VALUE"""),16.0)</f>
        <v>16</v>
      </c>
      <c r="P301" s="146">
        <f>IFERROR(__xludf.DUMMYFUNCTION("""COMPUTED_VALUE"""),205.0)</f>
        <v>205</v>
      </c>
      <c r="Q301" s="146"/>
      <c r="R301" s="146"/>
      <c r="T301" s="131" t="str">
        <f>IFERROR(__xludf.DUMMYFUNCTION("""COMPUTED_VALUE"""),"Y")</f>
        <v>Y</v>
      </c>
      <c r="U301" s="131" t="str">
        <f>IFERROR(__xludf.DUMMYFUNCTION("""COMPUTED_VALUE"""),"5")</f>
        <v>5</v>
      </c>
      <c r="V301" s="131"/>
      <c r="W301" s="144">
        <f>IFERROR(__xludf.DUMMYFUNCTION("""COMPUTED_VALUE"""),45708.0)</f>
        <v>45708</v>
      </c>
      <c r="X301" s="144">
        <f>IFERROR(__xludf.DUMMYFUNCTION("""COMPUTED_VALUE"""),45715.0)</f>
        <v>45715</v>
      </c>
      <c r="Y301" s="144">
        <f>IFERROR(__xludf.DUMMYFUNCTION("""COMPUTED_VALUE"""),45736.0)</f>
        <v>45736</v>
      </c>
      <c r="Z301" s="131" t="str">
        <f>IFERROR(__xludf.DUMMYFUNCTION("""COMPUTED_VALUE"""),"D35-2R")</f>
        <v>D35-2R</v>
      </c>
      <c r="AA301" s="131">
        <f>IFERROR(__xludf.DUMMYFUNCTION("""COMPUTED_VALUE"""),183.0)</f>
        <v>183</v>
      </c>
      <c r="AB301" s="131">
        <f>IFERROR(__xludf.DUMMYFUNCTION("""COMPUTED_VALUE"""),213.0)</f>
        <v>213</v>
      </c>
      <c r="AC301" s="131">
        <f>IFERROR(__xludf.DUMMYFUNCTION("""COMPUTED_VALUE"""),16.0)</f>
        <v>16</v>
      </c>
      <c r="AD301" s="131">
        <f>IFERROR(__xludf.DUMMYFUNCTION("""COMPUTED_VALUE"""),16.0)</f>
        <v>16</v>
      </c>
      <c r="AE301" s="131">
        <f>IFERROR(__xludf.DUMMYFUNCTION("""COMPUTED_VALUE"""),164.0)</f>
        <v>164</v>
      </c>
      <c r="AF301" s="131">
        <f>IFERROR(__xludf.DUMMYFUNCTION("""COMPUTED_VALUE"""),182.0)</f>
        <v>182</v>
      </c>
      <c r="AG301" s="131">
        <f>IFERROR(__xludf.DUMMYFUNCTION("""COMPUTED_VALUE"""),10.0)</f>
        <v>10</v>
      </c>
      <c r="AH301" s="131">
        <f>IFERROR(__xludf.DUMMYFUNCTION("""COMPUTED_VALUE"""),10.0)</f>
        <v>10</v>
      </c>
      <c r="AI301" s="131">
        <f>IFERROR(__xludf.DUMMYFUNCTION("""COMPUTED_VALUE"""),205.0)</f>
        <v>205</v>
      </c>
      <c r="AJ301" s="131"/>
      <c r="AK301" s="131"/>
    </row>
    <row r="302">
      <c r="A302" s="145" t="str">
        <f>IFERROR(__xludf.DUMMYFUNCTION("""COMPUTED_VALUE"""),"Y")</f>
        <v>Y</v>
      </c>
      <c r="B302" s="146" t="str">
        <f>IFERROR(__xludf.DUMMYFUNCTION("""COMPUTED_VALUE"""),"5")</f>
        <v>5</v>
      </c>
      <c r="C302" s="146"/>
      <c r="D302" s="147">
        <f>IFERROR(__xludf.DUMMYFUNCTION("""COMPUTED_VALUE"""),45708.0)</f>
        <v>45708</v>
      </c>
      <c r="E302" s="147">
        <f>IFERROR(__xludf.DUMMYFUNCTION("""COMPUTED_VALUE"""),45715.0)</f>
        <v>45715</v>
      </c>
      <c r="F302" s="147">
        <f>IFERROR(__xludf.DUMMYFUNCTION("""COMPUTED_VALUE"""),45736.0)</f>
        <v>45736</v>
      </c>
      <c r="G302" s="146" t="str">
        <f>IFERROR(__xludf.DUMMYFUNCTION("""COMPUTED_VALUE"""),"D35-2R")</f>
        <v>D35-2R</v>
      </c>
      <c r="H302" s="148">
        <f>IFERROR(__xludf.DUMMYFUNCTION("""COMPUTED_VALUE"""),183.0)</f>
        <v>183</v>
      </c>
      <c r="I302" s="148">
        <f>IFERROR(__xludf.DUMMYFUNCTION("""COMPUTED_VALUE"""),213.0)</f>
        <v>213</v>
      </c>
      <c r="J302" s="146">
        <f>IFERROR(__xludf.DUMMYFUNCTION("""COMPUTED_VALUE"""),16.0)</f>
        <v>16</v>
      </c>
      <c r="K302" s="146">
        <f>IFERROR(__xludf.DUMMYFUNCTION("""COMPUTED_VALUE"""),16.0)</f>
        <v>16</v>
      </c>
      <c r="L302" s="146">
        <f>IFERROR(__xludf.DUMMYFUNCTION("""COMPUTED_VALUE"""),164.0)</f>
        <v>164</v>
      </c>
      <c r="M302" s="146">
        <f>IFERROR(__xludf.DUMMYFUNCTION("""COMPUTED_VALUE"""),182.0)</f>
        <v>182</v>
      </c>
      <c r="N302" s="146">
        <f>IFERROR(__xludf.DUMMYFUNCTION("""COMPUTED_VALUE"""),10.0)</f>
        <v>10</v>
      </c>
      <c r="O302" s="146">
        <f>IFERROR(__xludf.DUMMYFUNCTION("""COMPUTED_VALUE"""),10.0)</f>
        <v>10</v>
      </c>
      <c r="P302" s="146">
        <f>IFERROR(__xludf.DUMMYFUNCTION("""COMPUTED_VALUE"""),205.0)</f>
        <v>205</v>
      </c>
      <c r="Q302" s="146"/>
      <c r="R302" s="146"/>
      <c r="T302" s="131" t="str">
        <f>IFERROR(__xludf.DUMMYFUNCTION("""COMPUTED_VALUE"""),"Y")</f>
        <v>Y</v>
      </c>
      <c r="U302" s="131" t="str">
        <f>IFERROR(__xludf.DUMMYFUNCTION("""COMPUTED_VALUE"""),"5")</f>
        <v>5</v>
      </c>
      <c r="V302" s="131"/>
      <c r="W302" s="144">
        <f>IFERROR(__xludf.DUMMYFUNCTION("""COMPUTED_VALUE"""),45708.0)</f>
        <v>45708</v>
      </c>
      <c r="X302" s="144">
        <f>IFERROR(__xludf.DUMMYFUNCTION("""COMPUTED_VALUE"""),45715.0)</f>
        <v>45715</v>
      </c>
      <c r="Y302" s="144">
        <f>IFERROR(__xludf.DUMMYFUNCTION("""COMPUTED_VALUE"""),45736.0)</f>
        <v>45736</v>
      </c>
      <c r="Z302" s="131" t="str">
        <f>IFERROR(__xludf.DUMMYFUNCTION("""COMPUTED_VALUE"""),"D35-1R")</f>
        <v>D35-1R</v>
      </c>
      <c r="AA302" s="131"/>
      <c r="AB302" s="131"/>
      <c r="AC302" s="131"/>
      <c r="AD302" s="131"/>
      <c r="AE302" s="131">
        <f>IFERROR(__xludf.DUMMYFUNCTION("""COMPUTED_VALUE"""),38.0)</f>
        <v>38</v>
      </c>
      <c r="AF302" s="131">
        <f>IFERROR(__xludf.DUMMYFUNCTION("""COMPUTED_VALUE"""),58.0)</f>
        <v>58</v>
      </c>
      <c r="AG302" s="131">
        <f>IFERROR(__xludf.DUMMYFUNCTION("""COMPUTED_VALUE"""),11.0)</f>
        <v>11</v>
      </c>
      <c r="AH302" s="131">
        <f>IFERROR(__xludf.DUMMYFUNCTION("""COMPUTED_VALUE"""),11.0)</f>
        <v>11</v>
      </c>
      <c r="AI302" s="131">
        <f>IFERROR(__xludf.DUMMYFUNCTION("""COMPUTED_VALUE"""),205.0)</f>
        <v>205</v>
      </c>
      <c r="AJ302" s="131"/>
      <c r="AK302" s="131"/>
    </row>
    <row r="303">
      <c r="A303" s="145" t="str">
        <f>IFERROR(__xludf.DUMMYFUNCTION("""COMPUTED_VALUE"""),"Y")</f>
        <v>Y</v>
      </c>
      <c r="B303" s="146" t="str">
        <f>IFERROR(__xludf.DUMMYFUNCTION("""COMPUTED_VALUE"""),"5")</f>
        <v>5</v>
      </c>
      <c r="C303" s="146"/>
      <c r="D303" s="147">
        <f>IFERROR(__xludf.DUMMYFUNCTION("""COMPUTED_VALUE"""),45708.0)</f>
        <v>45708</v>
      </c>
      <c r="E303" s="147">
        <f>IFERROR(__xludf.DUMMYFUNCTION("""COMPUTED_VALUE"""),45715.0)</f>
        <v>45715</v>
      </c>
      <c r="F303" s="147">
        <f>IFERROR(__xludf.DUMMYFUNCTION("""COMPUTED_VALUE"""),45736.0)</f>
        <v>45736</v>
      </c>
      <c r="G303" s="146" t="str">
        <f>IFERROR(__xludf.DUMMYFUNCTION("""COMPUTED_VALUE"""),"D35-1R")</f>
        <v>D35-1R</v>
      </c>
      <c r="H303" s="148"/>
      <c r="I303" s="148"/>
      <c r="J303" s="146"/>
      <c r="K303" s="146"/>
      <c r="L303" s="146">
        <f>IFERROR(__xludf.DUMMYFUNCTION("""COMPUTED_VALUE"""),38.0)</f>
        <v>38</v>
      </c>
      <c r="M303" s="146">
        <f>IFERROR(__xludf.DUMMYFUNCTION("""COMPUTED_VALUE"""),58.0)</f>
        <v>58</v>
      </c>
      <c r="N303" s="146">
        <f>IFERROR(__xludf.DUMMYFUNCTION("""COMPUTED_VALUE"""),11.0)</f>
        <v>11</v>
      </c>
      <c r="O303" s="146">
        <f>IFERROR(__xludf.DUMMYFUNCTION("""COMPUTED_VALUE"""),11.0)</f>
        <v>11</v>
      </c>
      <c r="P303" s="146">
        <f>IFERROR(__xludf.DUMMYFUNCTION("""COMPUTED_VALUE"""),205.0)</f>
        <v>205</v>
      </c>
      <c r="Q303" s="146"/>
      <c r="R303" s="146"/>
      <c r="T303" s="131" t="str">
        <f>IFERROR(__xludf.DUMMYFUNCTION("""COMPUTED_VALUE"""),"Y")</f>
        <v>Y</v>
      </c>
      <c r="U303" s="131" t="str">
        <f>IFERROR(__xludf.DUMMYFUNCTION("""COMPUTED_VALUE"""),"5")</f>
        <v>5</v>
      </c>
      <c r="V303" s="131"/>
      <c r="W303" s="144">
        <f>IFERROR(__xludf.DUMMYFUNCTION("""COMPUTED_VALUE"""),45708.0)</f>
        <v>45708</v>
      </c>
      <c r="X303" s="144">
        <f>IFERROR(__xludf.DUMMYFUNCTION("""COMPUTED_VALUE"""),45715.0)</f>
        <v>45715</v>
      </c>
      <c r="Y303" s="144">
        <f>IFERROR(__xludf.DUMMYFUNCTION("""COMPUTED_VALUE"""),45736.0)</f>
        <v>45736</v>
      </c>
      <c r="Z303" s="131" t="str">
        <f>IFERROR(__xludf.DUMMYFUNCTION("""COMPUTED_VALUE"""),"D41-5R")</f>
        <v>D41-5R</v>
      </c>
      <c r="AA303" s="131">
        <f>IFERROR(__xludf.DUMMYFUNCTION("""COMPUTED_VALUE"""),155.0)</f>
        <v>155</v>
      </c>
      <c r="AB303" s="131">
        <f>IFERROR(__xludf.DUMMYFUNCTION("""COMPUTED_VALUE"""),157.0)</f>
        <v>157</v>
      </c>
      <c r="AC303" s="131">
        <f>IFERROR(__xludf.DUMMYFUNCTION("""COMPUTED_VALUE"""),2.0)</f>
        <v>2</v>
      </c>
      <c r="AD303" s="131">
        <f>IFERROR(__xludf.DUMMYFUNCTION("""COMPUTED_VALUE"""),2.0)</f>
        <v>2</v>
      </c>
      <c r="AE303" s="131">
        <f>IFERROR(__xludf.DUMMYFUNCTION("""COMPUTED_VALUE"""),2.0)</f>
        <v>2</v>
      </c>
      <c r="AF303" s="131">
        <f>IFERROR(__xludf.DUMMYFUNCTION("""COMPUTED_VALUE"""),152.0)</f>
        <v>152</v>
      </c>
      <c r="AG303" s="131">
        <f>IFERROR(__xludf.DUMMYFUNCTION("""COMPUTED_VALUE"""),76.0)</f>
        <v>76</v>
      </c>
      <c r="AH303" s="131">
        <f>IFERROR(__xludf.DUMMYFUNCTION("""COMPUTED_VALUE"""),76.0)</f>
        <v>76</v>
      </c>
      <c r="AI303" s="131">
        <f>IFERROR(__xludf.DUMMYFUNCTION("""COMPUTED_VALUE"""),207.0)</f>
        <v>207</v>
      </c>
      <c r="AJ303" s="131"/>
      <c r="AK303" s="131"/>
    </row>
    <row r="304">
      <c r="A304" s="145" t="str">
        <f>IFERROR(__xludf.DUMMYFUNCTION("""COMPUTED_VALUE"""),"Y")</f>
        <v>Y</v>
      </c>
      <c r="B304" s="146" t="str">
        <f>IFERROR(__xludf.DUMMYFUNCTION("""COMPUTED_VALUE"""),"5")</f>
        <v>5</v>
      </c>
      <c r="C304" s="146"/>
      <c r="D304" s="147">
        <f>IFERROR(__xludf.DUMMYFUNCTION("""COMPUTED_VALUE"""),45708.0)</f>
        <v>45708</v>
      </c>
      <c r="E304" s="147">
        <f>IFERROR(__xludf.DUMMYFUNCTION("""COMPUTED_VALUE"""),45715.0)</f>
        <v>45715</v>
      </c>
      <c r="F304" s="147">
        <f>IFERROR(__xludf.DUMMYFUNCTION("""COMPUTED_VALUE"""),45736.0)</f>
        <v>45736</v>
      </c>
      <c r="G304" s="146" t="str">
        <f>IFERROR(__xludf.DUMMYFUNCTION("""COMPUTED_VALUE"""),"D41-5R")</f>
        <v>D41-5R</v>
      </c>
      <c r="H304" s="148">
        <f>IFERROR(__xludf.DUMMYFUNCTION("""COMPUTED_VALUE"""),155.0)</f>
        <v>155</v>
      </c>
      <c r="I304" s="148">
        <f>IFERROR(__xludf.DUMMYFUNCTION("""COMPUTED_VALUE"""),157.0)</f>
        <v>157</v>
      </c>
      <c r="J304" s="146">
        <f>IFERROR(__xludf.DUMMYFUNCTION("""COMPUTED_VALUE"""),2.0)</f>
        <v>2</v>
      </c>
      <c r="K304" s="146">
        <f>IFERROR(__xludf.DUMMYFUNCTION("""COMPUTED_VALUE"""),2.0)</f>
        <v>2</v>
      </c>
      <c r="L304" s="146">
        <f>IFERROR(__xludf.DUMMYFUNCTION("""COMPUTED_VALUE"""),2.0)</f>
        <v>2</v>
      </c>
      <c r="M304" s="146">
        <f>IFERROR(__xludf.DUMMYFUNCTION("""COMPUTED_VALUE"""),152.0)</f>
        <v>152</v>
      </c>
      <c r="N304" s="146">
        <f>IFERROR(__xludf.DUMMYFUNCTION("""COMPUTED_VALUE"""),76.0)</f>
        <v>76</v>
      </c>
      <c r="O304" s="146">
        <f>IFERROR(__xludf.DUMMYFUNCTION("""COMPUTED_VALUE"""),76.0)</f>
        <v>76</v>
      </c>
      <c r="P304" s="146">
        <f>IFERROR(__xludf.DUMMYFUNCTION("""COMPUTED_VALUE"""),207.0)</f>
        <v>207</v>
      </c>
      <c r="Q304" s="146"/>
      <c r="R304" s="146"/>
      <c r="T304" s="131" t="str">
        <f>IFERROR(__xludf.DUMMYFUNCTION("""COMPUTED_VALUE"""),"Y")</f>
        <v>Y</v>
      </c>
      <c r="U304" s="131" t="str">
        <f>IFERROR(__xludf.DUMMYFUNCTION("""COMPUTED_VALUE"""),"5")</f>
        <v>5</v>
      </c>
      <c r="V304" s="131"/>
      <c r="W304" s="144">
        <f>IFERROR(__xludf.DUMMYFUNCTION("""COMPUTED_VALUE"""),45708.0)</f>
        <v>45708</v>
      </c>
      <c r="X304" s="144">
        <f>IFERROR(__xludf.DUMMYFUNCTION("""COMPUTED_VALUE"""),45715.0)</f>
        <v>45715</v>
      </c>
      <c r="Y304" s="144">
        <f>IFERROR(__xludf.DUMMYFUNCTION("""COMPUTED_VALUE"""),45736.0)</f>
        <v>45736</v>
      </c>
      <c r="Z304" s="131" t="str">
        <f>IFERROR(__xludf.DUMMYFUNCTION("""COMPUTED_VALUE"""),"BRG11")</f>
        <v>BRG11</v>
      </c>
      <c r="AA304" s="131">
        <f>IFERROR(__xludf.DUMMYFUNCTION("""COMPUTED_VALUE"""),1233.0)</f>
        <v>1233</v>
      </c>
      <c r="AB304" s="131">
        <f>IFERROR(__xludf.DUMMYFUNCTION("""COMPUTED_VALUE"""),1327.0)</f>
        <v>1327</v>
      </c>
      <c r="AC304" s="131">
        <f>IFERROR(__xludf.DUMMYFUNCTION("""COMPUTED_VALUE"""),48.0)</f>
        <v>48</v>
      </c>
      <c r="AD304" s="131">
        <f>IFERROR(__xludf.DUMMYFUNCTION("""COMPUTED_VALUE"""),48.0)</f>
        <v>48</v>
      </c>
      <c r="AE304" s="131"/>
      <c r="AF304" s="131"/>
      <c r="AG304" s="131"/>
      <c r="AH304" s="131"/>
      <c r="AI304" s="131">
        <f>IFERROR(__xludf.DUMMYFUNCTION("""COMPUTED_VALUE"""),206.0)</f>
        <v>206</v>
      </c>
      <c r="AJ304" s="131"/>
      <c r="AK304" s="131"/>
    </row>
    <row r="305">
      <c r="A305" s="145" t="str">
        <f>IFERROR(__xludf.DUMMYFUNCTION("""COMPUTED_VALUE"""),"Y")</f>
        <v>Y</v>
      </c>
      <c r="B305" s="146" t="str">
        <f>IFERROR(__xludf.DUMMYFUNCTION("""COMPUTED_VALUE"""),"5")</f>
        <v>5</v>
      </c>
      <c r="C305" s="146"/>
      <c r="D305" s="147">
        <f>IFERROR(__xludf.DUMMYFUNCTION("""COMPUTED_VALUE"""),45708.0)</f>
        <v>45708</v>
      </c>
      <c r="E305" s="147">
        <f>IFERROR(__xludf.DUMMYFUNCTION("""COMPUTED_VALUE"""),45715.0)</f>
        <v>45715</v>
      </c>
      <c r="F305" s="147">
        <f>IFERROR(__xludf.DUMMYFUNCTION("""COMPUTED_VALUE"""),45736.0)</f>
        <v>45736</v>
      </c>
      <c r="G305" s="146" t="str">
        <f>IFERROR(__xludf.DUMMYFUNCTION("""COMPUTED_VALUE"""),"BRG11")</f>
        <v>BRG11</v>
      </c>
      <c r="H305" s="148">
        <f>IFERROR(__xludf.DUMMYFUNCTION("""COMPUTED_VALUE"""),1233.0)</f>
        <v>1233</v>
      </c>
      <c r="I305" s="148">
        <f>IFERROR(__xludf.DUMMYFUNCTION("""COMPUTED_VALUE"""),1327.0)</f>
        <v>1327</v>
      </c>
      <c r="J305" s="146">
        <f>IFERROR(__xludf.DUMMYFUNCTION("""COMPUTED_VALUE"""),48.0)</f>
        <v>48</v>
      </c>
      <c r="K305" s="146">
        <f>IFERROR(__xludf.DUMMYFUNCTION("""COMPUTED_VALUE"""),48.0)</f>
        <v>48</v>
      </c>
      <c r="L305" s="146"/>
      <c r="M305" s="146"/>
      <c r="N305" s="146"/>
      <c r="O305" s="146"/>
      <c r="P305" s="146">
        <f>IFERROR(__xludf.DUMMYFUNCTION("""COMPUTED_VALUE"""),206.0)</f>
        <v>206</v>
      </c>
      <c r="Q305" s="146"/>
      <c r="R305" s="146"/>
      <c r="T305" s="131" t="str">
        <f>IFERROR(__xludf.DUMMYFUNCTION("""COMPUTED_VALUE"""),"Y")</f>
        <v>Y</v>
      </c>
      <c r="U305" s="131" t="str">
        <f>IFERROR(__xludf.DUMMYFUNCTION("""COMPUTED_VALUE"""),"5")</f>
        <v>5</v>
      </c>
      <c r="V305" s="131"/>
      <c r="W305" s="144">
        <f>IFERROR(__xludf.DUMMYFUNCTION("""COMPUTED_VALUE"""),45708.0)</f>
        <v>45708</v>
      </c>
      <c r="X305" s="144">
        <f>IFERROR(__xludf.DUMMYFUNCTION("""COMPUTED_VALUE"""),45715.0)</f>
        <v>45715</v>
      </c>
      <c r="Y305" s="144">
        <f>IFERROR(__xludf.DUMMYFUNCTION("""COMPUTED_VALUE"""),45736.0)</f>
        <v>45736</v>
      </c>
      <c r="Z305" s="131" t="str">
        <f>IFERROR(__xludf.DUMMYFUNCTION("""COMPUTED_VALUE"""),"DC38")</f>
        <v>DC38</v>
      </c>
      <c r="AA305" s="131">
        <f>IFERROR(__xludf.DUMMYFUNCTION("""COMPUTED_VALUE"""),691.0)</f>
        <v>691</v>
      </c>
      <c r="AB305" s="131">
        <f>IFERROR(__xludf.DUMMYFUNCTION("""COMPUTED_VALUE"""),771.0)</f>
        <v>771</v>
      </c>
      <c r="AC305" s="131">
        <f>IFERROR(__xludf.DUMMYFUNCTION("""COMPUTED_VALUE"""),41.0)</f>
        <v>41</v>
      </c>
      <c r="AD305" s="131">
        <f>IFERROR(__xludf.DUMMYFUNCTION("""COMPUTED_VALUE"""),41.0)</f>
        <v>41</v>
      </c>
      <c r="AE305" s="131"/>
      <c r="AF305" s="131"/>
      <c r="AG305" s="131"/>
      <c r="AH305" s="131"/>
      <c r="AI305" s="131">
        <f>IFERROR(__xludf.DUMMYFUNCTION("""COMPUTED_VALUE"""),204.0)</f>
        <v>204</v>
      </c>
      <c r="AJ305" s="131"/>
      <c r="AK305" s="131"/>
    </row>
    <row r="306">
      <c r="A306" s="145" t="str">
        <f>IFERROR(__xludf.DUMMYFUNCTION("""COMPUTED_VALUE"""),"Y")</f>
        <v>Y</v>
      </c>
      <c r="B306" s="146" t="str">
        <f>IFERROR(__xludf.DUMMYFUNCTION("""COMPUTED_VALUE"""),"5")</f>
        <v>5</v>
      </c>
      <c r="C306" s="146"/>
      <c r="D306" s="147">
        <f>IFERROR(__xludf.DUMMYFUNCTION("""COMPUTED_VALUE"""),45708.0)</f>
        <v>45708</v>
      </c>
      <c r="E306" s="147">
        <f>IFERROR(__xludf.DUMMYFUNCTION("""COMPUTED_VALUE"""),45715.0)</f>
        <v>45715</v>
      </c>
      <c r="F306" s="147">
        <f>IFERROR(__xludf.DUMMYFUNCTION("""COMPUTED_VALUE"""),45736.0)</f>
        <v>45736</v>
      </c>
      <c r="G306" s="146" t="str">
        <f>IFERROR(__xludf.DUMMYFUNCTION("""COMPUTED_VALUE"""),"DC38")</f>
        <v>DC38</v>
      </c>
      <c r="H306" s="148">
        <f>IFERROR(__xludf.DUMMYFUNCTION("""COMPUTED_VALUE"""),691.0)</f>
        <v>691</v>
      </c>
      <c r="I306" s="148">
        <f>IFERROR(__xludf.DUMMYFUNCTION("""COMPUTED_VALUE"""),771.0)</f>
        <v>771</v>
      </c>
      <c r="J306" s="146">
        <f>IFERROR(__xludf.DUMMYFUNCTION("""COMPUTED_VALUE"""),41.0)</f>
        <v>41</v>
      </c>
      <c r="K306" s="146">
        <f>IFERROR(__xludf.DUMMYFUNCTION("""COMPUTED_VALUE"""),41.0)</f>
        <v>41</v>
      </c>
      <c r="L306" s="146"/>
      <c r="M306" s="146"/>
      <c r="N306" s="146"/>
      <c r="O306" s="146"/>
      <c r="P306" s="146">
        <f>IFERROR(__xludf.DUMMYFUNCTION("""COMPUTED_VALUE"""),204.0)</f>
        <v>204</v>
      </c>
      <c r="Q306" s="146"/>
      <c r="R306" s="146"/>
      <c r="T306" s="131" t="str">
        <f>IFERROR(__xludf.DUMMYFUNCTION("""COMPUTED_VALUE"""),"Y")</f>
        <v>Y</v>
      </c>
      <c r="U306" s="131" t="str">
        <f>IFERROR(__xludf.DUMMYFUNCTION("""COMPUTED_VALUE"""),"5")</f>
        <v>5</v>
      </c>
      <c r="V306" s="131"/>
      <c r="W306" s="144">
        <f>IFERROR(__xludf.DUMMYFUNCTION("""COMPUTED_VALUE"""),45712.0)</f>
        <v>45712</v>
      </c>
      <c r="X306" s="144">
        <f>IFERROR(__xludf.DUMMYFUNCTION("""COMPUTED_VALUE"""),45719.0)</f>
        <v>45719</v>
      </c>
      <c r="Y306" s="144">
        <f>IFERROR(__xludf.DUMMYFUNCTION("""COMPUTED_VALUE"""),45740.0)</f>
        <v>45740</v>
      </c>
      <c r="Z306" s="131" t="str">
        <f>IFERROR(__xludf.DUMMYFUNCTION("""COMPUTED_VALUE"""),"D41-5R")</f>
        <v>D41-5R</v>
      </c>
      <c r="AA306" s="131">
        <f>IFERROR(__xludf.DUMMYFUNCTION("""COMPUTED_VALUE"""),159.0)</f>
        <v>159</v>
      </c>
      <c r="AB306" s="131">
        <f>IFERROR(__xludf.DUMMYFUNCTION("""COMPUTED_VALUE"""),181.0)</f>
        <v>181</v>
      </c>
      <c r="AC306" s="131">
        <f>IFERROR(__xludf.DUMMYFUNCTION("""COMPUTED_VALUE"""),12.0)</f>
        <v>12</v>
      </c>
      <c r="AD306" s="131">
        <f>IFERROR(__xludf.DUMMYFUNCTION("""COMPUTED_VALUE"""),12.0)</f>
        <v>12</v>
      </c>
      <c r="AE306" s="131">
        <f>IFERROR(__xludf.DUMMYFUNCTION("""COMPUTED_VALUE"""),158.0)</f>
        <v>158</v>
      </c>
      <c r="AF306" s="131">
        <f>IFERROR(__xludf.DUMMYFUNCTION("""COMPUTED_VALUE"""),174.0)</f>
        <v>174</v>
      </c>
      <c r="AG306" s="131">
        <f>IFERROR(__xludf.DUMMYFUNCTION("""COMPUTED_VALUE"""),9.0)</f>
        <v>9</v>
      </c>
      <c r="AH306" s="131">
        <f>IFERROR(__xludf.DUMMYFUNCTION("""COMPUTED_VALUE"""),9.0)</f>
        <v>9</v>
      </c>
      <c r="AI306" s="131">
        <f>IFERROR(__xludf.DUMMYFUNCTION("""COMPUTED_VALUE"""),210.0)</f>
        <v>210</v>
      </c>
      <c r="AJ306" s="131"/>
      <c r="AK306" s="131"/>
    </row>
    <row r="307">
      <c r="A307" s="145" t="str">
        <f>IFERROR(__xludf.DUMMYFUNCTION("""COMPUTED_VALUE"""),"Y")</f>
        <v>Y</v>
      </c>
      <c r="B307" s="146" t="str">
        <f>IFERROR(__xludf.DUMMYFUNCTION("""COMPUTED_VALUE"""),"5")</f>
        <v>5</v>
      </c>
      <c r="C307" s="146"/>
      <c r="D307" s="147">
        <f>IFERROR(__xludf.DUMMYFUNCTION("""COMPUTED_VALUE"""),45712.0)</f>
        <v>45712</v>
      </c>
      <c r="E307" s="147">
        <f>IFERROR(__xludf.DUMMYFUNCTION("""COMPUTED_VALUE"""),45719.0)</f>
        <v>45719</v>
      </c>
      <c r="F307" s="147">
        <f>IFERROR(__xludf.DUMMYFUNCTION("""COMPUTED_VALUE"""),45740.0)</f>
        <v>45740</v>
      </c>
      <c r="G307" s="146" t="str">
        <f>IFERROR(__xludf.DUMMYFUNCTION("""COMPUTED_VALUE"""),"D41-5R")</f>
        <v>D41-5R</v>
      </c>
      <c r="H307" s="148">
        <f>IFERROR(__xludf.DUMMYFUNCTION("""COMPUTED_VALUE"""),159.0)</f>
        <v>159</v>
      </c>
      <c r="I307" s="148">
        <f>IFERROR(__xludf.DUMMYFUNCTION("""COMPUTED_VALUE"""),181.0)</f>
        <v>181</v>
      </c>
      <c r="J307" s="146">
        <f>IFERROR(__xludf.DUMMYFUNCTION("""COMPUTED_VALUE"""),12.0)</f>
        <v>12</v>
      </c>
      <c r="K307" s="146">
        <f>IFERROR(__xludf.DUMMYFUNCTION("""COMPUTED_VALUE"""),12.0)</f>
        <v>12</v>
      </c>
      <c r="L307" s="146">
        <f>IFERROR(__xludf.DUMMYFUNCTION("""COMPUTED_VALUE"""),158.0)</f>
        <v>158</v>
      </c>
      <c r="M307" s="146">
        <f>IFERROR(__xludf.DUMMYFUNCTION("""COMPUTED_VALUE"""),174.0)</f>
        <v>174</v>
      </c>
      <c r="N307" s="146">
        <f>IFERROR(__xludf.DUMMYFUNCTION("""COMPUTED_VALUE"""),9.0)</f>
        <v>9</v>
      </c>
      <c r="O307" s="146">
        <f>IFERROR(__xludf.DUMMYFUNCTION("""COMPUTED_VALUE"""),9.0)</f>
        <v>9</v>
      </c>
      <c r="P307" s="146">
        <f>IFERROR(__xludf.DUMMYFUNCTION("""COMPUTED_VALUE"""),210.0)</f>
        <v>210</v>
      </c>
      <c r="Q307" s="146"/>
      <c r="R307" s="146"/>
      <c r="T307" s="131" t="str">
        <f>IFERROR(__xludf.DUMMYFUNCTION("""COMPUTED_VALUE"""),"Y")</f>
        <v>Y</v>
      </c>
      <c r="U307" s="131" t="str">
        <f>IFERROR(__xludf.DUMMYFUNCTION("""COMPUTED_VALUE"""),"5")</f>
        <v>5</v>
      </c>
      <c r="V307" s="131"/>
      <c r="W307" s="144">
        <f>IFERROR(__xludf.DUMMYFUNCTION("""COMPUTED_VALUE"""),45712.0)</f>
        <v>45712</v>
      </c>
      <c r="X307" s="144">
        <f>IFERROR(__xludf.DUMMYFUNCTION("""COMPUTED_VALUE"""),45719.0)</f>
        <v>45719</v>
      </c>
      <c r="Y307" s="144">
        <f>IFERROR(__xludf.DUMMYFUNCTION("""COMPUTED_VALUE"""),45740.0)</f>
        <v>45740</v>
      </c>
      <c r="Z307" s="131" t="str">
        <f>IFERROR(__xludf.DUMMYFUNCTION("""COMPUTED_VALUE"""),"D41-5R")</f>
        <v>D41-5R</v>
      </c>
      <c r="AA307" s="131">
        <f>IFERROR(__xludf.DUMMYFUNCTION("""COMPUTED_VALUE"""),183.0)</f>
        <v>183</v>
      </c>
      <c r="AB307" s="131">
        <f>IFERROR(__xludf.DUMMYFUNCTION("""COMPUTED_VALUE"""),249.0)</f>
        <v>249</v>
      </c>
      <c r="AC307" s="131">
        <f>IFERROR(__xludf.DUMMYFUNCTION("""COMPUTED_VALUE"""),34.0)</f>
        <v>34</v>
      </c>
      <c r="AD307" s="131">
        <f>IFERROR(__xludf.DUMMYFUNCTION("""COMPUTED_VALUE"""),34.0)</f>
        <v>34</v>
      </c>
      <c r="AE307" s="131"/>
      <c r="AF307" s="131"/>
      <c r="AG307" s="131"/>
      <c r="AH307" s="131"/>
      <c r="AI307" s="131">
        <f>IFERROR(__xludf.DUMMYFUNCTION("""COMPUTED_VALUE"""),210.0)</f>
        <v>210</v>
      </c>
      <c r="AJ307" s="131"/>
      <c r="AK307" s="131"/>
    </row>
    <row r="308">
      <c r="A308" s="145" t="str">
        <f>IFERROR(__xludf.DUMMYFUNCTION("""COMPUTED_VALUE"""),"Y")</f>
        <v>Y</v>
      </c>
      <c r="B308" s="146" t="str">
        <f>IFERROR(__xludf.DUMMYFUNCTION("""COMPUTED_VALUE"""),"5")</f>
        <v>5</v>
      </c>
      <c r="C308" s="146"/>
      <c r="D308" s="147">
        <f>IFERROR(__xludf.DUMMYFUNCTION("""COMPUTED_VALUE"""),45712.0)</f>
        <v>45712</v>
      </c>
      <c r="E308" s="147">
        <f>IFERROR(__xludf.DUMMYFUNCTION("""COMPUTED_VALUE"""),45719.0)</f>
        <v>45719</v>
      </c>
      <c r="F308" s="147">
        <f>IFERROR(__xludf.DUMMYFUNCTION("""COMPUTED_VALUE"""),45740.0)</f>
        <v>45740</v>
      </c>
      <c r="G308" s="146" t="str">
        <f>IFERROR(__xludf.DUMMYFUNCTION("""COMPUTED_VALUE"""),"D41-5R")</f>
        <v>D41-5R</v>
      </c>
      <c r="H308" s="148">
        <f>IFERROR(__xludf.DUMMYFUNCTION("""COMPUTED_VALUE"""),183.0)</f>
        <v>183</v>
      </c>
      <c r="I308" s="148">
        <f>IFERROR(__xludf.DUMMYFUNCTION("""COMPUTED_VALUE"""),249.0)</f>
        <v>249</v>
      </c>
      <c r="J308" s="146">
        <f>IFERROR(__xludf.DUMMYFUNCTION("""COMPUTED_VALUE"""),34.0)</f>
        <v>34</v>
      </c>
      <c r="K308" s="146">
        <f>IFERROR(__xludf.DUMMYFUNCTION("""COMPUTED_VALUE"""),34.0)</f>
        <v>34</v>
      </c>
      <c r="L308" s="146"/>
      <c r="M308" s="146"/>
      <c r="N308" s="146"/>
      <c r="O308" s="146"/>
      <c r="P308" s="146">
        <f>IFERROR(__xludf.DUMMYFUNCTION("""COMPUTED_VALUE"""),210.0)</f>
        <v>210</v>
      </c>
      <c r="Q308" s="146"/>
      <c r="R308" s="146"/>
      <c r="T308" s="131" t="str">
        <f>IFERROR(__xludf.DUMMYFUNCTION("""COMPUTED_VALUE"""),"Y")</f>
        <v>Y</v>
      </c>
      <c r="U308" s="131" t="str">
        <f>IFERROR(__xludf.DUMMYFUNCTION("""COMPUTED_VALUE"""),"5")</f>
        <v>5</v>
      </c>
      <c r="V308" s="131"/>
      <c r="W308" s="144">
        <f>IFERROR(__xludf.DUMMYFUNCTION("""COMPUTED_VALUE"""),45712.0)</f>
        <v>45712</v>
      </c>
      <c r="X308" s="144">
        <f>IFERROR(__xludf.DUMMYFUNCTION("""COMPUTED_VALUE"""),45719.0)</f>
        <v>45719</v>
      </c>
      <c r="Y308" s="144">
        <f>IFERROR(__xludf.DUMMYFUNCTION("""COMPUTED_VALUE"""),45740.0)</f>
        <v>45740</v>
      </c>
      <c r="Z308" s="131" t="str">
        <f>IFERROR(__xludf.DUMMYFUNCTION("""COMPUTED_VALUE"""),"D41-5R")</f>
        <v>D41-5R</v>
      </c>
      <c r="AA308" s="131">
        <f>IFERROR(__xludf.DUMMYFUNCTION("""COMPUTED_VALUE"""),255.0)</f>
        <v>255</v>
      </c>
      <c r="AB308" s="131">
        <f>IFERROR(__xludf.DUMMYFUNCTION("""COMPUTED_VALUE"""),307.0)</f>
        <v>307</v>
      </c>
      <c r="AC308" s="131">
        <f>IFERROR(__xludf.DUMMYFUNCTION("""COMPUTED_VALUE"""),27.0)</f>
        <v>27</v>
      </c>
      <c r="AD308" s="131">
        <f>IFERROR(__xludf.DUMMYFUNCTION("""COMPUTED_VALUE"""),27.0)</f>
        <v>27</v>
      </c>
      <c r="AE308" s="131"/>
      <c r="AF308" s="131"/>
      <c r="AG308" s="131"/>
      <c r="AH308" s="131"/>
      <c r="AI308" s="131">
        <f>IFERROR(__xludf.DUMMYFUNCTION("""COMPUTED_VALUE"""),210.0)</f>
        <v>210</v>
      </c>
      <c r="AJ308" s="131"/>
      <c r="AK308" s="131"/>
    </row>
    <row r="309">
      <c r="A309" s="145" t="str">
        <f>IFERROR(__xludf.DUMMYFUNCTION("""COMPUTED_VALUE"""),"Y")</f>
        <v>Y</v>
      </c>
      <c r="B309" s="146" t="str">
        <f>IFERROR(__xludf.DUMMYFUNCTION("""COMPUTED_VALUE"""),"5")</f>
        <v>5</v>
      </c>
      <c r="C309" s="146"/>
      <c r="D309" s="147">
        <f>IFERROR(__xludf.DUMMYFUNCTION("""COMPUTED_VALUE"""),45712.0)</f>
        <v>45712</v>
      </c>
      <c r="E309" s="147">
        <f>IFERROR(__xludf.DUMMYFUNCTION("""COMPUTED_VALUE"""),45719.0)</f>
        <v>45719</v>
      </c>
      <c r="F309" s="147">
        <f>IFERROR(__xludf.DUMMYFUNCTION("""COMPUTED_VALUE"""),45740.0)</f>
        <v>45740</v>
      </c>
      <c r="G309" s="146" t="str">
        <f>IFERROR(__xludf.DUMMYFUNCTION("""COMPUTED_VALUE"""),"D41-5R")</f>
        <v>D41-5R</v>
      </c>
      <c r="H309" s="148">
        <f>IFERROR(__xludf.DUMMYFUNCTION("""COMPUTED_VALUE"""),255.0)</f>
        <v>255</v>
      </c>
      <c r="I309" s="148">
        <f>IFERROR(__xludf.DUMMYFUNCTION("""COMPUTED_VALUE"""),307.0)</f>
        <v>307</v>
      </c>
      <c r="J309" s="146">
        <f>IFERROR(__xludf.DUMMYFUNCTION("""COMPUTED_VALUE"""),27.0)</f>
        <v>27</v>
      </c>
      <c r="K309" s="146">
        <f>IFERROR(__xludf.DUMMYFUNCTION("""COMPUTED_VALUE"""),27.0)</f>
        <v>27</v>
      </c>
      <c r="L309" s="146"/>
      <c r="M309" s="146"/>
      <c r="N309" s="146"/>
      <c r="O309" s="146"/>
      <c r="P309" s="146">
        <f>IFERROR(__xludf.DUMMYFUNCTION("""COMPUTED_VALUE"""),210.0)</f>
        <v>210</v>
      </c>
      <c r="Q309" s="146"/>
      <c r="R309" s="146"/>
      <c r="T309" s="131" t="str">
        <f>IFERROR(__xludf.DUMMYFUNCTION("""COMPUTED_VALUE"""),"Y")</f>
        <v>Y</v>
      </c>
      <c r="U309" s="131" t="str">
        <f>IFERROR(__xludf.DUMMYFUNCTION("""COMPUTED_VALUE"""),"5")</f>
        <v>5</v>
      </c>
      <c r="V309" s="131"/>
      <c r="W309" s="144">
        <f>IFERROR(__xludf.DUMMYFUNCTION("""COMPUTED_VALUE"""),45712.0)</f>
        <v>45712</v>
      </c>
      <c r="X309" s="144">
        <f>IFERROR(__xludf.DUMMYFUNCTION("""COMPUTED_VALUE"""),45719.0)</f>
        <v>45719</v>
      </c>
      <c r="Y309" s="144">
        <f>IFERROR(__xludf.DUMMYFUNCTION("""COMPUTED_VALUE"""),45740.0)</f>
        <v>45740</v>
      </c>
      <c r="Z309" s="131" t="str">
        <f>IFERROR(__xludf.DUMMYFUNCTION("""COMPUTED_VALUE"""),"D35-1R")</f>
        <v>D35-1R</v>
      </c>
      <c r="AA309" s="131"/>
      <c r="AB309" s="131"/>
      <c r="AC309" s="131"/>
      <c r="AD309" s="131"/>
      <c r="AE309" s="131">
        <f>IFERROR(__xludf.DUMMYFUNCTION("""COMPUTED_VALUE"""),62.0)</f>
        <v>62</v>
      </c>
      <c r="AF309" s="131">
        <f>IFERROR(__xludf.DUMMYFUNCTION("""COMPUTED_VALUE"""),106.0)</f>
        <v>106</v>
      </c>
      <c r="AG309" s="131">
        <f>IFERROR(__xludf.DUMMYFUNCTION("""COMPUTED_VALUE"""),23.0)</f>
        <v>23</v>
      </c>
      <c r="AH309" s="131">
        <f>IFERROR(__xludf.DUMMYFUNCTION("""COMPUTED_VALUE"""),23.0)</f>
        <v>23</v>
      </c>
      <c r="AI309" s="131">
        <f>IFERROR(__xludf.DUMMYFUNCTION("""COMPUTED_VALUE"""),211.0)</f>
        <v>211</v>
      </c>
      <c r="AJ309" s="131"/>
      <c r="AK309" s="131"/>
    </row>
    <row r="310">
      <c r="A310" s="145" t="str">
        <f>IFERROR(__xludf.DUMMYFUNCTION("""COMPUTED_VALUE"""),"Y")</f>
        <v>Y</v>
      </c>
      <c r="B310" s="146" t="str">
        <f>IFERROR(__xludf.DUMMYFUNCTION("""COMPUTED_VALUE"""),"5")</f>
        <v>5</v>
      </c>
      <c r="C310" s="146"/>
      <c r="D310" s="147">
        <f>IFERROR(__xludf.DUMMYFUNCTION("""COMPUTED_VALUE"""),45712.0)</f>
        <v>45712</v>
      </c>
      <c r="E310" s="147">
        <f>IFERROR(__xludf.DUMMYFUNCTION("""COMPUTED_VALUE"""),45719.0)</f>
        <v>45719</v>
      </c>
      <c r="F310" s="147">
        <f>IFERROR(__xludf.DUMMYFUNCTION("""COMPUTED_VALUE"""),45740.0)</f>
        <v>45740</v>
      </c>
      <c r="G310" s="146" t="str">
        <f>IFERROR(__xludf.DUMMYFUNCTION("""COMPUTED_VALUE"""),"D35-1R")</f>
        <v>D35-1R</v>
      </c>
      <c r="H310" s="148"/>
      <c r="I310" s="148"/>
      <c r="J310" s="146"/>
      <c r="K310" s="146"/>
      <c r="L310" s="146">
        <f>IFERROR(__xludf.DUMMYFUNCTION("""COMPUTED_VALUE"""),62.0)</f>
        <v>62</v>
      </c>
      <c r="M310" s="146">
        <f>IFERROR(__xludf.DUMMYFUNCTION("""COMPUTED_VALUE"""),106.0)</f>
        <v>106</v>
      </c>
      <c r="N310" s="146">
        <f>IFERROR(__xludf.DUMMYFUNCTION("""COMPUTED_VALUE"""),23.0)</f>
        <v>23</v>
      </c>
      <c r="O310" s="146">
        <f>IFERROR(__xludf.DUMMYFUNCTION("""COMPUTED_VALUE"""),23.0)</f>
        <v>23</v>
      </c>
      <c r="P310" s="146">
        <f>IFERROR(__xludf.DUMMYFUNCTION("""COMPUTED_VALUE"""),211.0)</f>
        <v>211</v>
      </c>
      <c r="Q310" s="146"/>
      <c r="R310" s="146"/>
      <c r="T310" s="131" t="str">
        <f>IFERROR(__xludf.DUMMYFUNCTION("""COMPUTED_VALUE"""),"Y")</f>
        <v>Y</v>
      </c>
      <c r="U310" s="131" t="str">
        <f>IFERROR(__xludf.DUMMYFUNCTION("""COMPUTED_VALUE"""),"5")</f>
        <v>5</v>
      </c>
      <c r="V310" s="131"/>
      <c r="W310" s="144">
        <f>IFERROR(__xludf.DUMMYFUNCTION("""COMPUTED_VALUE"""),45712.0)</f>
        <v>45712</v>
      </c>
      <c r="X310" s="144">
        <f>IFERROR(__xludf.DUMMYFUNCTION("""COMPUTED_VALUE"""),45719.0)</f>
        <v>45719</v>
      </c>
      <c r="Y310" s="144">
        <f>IFERROR(__xludf.DUMMYFUNCTION("""COMPUTED_VALUE"""),45740.0)</f>
        <v>45740</v>
      </c>
      <c r="Z310" s="131" t="str">
        <f>IFERROR(__xludf.DUMMYFUNCTION("""COMPUTED_VALUE"""),"D35-1R")</f>
        <v>D35-1R</v>
      </c>
      <c r="AA310" s="131"/>
      <c r="AB310" s="131"/>
      <c r="AC310" s="131"/>
      <c r="AD310" s="131"/>
      <c r="AE310" s="131">
        <f>IFERROR(__xludf.DUMMYFUNCTION("""COMPUTED_VALUE"""),110.0)</f>
        <v>110</v>
      </c>
      <c r="AF310" s="131">
        <f>IFERROR(__xludf.DUMMYFUNCTION("""COMPUTED_VALUE"""),150.0)</f>
        <v>150</v>
      </c>
      <c r="AG310" s="131">
        <f>IFERROR(__xludf.DUMMYFUNCTION("""COMPUTED_VALUE"""),21.0)</f>
        <v>21</v>
      </c>
      <c r="AH310" s="131">
        <f>IFERROR(__xludf.DUMMYFUNCTION("""COMPUTED_VALUE"""),21.0)</f>
        <v>21</v>
      </c>
      <c r="AI310" s="131">
        <f>IFERROR(__xludf.DUMMYFUNCTION("""COMPUTED_VALUE"""),211.0)</f>
        <v>211</v>
      </c>
      <c r="AJ310" s="131"/>
      <c r="AK310" s="131"/>
    </row>
    <row r="311">
      <c r="A311" s="145" t="str">
        <f>IFERROR(__xludf.DUMMYFUNCTION("""COMPUTED_VALUE"""),"Y")</f>
        <v>Y</v>
      </c>
      <c r="B311" s="146" t="str">
        <f>IFERROR(__xludf.DUMMYFUNCTION("""COMPUTED_VALUE"""),"5")</f>
        <v>5</v>
      </c>
      <c r="C311" s="146"/>
      <c r="D311" s="147">
        <f>IFERROR(__xludf.DUMMYFUNCTION("""COMPUTED_VALUE"""),45712.0)</f>
        <v>45712</v>
      </c>
      <c r="E311" s="147">
        <f>IFERROR(__xludf.DUMMYFUNCTION("""COMPUTED_VALUE"""),45719.0)</f>
        <v>45719</v>
      </c>
      <c r="F311" s="147">
        <f>IFERROR(__xludf.DUMMYFUNCTION("""COMPUTED_VALUE"""),45740.0)</f>
        <v>45740</v>
      </c>
      <c r="G311" s="146" t="str">
        <f>IFERROR(__xludf.DUMMYFUNCTION("""COMPUTED_VALUE"""),"D35-1R")</f>
        <v>D35-1R</v>
      </c>
      <c r="H311" s="148"/>
      <c r="I311" s="148"/>
      <c r="J311" s="146"/>
      <c r="K311" s="146"/>
      <c r="L311" s="146">
        <f>IFERROR(__xludf.DUMMYFUNCTION("""COMPUTED_VALUE"""),110.0)</f>
        <v>110</v>
      </c>
      <c r="M311" s="146">
        <f>IFERROR(__xludf.DUMMYFUNCTION("""COMPUTED_VALUE"""),150.0)</f>
        <v>150</v>
      </c>
      <c r="N311" s="146">
        <f>IFERROR(__xludf.DUMMYFUNCTION("""COMPUTED_VALUE"""),21.0)</f>
        <v>21</v>
      </c>
      <c r="O311" s="146">
        <f>IFERROR(__xludf.DUMMYFUNCTION("""COMPUTED_VALUE"""),21.0)</f>
        <v>21</v>
      </c>
      <c r="P311" s="146">
        <f>IFERROR(__xludf.DUMMYFUNCTION("""COMPUTED_VALUE"""),211.0)</f>
        <v>211</v>
      </c>
      <c r="Q311" s="146"/>
      <c r="R311" s="146"/>
      <c r="T311" s="131" t="str">
        <f>IFERROR(__xludf.DUMMYFUNCTION("""COMPUTED_VALUE"""),"Y")</f>
        <v>Y</v>
      </c>
      <c r="U311" s="131" t="str">
        <f>IFERROR(__xludf.DUMMYFUNCTION("""COMPUTED_VALUE"""),"5")</f>
        <v>5</v>
      </c>
      <c r="V311" s="131"/>
      <c r="W311" s="144">
        <f>IFERROR(__xludf.DUMMYFUNCTION("""COMPUTED_VALUE"""),45712.0)</f>
        <v>45712</v>
      </c>
      <c r="X311" s="144">
        <f>IFERROR(__xludf.DUMMYFUNCTION("""COMPUTED_VALUE"""),45719.0)</f>
        <v>45719</v>
      </c>
      <c r="Y311" s="144">
        <f>IFERROR(__xludf.DUMMYFUNCTION("""COMPUTED_VALUE"""),45740.0)</f>
        <v>45740</v>
      </c>
      <c r="Z311" s="131" t="str">
        <f>IFERROR(__xludf.DUMMYFUNCTION("""COMPUTED_VALUE"""),"D35-1R")</f>
        <v>D35-1R</v>
      </c>
      <c r="AA311" s="131"/>
      <c r="AB311" s="131"/>
      <c r="AC311" s="131"/>
      <c r="AD311" s="131"/>
      <c r="AE311" s="131">
        <f>IFERROR(__xludf.DUMMYFUNCTION("""COMPUTED_VALUE"""),222.0)</f>
        <v>222</v>
      </c>
      <c r="AF311" s="131">
        <f>IFERROR(__xludf.DUMMYFUNCTION("""COMPUTED_VALUE"""),222.0)</f>
        <v>222</v>
      </c>
      <c r="AG311" s="131">
        <f>IFERROR(__xludf.DUMMYFUNCTION("""COMPUTED_VALUE"""),1.0)</f>
        <v>1</v>
      </c>
      <c r="AH311" s="131">
        <f>IFERROR(__xludf.DUMMYFUNCTION("""COMPUTED_VALUE"""),1.0)</f>
        <v>1</v>
      </c>
      <c r="AI311" s="131">
        <f>IFERROR(__xludf.DUMMYFUNCTION("""COMPUTED_VALUE"""),211.0)</f>
        <v>211</v>
      </c>
      <c r="AJ311" s="131"/>
      <c r="AK311" s="131"/>
    </row>
    <row r="312">
      <c r="A312" s="145" t="str">
        <f>IFERROR(__xludf.DUMMYFUNCTION("""COMPUTED_VALUE"""),"Y")</f>
        <v>Y</v>
      </c>
      <c r="B312" s="146" t="str">
        <f>IFERROR(__xludf.DUMMYFUNCTION("""COMPUTED_VALUE"""),"5")</f>
        <v>5</v>
      </c>
      <c r="C312" s="146"/>
      <c r="D312" s="147">
        <f>IFERROR(__xludf.DUMMYFUNCTION("""COMPUTED_VALUE"""),45712.0)</f>
        <v>45712</v>
      </c>
      <c r="E312" s="147">
        <f>IFERROR(__xludf.DUMMYFUNCTION("""COMPUTED_VALUE"""),45719.0)</f>
        <v>45719</v>
      </c>
      <c r="F312" s="147">
        <f>IFERROR(__xludf.DUMMYFUNCTION("""COMPUTED_VALUE"""),45740.0)</f>
        <v>45740</v>
      </c>
      <c r="G312" s="146" t="str">
        <f>IFERROR(__xludf.DUMMYFUNCTION("""COMPUTED_VALUE"""),"D35-1R")</f>
        <v>D35-1R</v>
      </c>
      <c r="H312" s="148"/>
      <c r="I312" s="148"/>
      <c r="J312" s="146"/>
      <c r="K312" s="146"/>
      <c r="L312" s="146">
        <f>IFERROR(__xludf.DUMMYFUNCTION("""COMPUTED_VALUE"""),222.0)</f>
        <v>222</v>
      </c>
      <c r="M312" s="146">
        <f>IFERROR(__xludf.DUMMYFUNCTION("""COMPUTED_VALUE"""),222.0)</f>
        <v>222</v>
      </c>
      <c r="N312" s="146">
        <f>IFERROR(__xludf.DUMMYFUNCTION("""COMPUTED_VALUE"""),1.0)</f>
        <v>1</v>
      </c>
      <c r="O312" s="146">
        <f>IFERROR(__xludf.DUMMYFUNCTION("""COMPUTED_VALUE"""),1.0)</f>
        <v>1</v>
      </c>
      <c r="P312" s="146">
        <f>IFERROR(__xludf.DUMMYFUNCTION("""COMPUTED_VALUE"""),211.0)</f>
        <v>211</v>
      </c>
      <c r="Q312" s="146"/>
      <c r="R312" s="146"/>
      <c r="T312" s="131" t="str">
        <f>IFERROR(__xludf.DUMMYFUNCTION("""COMPUTED_VALUE"""),"Y")</f>
        <v>Y</v>
      </c>
      <c r="U312" s="131" t="str">
        <f>IFERROR(__xludf.DUMMYFUNCTION("""COMPUTED_VALUE"""),"5")</f>
        <v>5</v>
      </c>
      <c r="V312" s="131"/>
      <c r="W312" s="144">
        <f>IFERROR(__xludf.DUMMYFUNCTION("""COMPUTED_VALUE"""),45712.0)</f>
        <v>45712</v>
      </c>
      <c r="X312" s="144">
        <f>IFERROR(__xludf.DUMMYFUNCTION("""COMPUTED_VALUE"""),45719.0)</f>
        <v>45719</v>
      </c>
      <c r="Y312" s="144">
        <f>IFERROR(__xludf.DUMMYFUNCTION("""COMPUTED_VALUE"""),45740.0)</f>
        <v>45740</v>
      </c>
      <c r="Z312" s="131" t="str">
        <f>IFERROR(__xludf.DUMMYFUNCTION("""COMPUTED_VALUE"""),"BRG11")</f>
        <v>BRG11</v>
      </c>
      <c r="AA312" s="131"/>
      <c r="AB312" s="131"/>
      <c r="AC312" s="131"/>
      <c r="AD312" s="131"/>
      <c r="AE312" s="131">
        <f>IFERROR(__xludf.DUMMYFUNCTION("""COMPUTED_VALUE"""),1140.0)</f>
        <v>1140</v>
      </c>
      <c r="AF312" s="131">
        <f>IFERROR(__xludf.DUMMYFUNCTION("""COMPUTED_VALUE"""),1270.0)</f>
        <v>1270</v>
      </c>
      <c r="AG312" s="131">
        <f>IFERROR(__xludf.DUMMYFUNCTION("""COMPUTED_VALUE"""),66.0)</f>
        <v>66</v>
      </c>
      <c r="AH312" s="131">
        <f>IFERROR(__xludf.DUMMYFUNCTION("""COMPUTED_VALUE"""),66.0)</f>
        <v>66</v>
      </c>
      <c r="AI312" s="131">
        <f>IFERROR(__xludf.DUMMYFUNCTION("""COMPUTED_VALUE"""),208.0)</f>
        <v>208</v>
      </c>
      <c r="AJ312" s="131"/>
      <c r="AK312" s="131"/>
    </row>
    <row r="313">
      <c r="A313" s="145" t="str">
        <f>IFERROR(__xludf.DUMMYFUNCTION("""COMPUTED_VALUE"""),"Y")</f>
        <v>Y</v>
      </c>
      <c r="B313" s="146" t="str">
        <f>IFERROR(__xludf.DUMMYFUNCTION("""COMPUTED_VALUE"""),"5")</f>
        <v>5</v>
      </c>
      <c r="C313" s="146"/>
      <c r="D313" s="147">
        <f>IFERROR(__xludf.DUMMYFUNCTION("""COMPUTED_VALUE"""),45712.0)</f>
        <v>45712</v>
      </c>
      <c r="E313" s="147">
        <f>IFERROR(__xludf.DUMMYFUNCTION("""COMPUTED_VALUE"""),45719.0)</f>
        <v>45719</v>
      </c>
      <c r="F313" s="147">
        <f>IFERROR(__xludf.DUMMYFUNCTION("""COMPUTED_VALUE"""),45740.0)</f>
        <v>45740</v>
      </c>
      <c r="G313" s="146" t="str">
        <f>IFERROR(__xludf.DUMMYFUNCTION("""COMPUTED_VALUE"""),"BRG11")</f>
        <v>BRG11</v>
      </c>
      <c r="H313" s="148"/>
      <c r="I313" s="148"/>
      <c r="J313" s="146"/>
      <c r="K313" s="146"/>
      <c r="L313" s="146">
        <f>IFERROR(__xludf.DUMMYFUNCTION("""COMPUTED_VALUE"""),1140.0)</f>
        <v>1140</v>
      </c>
      <c r="M313" s="146">
        <f>IFERROR(__xludf.DUMMYFUNCTION("""COMPUTED_VALUE"""),1270.0)</f>
        <v>1270</v>
      </c>
      <c r="N313" s="146">
        <f>IFERROR(__xludf.DUMMYFUNCTION("""COMPUTED_VALUE"""),66.0)</f>
        <v>66</v>
      </c>
      <c r="O313" s="146">
        <f>IFERROR(__xludf.DUMMYFUNCTION("""COMPUTED_VALUE"""),66.0)</f>
        <v>66</v>
      </c>
      <c r="P313" s="146">
        <f>IFERROR(__xludf.DUMMYFUNCTION("""COMPUTED_VALUE"""),208.0)</f>
        <v>208</v>
      </c>
      <c r="Q313" s="146"/>
      <c r="R313" s="146"/>
      <c r="T313" s="131" t="str">
        <f>IFERROR(__xludf.DUMMYFUNCTION("""COMPUTED_VALUE"""),"Y")</f>
        <v>Y</v>
      </c>
      <c r="U313" s="131" t="str">
        <f>IFERROR(__xludf.DUMMYFUNCTION("""COMPUTED_VALUE"""),"5")</f>
        <v>5</v>
      </c>
      <c r="V313" s="131"/>
      <c r="W313" s="144">
        <f>IFERROR(__xludf.DUMMYFUNCTION("""COMPUTED_VALUE"""),45712.0)</f>
        <v>45712</v>
      </c>
      <c r="X313" s="144">
        <f>IFERROR(__xludf.DUMMYFUNCTION("""COMPUTED_VALUE"""),45719.0)</f>
        <v>45719</v>
      </c>
      <c r="Y313" s="144">
        <f>IFERROR(__xludf.DUMMYFUNCTION("""COMPUTED_VALUE"""),45740.0)</f>
        <v>45740</v>
      </c>
      <c r="Z313" s="131" t="str">
        <f>IFERROR(__xludf.DUMMYFUNCTION("""COMPUTED_VALUE"""),"BRG11")</f>
        <v>BRG11</v>
      </c>
      <c r="AA313" s="131"/>
      <c r="AB313" s="131"/>
      <c r="AC313" s="131"/>
      <c r="AD313" s="131"/>
      <c r="AE313" s="131">
        <f>IFERROR(__xludf.DUMMYFUNCTION("""COMPUTED_VALUE"""),1272.0)</f>
        <v>1272</v>
      </c>
      <c r="AF313" s="131">
        <f>IFERROR(__xludf.DUMMYFUNCTION("""COMPUTED_VALUE"""),1328.0)</f>
        <v>1328</v>
      </c>
      <c r="AG313" s="131">
        <f>IFERROR(__xludf.DUMMYFUNCTION("""COMPUTED_VALUE"""),29.0)</f>
        <v>29</v>
      </c>
      <c r="AH313" s="131">
        <f>IFERROR(__xludf.DUMMYFUNCTION("""COMPUTED_VALUE"""),29.0)</f>
        <v>29</v>
      </c>
      <c r="AI313" s="131"/>
      <c r="AJ313" s="131"/>
      <c r="AK313" s="131"/>
    </row>
    <row r="314">
      <c r="A314" s="145" t="str">
        <f>IFERROR(__xludf.DUMMYFUNCTION("""COMPUTED_VALUE"""),"Y")</f>
        <v>Y</v>
      </c>
      <c r="B314" s="146" t="str">
        <f>IFERROR(__xludf.DUMMYFUNCTION("""COMPUTED_VALUE"""),"5")</f>
        <v>5</v>
      </c>
      <c r="C314" s="146"/>
      <c r="D314" s="147">
        <f>IFERROR(__xludf.DUMMYFUNCTION("""COMPUTED_VALUE"""),45712.0)</f>
        <v>45712</v>
      </c>
      <c r="E314" s="147">
        <f>IFERROR(__xludf.DUMMYFUNCTION("""COMPUTED_VALUE"""),45719.0)</f>
        <v>45719</v>
      </c>
      <c r="F314" s="147">
        <f>IFERROR(__xludf.DUMMYFUNCTION("""COMPUTED_VALUE"""),45740.0)</f>
        <v>45740</v>
      </c>
      <c r="G314" s="146" t="str">
        <f>IFERROR(__xludf.DUMMYFUNCTION("""COMPUTED_VALUE"""),"BRG11")</f>
        <v>BRG11</v>
      </c>
      <c r="H314" s="148"/>
      <c r="I314" s="148"/>
      <c r="J314" s="146"/>
      <c r="K314" s="146"/>
      <c r="L314" s="146">
        <f>IFERROR(__xludf.DUMMYFUNCTION("""COMPUTED_VALUE"""),1272.0)</f>
        <v>1272</v>
      </c>
      <c r="M314" s="146">
        <f>IFERROR(__xludf.DUMMYFUNCTION("""COMPUTED_VALUE"""),1328.0)</f>
        <v>1328</v>
      </c>
      <c r="N314" s="146">
        <f>IFERROR(__xludf.DUMMYFUNCTION("""COMPUTED_VALUE"""),29.0)</f>
        <v>29</v>
      </c>
      <c r="O314" s="146">
        <f>IFERROR(__xludf.DUMMYFUNCTION("""COMPUTED_VALUE"""),29.0)</f>
        <v>29</v>
      </c>
      <c r="P314" s="146"/>
      <c r="Q314" s="146"/>
      <c r="R314" s="146"/>
      <c r="T314" s="131" t="str">
        <f>IFERROR(__xludf.DUMMYFUNCTION("""COMPUTED_VALUE"""),"Y")</f>
        <v>Y</v>
      </c>
      <c r="U314" s="131" t="str">
        <f>IFERROR(__xludf.DUMMYFUNCTION("""COMPUTED_VALUE"""),"6")</f>
        <v>6</v>
      </c>
      <c r="V314" s="131" t="str">
        <f>IFERROR(__xludf.DUMMYFUNCTION("""COMPUTED_VALUE"""),"739-744")</f>
        <v>739-744</v>
      </c>
      <c r="W314" s="144">
        <f>IFERROR(__xludf.DUMMYFUNCTION("""COMPUTED_VALUE"""),45712.0)</f>
        <v>45712</v>
      </c>
      <c r="X314" s="144">
        <f>IFERROR(__xludf.DUMMYFUNCTION("""COMPUTED_VALUE"""),45719.0)</f>
        <v>45719</v>
      </c>
      <c r="Y314" s="144">
        <f>IFERROR(__xludf.DUMMYFUNCTION("""COMPUTED_VALUE"""),45740.0)</f>
        <v>45740</v>
      </c>
      <c r="Z314" s="131" t="str">
        <f>IFERROR(__xludf.DUMMYFUNCTION("""COMPUTED_VALUE"""),"DC38")</f>
        <v>DC38</v>
      </c>
      <c r="AA314" s="131">
        <f>IFERROR(__xludf.DUMMYFUNCTION("""COMPUTED_VALUE"""),773.0)</f>
        <v>773</v>
      </c>
      <c r="AB314" s="131">
        <f>IFERROR(__xludf.DUMMYFUNCTION("""COMPUTED_VALUE"""),879.0)</f>
        <v>879</v>
      </c>
      <c r="AC314" s="131">
        <f>IFERROR(__xludf.DUMMYFUNCTION("""COMPUTED_VALUE"""),54.0)</f>
        <v>54</v>
      </c>
      <c r="AD314" s="131">
        <f>IFERROR(__xludf.DUMMYFUNCTION("""COMPUTED_VALUE"""),54.0)</f>
        <v>54</v>
      </c>
      <c r="AE314" s="131">
        <f>IFERROR(__xludf.DUMMYFUNCTION("""COMPUTED_VALUE"""),626.0)</f>
        <v>626</v>
      </c>
      <c r="AF314" s="131">
        <f>IFERROR(__xludf.DUMMYFUNCTION("""COMPUTED_VALUE"""),630.0)</f>
        <v>630</v>
      </c>
      <c r="AG314" s="131">
        <f>IFERROR(__xludf.DUMMYFUNCTION("""COMPUTED_VALUE"""),3.0)</f>
        <v>3</v>
      </c>
      <c r="AH314" s="131">
        <f>IFERROR(__xludf.DUMMYFUNCTION("""COMPUTED_VALUE"""),3.0)</f>
        <v>3</v>
      </c>
      <c r="AI314" s="131">
        <f>IFERROR(__xludf.DUMMYFUNCTION("""COMPUTED_VALUE"""),209.0)</f>
        <v>209</v>
      </c>
      <c r="AJ314" s="131"/>
      <c r="AK314" s="131"/>
    </row>
    <row r="315">
      <c r="A315" s="145" t="str">
        <f>IFERROR(__xludf.DUMMYFUNCTION("""COMPUTED_VALUE"""),"Y")</f>
        <v>Y</v>
      </c>
      <c r="B315" s="146" t="str">
        <f>IFERROR(__xludf.DUMMYFUNCTION("""COMPUTED_VALUE"""),"6")</f>
        <v>6</v>
      </c>
      <c r="C315" s="146" t="str">
        <f>IFERROR(__xludf.DUMMYFUNCTION("""COMPUTED_VALUE"""),"739-744")</f>
        <v>739-744</v>
      </c>
      <c r="D315" s="147">
        <f>IFERROR(__xludf.DUMMYFUNCTION("""COMPUTED_VALUE"""),45712.0)</f>
        <v>45712</v>
      </c>
      <c r="E315" s="147">
        <f>IFERROR(__xludf.DUMMYFUNCTION("""COMPUTED_VALUE"""),45719.0)</f>
        <v>45719</v>
      </c>
      <c r="F315" s="147">
        <f>IFERROR(__xludf.DUMMYFUNCTION("""COMPUTED_VALUE"""),45740.0)</f>
        <v>45740</v>
      </c>
      <c r="G315" s="146" t="str">
        <f>IFERROR(__xludf.DUMMYFUNCTION("""COMPUTED_VALUE"""),"DC38")</f>
        <v>DC38</v>
      </c>
      <c r="H315" s="148">
        <f>IFERROR(__xludf.DUMMYFUNCTION("""COMPUTED_VALUE"""),773.0)</f>
        <v>773</v>
      </c>
      <c r="I315" s="148">
        <f>IFERROR(__xludf.DUMMYFUNCTION("""COMPUTED_VALUE"""),879.0)</f>
        <v>879</v>
      </c>
      <c r="J315" s="146">
        <f>IFERROR(__xludf.DUMMYFUNCTION("""COMPUTED_VALUE"""),54.0)</f>
        <v>54</v>
      </c>
      <c r="K315" s="146">
        <f>IFERROR(__xludf.DUMMYFUNCTION("""COMPUTED_VALUE"""),54.0)</f>
        <v>54</v>
      </c>
      <c r="L315" s="146">
        <f>IFERROR(__xludf.DUMMYFUNCTION("""COMPUTED_VALUE"""),626.0)</f>
        <v>626</v>
      </c>
      <c r="M315" s="146">
        <f>IFERROR(__xludf.DUMMYFUNCTION("""COMPUTED_VALUE"""),630.0)</f>
        <v>630</v>
      </c>
      <c r="N315" s="146">
        <f>IFERROR(__xludf.DUMMYFUNCTION("""COMPUTED_VALUE"""),3.0)</f>
        <v>3</v>
      </c>
      <c r="O315" s="146">
        <f>IFERROR(__xludf.DUMMYFUNCTION("""COMPUTED_VALUE"""),3.0)</f>
        <v>3</v>
      </c>
      <c r="P315" s="146">
        <f>IFERROR(__xludf.DUMMYFUNCTION("""COMPUTED_VALUE"""),209.0)</f>
        <v>209</v>
      </c>
      <c r="Q315" s="146"/>
      <c r="R315" s="146"/>
      <c r="T315" s="131" t="str">
        <f>IFERROR(__xludf.DUMMYFUNCTION("""COMPUTED_VALUE"""),"Y")</f>
        <v>Y</v>
      </c>
      <c r="U315" s="131" t="str">
        <f>IFERROR(__xludf.DUMMYFUNCTION("""COMPUTED_VALUE"""),"5")</f>
        <v>5</v>
      </c>
      <c r="V315" s="131"/>
      <c r="W315" s="144">
        <f>IFERROR(__xludf.DUMMYFUNCTION("""COMPUTED_VALUE"""),45713.0)</f>
        <v>45713</v>
      </c>
      <c r="X315" s="144">
        <f>IFERROR(__xludf.DUMMYFUNCTION("""COMPUTED_VALUE"""),45720.0)</f>
        <v>45720</v>
      </c>
      <c r="Y315" s="144">
        <f>IFERROR(__xludf.DUMMYFUNCTION("""COMPUTED_VALUE"""),45741.0)</f>
        <v>45741</v>
      </c>
      <c r="Z315" s="131" t="str">
        <f>IFERROR(__xludf.DUMMYFUNCTION("""COMPUTED_VALUE"""),"D33-1L")</f>
        <v>D33-1L</v>
      </c>
      <c r="AA315" s="131">
        <f>IFERROR(__xludf.DUMMYFUNCTION("""COMPUTED_VALUE"""),73.0)</f>
        <v>73</v>
      </c>
      <c r="AB315" s="131">
        <f>IFERROR(__xludf.DUMMYFUNCTION("""COMPUTED_VALUE"""),119.0)</f>
        <v>119</v>
      </c>
      <c r="AC315" s="131">
        <f>IFERROR(__xludf.DUMMYFUNCTION("""COMPUTED_VALUE"""),24.0)</f>
        <v>24</v>
      </c>
      <c r="AD315" s="131">
        <f>IFERROR(__xludf.DUMMYFUNCTION("""COMPUTED_VALUE"""),24.0)</f>
        <v>24</v>
      </c>
      <c r="AE315" s="131">
        <f>IFERROR(__xludf.DUMMYFUNCTION("""COMPUTED_VALUE"""),292.0)</f>
        <v>292</v>
      </c>
      <c r="AF315" s="131">
        <f>IFERROR(__xludf.DUMMYFUNCTION("""COMPUTED_VALUE"""),302.0)</f>
        <v>302</v>
      </c>
      <c r="AG315" s="131">
        <f>IFERROR(__xludf.DUMMYFUNCTION("""COMPUTED_VALUE"""),6.0)</f>
        <v>6</v>
      </c>
      <c r="AH315" s="131">
        <f>IFERROR(__xludf.DUMMYFUNCTION("""COMPUTED_VALUE"""),6.0)</f>
        <v>6</v>
      </c>
      <c r="AI315" s="131">
        <f>IFERROR(__xludf.DUMMYFUNCTION("""COMPUTED_VALUE"""),212.0)</f>
        <v>212</v>
      </c>
      <c r="AJ315" s="131"/>
      <c r="AK315" s="131"/>
    </row>
    <row r="316">
      <c r="A316" s="145" t="str">
        <f>IFERROR(__xludf.DUMMYFUNCTION("""COMPUTED_VALUE"""),"Y")</f>
        <v>Y</v>
      </c>
      <c r="B316" s="146" t="str">
        <f>IFERROR(__xludf.DUMMYFUNCTION("""COMPUTED_VALUE"""),"5")</f>
        <v>5</v>
      </c>
      <c r="C316" s="146"/>
      <c r="D316" s="147">
        <f>IFERROR(__xludf.DUMMYFUNCTION("""COMPUTED_VALUE"""),45713.0)</f>
        <v>45713</v>
      </c>
      <c r="E316" s="147">
        <f>IFERROR(__xludf.DUMMYFUNCTION("""COMPUTED_VALUE"""),45720.0)</f>
        <v>45720</v>
      </c>
      <c r="F316" s="147">
        <f>IFERROR(__xludf.DUMMYFUNCTION("""COMPUTED_VALUE"""),45741.0)</f>
        <v>45741</v>
      </c>
      <c r="G316" s="146" t="str">
        <f>IFERROR(__xludf.DUMMYFUNCTION("""COMPUTED_VALUE"""),"D33-1L")</f>
        <v>D33-1L</v>
      </c>
      <c r="H316" s="148">
        <f>IFERROR(__xludf.DUMMYFUNCTION("""COMPUTED_VALUE"""),73.0)</f>
        <v>73</v>
      </c>
      <c r="I316" s="148">
        <f>IFERROR(__xludf.DUMMYFUNCTION("""COMPUTED_VALUE"""),119.0)</f>
        <v>119</v>
      </c>
      <c r="J316" s="146">
        <f>IFERROR(__xludf.DUMMYFUNCTION("""COMPUTED_VALUE"""),24.0)</f>
        <v>24</v>
      </c>
      <c r="K316" s="146">
        <f>IFERROR(__xludf.DUMMYFUNCTION("""COMPUTED_VALUE"""),24.0)</f>
        <v>24</v>
      </c>
      <c r="L316" s="146">
        <f>IFERROR(__xludf.DUMMYFUNCTION("""COMPUTED_VALUE"""),292.0)</f>
        <v>292</v>
      </c>
      <c r="M316" s="146">
        <f>IFERROR(__xludf.DUMMYFUNCTION("""COMPUTED_VALUE"""),302.0)</f>
        <v>302</v>
      </c>
      <c r="N316" s="146">
        <f>IFERROR(__xludf.DUMMYFUNCTION("""COMPUTED_VALUE"""),6.0)</f>
        <v>6</v>
      </c>
      <c r="O316" s="146">
        <f>IFERROR(__xludf.DUMMYFUNCTION("""COMPUTED_VALUE"""),6.0)</f>
        <v>6</v>
      </c>
      <c r="P316" s="146">
        <f>IFERROR(__xludf.DUMMYFUNCTION("""COMPUTED_VALUE"""),212.0)</f>
        <v>212</v>
      </c>
      <c r="Q316" s="146"/>
      <c r="R316" s="146"/>
      <c r="T316" s="131" t="str">
        <f>IFERROR(__xludf.DUMMYFUNCTION("""COMPUTED_VALUE"""),"Y")</f>
        <v>Y</v>
      </c>
      <c r="U316" s="131" t="str">
        <f>IFERROR(__xludf.DUMMYFUNCTION("""COMPUTED_VALUE"""),"5")</f>
        <v>5</v>
      </c>
      <c r="V316" s="131"/>
      <c r="W316" s="144">
        <f>IFERROR(__xludf.DUMMYFUNCTION("""COMPUTED_VALUE"""),45713.0)</f>
        <v>45713</v>
      </c>
      <c r="X316" s="144">
        <f>IFERROR(__xludf.DUMMYFUNCTION("""COMPUTED_VALUE"""),45720.0)</f>
        <v>45720</v>
      </c>
      <c r="Y316" s="144">
        <f>IFERROR(__xludf.DUMMYFUNCTION("""COMPUTED_VALUE"""),45741.0)</f>
        <v>45741</v>
      </c>
      <c r="Z316" s="131" t="str">
        <f>IFERROR(__xludf.DUMMYFUNCTION("""COMPUTED_VALUE"""),"D33-1L")</f>
        <v>D33-1L</v>
      </c>
      <c r="AA316" s="131">
        <f>IFERROR(__xludf.DUMMYFUNCTION("""COMPUTED_VALUE"""),141.0)</f>
        <v>141</v>
      </c>
      <c r="AB316" s="131">
        <f>IFERROR(__xludf.DUMMYFUNCTION("""COMPUTED_VALUE"""),289.0)</f>
        <v>289</v>
      </c>
      <c r="AC316" s="131">
        <f>IFERROR(__xludf.DUMMYFUNCTION("""COMPUTED_VALUE"""),75.0)</f>
        <v>75</v>
      </c>
      <c r="AD316" s="131">
        <f>IFERROR(__xludf.DUMMYFUNCTION("""COMPUTED_VALUE"""),75.0)</f>
        <v>75</v>
      </c>
      <c r="AE316" s="131"/>
      <c r="AF316" s="131"/>
      <c r="AG316" s="131"/>
      <c r="AH316" s="131"/>
      <c r="AI316" s="131">
        <f>IFERROR(__xludf.DUMMYFUNCTION("""COMPUTED_VALUE"""),212.0)</f>
        <v>212</v>
      </c>
      <c r="AJ316" s="131"/>
      <c r="AK316" s="131"/>
    </row>
    <row r="317">
      <c r="A317" s="145" t="str">
        <f>IFERROR(__xludf.DUMMYFUNCTION("""COMPUTED_VALUE"""),"Y")</f>
        <v>Y</v>
      </c>
      <c r="B317" s="146" t="str">
        <f>IFERROR(__xludf.DUMMYFUNCTION("""COMPUTED_VALUE"""),"5")</f>
        <v>5</v>
      </c>
      <c r="C317" s="146"/>
      <c r="D317" s="147">
        <f>IFERROR(__xludf.DUMMYFUNCTION("""COMPUTED_VALUE"""),45713.0)</f>
        <v>45713</v>
      </c>
      <c r="E317" s="147">
        <f>IFERROR(__xludf.DUMMYFUNCTION("""COMPUTED_VALUE"""),45720.0)</f>
        <v>45720</v>
      </c>
      <c r="F317" s="147">
        <f>IFERROR(__xludf.DUMMYFUNCTION("""COMPUTED_VALUE"""),45741.0)</f>
        <v>45741</v>
      </c>
      <c r="G317" s="146" t="str">
        <f>IFERROR(__xludf.DUMMYFUNCTION("""COMPUTED_VALUE"""),"D33-1L")</f>
        <v>D33-1L</v>
      </c>
      <c r="H317" s="148">
        <f>IFERROR(__xludf.DUMMYFUNCTION("""COMPUTED_VALUE"""),141.0)</f>
        <v>141</v>
      </c>
      <c r="I317" s="148">
        <f>IFERROR(__xludf.DUMMYFUNCTION("""COMPUTED_VALUE"""),289.0)</f>
        <v>289</v>
      </c>
      <c r="J317" s="146">
        <f>IFERROR(__xludf.DUMMYFUNCTION("""COMPUTED_VALUE"""),75.0)</f>
        <v>75</v>
      </c>
      <c r="K317" s="146">
        <f>IFERROR(__xludf.DUMMYFUNCTION("""COMPUTED_VALUE"""),75.0)</f>
        <v>75</v>
      </c>
      <c r="L317" s="146"/>
      <c r="M317" s="146"/>
      <c r="N317" s="146"/>
      <c r="O317" s="146"/>
      <c r="P317" s="146">
        <f>IFERROR(__xludf.DUMMYFUNCTION("""COMPUTED_VALUE"""),212.0)</f>
        <v>212</v>
      </c>
      <c r="Q317" s="146"/>
      <c r="R317" s="146"/>
      <c r="T317" s="131" t="str">
        <f>IFERROR(__xludf.DUMMYFUNCTION("""COMPUTED_VALUE"""),"Y")</f>
        <v>Y</v>
      </c>
      <c r="U317" s="131" t="str">
        <f>IFERROR(__xludf.DUMMYFUNCTION("""COMPUTED_VALUE"""),"5")</f>
        <v>5</v>
      </c>
      <c r="V317" s="131"/>
      <c r="W317" s="144">
        <f>IFERROR(__xludf.DUMMYFUNCTION("""COMPUTED_VALUE"""),45713.0)</f>
        <v>45713</v>
      </c>
      <c r="X317" s="144">
        <f>IFERROR(__xludf.DUMMYFUNCTION("""COMPUTED_VALUE"""),45720.0)</f>
        <v>45720</v>
      </c>
      <c r="Y317" s="144">
        <f>IFERROR(__xludf.DUMMYFUNCTION("""COMPUTED_VALUE"""),45741.0)</f>
        <v>45741</v>
      </c>
      <c r="Z317" s="131" t="str">
        <f>IFERROR(__xludf.DUMMYFUNCTION("""COMPUTED_VALUE"""),"D35-1R")</f>
        <v>D35-1R</v>
      </c>
      <c r="AA317" s="131">
        <f>IFERROR(__xludf.DUMMYFUNCTION("""COMPUTED_VALUE"""),227.0)</f>
        <v>227</v>
      </c>
      <c r="AB317" s="131">
        <f>IFERROR(__xludf.DUMMYFUNCTION("""COMPUTED_VALUE"""),303.0)</f>
        <v>303</v>
      </c>
      <c r="AC317" s="131">
        <f>IFERROR(__xludf.DUMMYFUNCTION("""COMPUTED_VALUE"""),39.0)</f>
        <v>39</v>
      </c>
      <c r="AD317" s="131">
        <f>IFERROR(__xludf.DUMMYFUNCTION("""COMPUTED_VALUE"""),39.0)</f>
        <v>39</v>
      </c>
      <c r="AE317" s="131"/>
      <c r="AF317" s="131"/>
      <c r="AG317" s="131"/>
      <c r="AH317" s="131"/>
      <c r="AI317" s="131">
        <f>IFERROR(__xludf.DUMMYFUNCTION("""COMPUTED_VALUE"""),213.0)</f>
        <v>213</v>
      </c>
      <c r="AJ317" s="131"/>
      <c r="AK317" s="131"/>
    </row>
    <row r="318">
      <c r="A318" s="145" t="str">
        <f>IFERROR(__xludf.DUMMYFUNCTION("""COMPUTED_VALUE"""),"Y")</f>
        <v>Y</v>
      </c>
      <c r="B318" s="146" t="str">
        <f>IFERROR(__xludf.DUMMYFUNCTION("""COMPUTED_VALUE"""),"5")</f>
        <v>5</v>
      </c>
      <c r="C318" s="146"/>
      <c r="D318" s="147">
        <f>IFERROR(__xludf.DUMMYFUNCTION("""COMPUTED_VALUE"""),45713.0)</f>
        <v>45713</v>
      </c>
      <c r="E318" s="147">
        <f>IFERROR(__xludf.DUMMYFUNCTION("""COMPUTED_VALUE"""),45720.0)</f>
        <v>45720</v>
      </c>
      <c r="F318" s="147">
        <f>IFERROR(__xludf.DUMMYFUNCTION("""COMPUTED_VALUE"""),45741.0)</f>
        <v>45741</v>
      </c>
      <c r="G318" s="146" t="str">
        <f>IFERROR(__xludf.DUMMYFUNCTION("""COMPUTED_VALUE"""),"D35-1R")</f>
        <v>D35-1R</v>
      </c>
      <c r="H318" s="148">
        <f>IFERROR(__xludf.DUMMYFUNCTION("""COMPUTED_VALUE"""),227.0)</f>
        <v>227</v>
      </c>
      <c r="I318" s="148">
        <f>IFERROR(__xludf.DUMMYFUNCTION("""COMPUTED_VALUE"""),303.0)</f>
        <v>303</v>
      </c>
      <c r="J318" s="146">
        <f>IFERROR(__xludf.DUMMYFUNCTION("""COMPUTED_VALUE"""),39.0)</f>
        <v>39</v>
      </c>
      <c r="K318" s="146">
        <f>IFERROR(__xludf.DUMMYFUNCTION("""COMPUTED_VALUE"""),39.0)</f>
        <v>39</v>
      </c>
      <c r="L318" s="146"/>
      <c r="M318" s="146"/>
      <c r="N318" s="146"/>
      <c r="O318" s="146"/>
      <c r="P318" s="146">
        <f>IFERROR(__xludf.DUMMYFUNCTION("""COMPUTED_VALUE"""),213.0)</f>
        <v>213</v>
      </c>
      <c r="Q318" s="146"/>
      <c r="R318" s="146"/>
      <c r="T318" s="131" t="str">
        <f>IFERROR(__xludf.DUMMYFUNCTION("""COMPUTED_VALUE"""),"Y")</f>
        <v>Y</v>
      </c>
      <c r="U318" s="131" t="str">
        <f>IFERROR(__xludf.DUMMYFUNCTION("""COMPUTED_VALUE"""),"5")</f>
        <v>5</v>
      </c>
      <c r="V318" s="131"/>
      <c r="W318" s="144">
        <f>IFERROR(__xludf.DUMMYFUNCTION("""COMPUTED_VALUE"""),45713.0)</f>
        <v>45713</v>
      </c>
      <c r="X318" s="144">
        <f>IFERROR(__xludf.DUMMYFUNCTION("""COMPUTED_VALUE"""),45720.0)</f>
        <v>45720</v>
      </c>
      <c r="Y318" s="144">
        <f>IFERROR(__xludf.DUMMYFUNCTION("""COMPUTED_VALUE"""),45741.0)</f>
        <v>45741</v>
      </c>
      <c r="Z318" s="131" t="str">
        <f>IFERROR(__xludf.DUMMYFUNCTION("""COMPUTED_VALUE"""),"D35-2R")</f>
        <v>D35-2R</v>
      </c>
      <c r="AA318" s="131">
        <f>IFERROR(__xludf.DUMMYFUNCTION("""COMPUTED_VALUE"""),215.0)</f>
        <v>215</v>
      </c>
      <c r="AB318" s="131">
        <f>IFERROR(__xludf.DUMMYFUNCTION("""COMPUTED_VALUE"""),305.0)</f>
        <v>305</v>
      </c>
      <c r="AC318" s="131">
        <f>IFERROR(__xludf.DUMMYFUNCTION("""COMPUTED_VALUE"""),46.0)</f>
        <v>46</v>
      </c>
      <c r="AD318" s="131">
        <f>IFERROR(__xludf.DUMMYFUNCTION("""COMPUTED_VALUE"""),46.0)</f>
        <v>46</v>
      </c>
      <c r="AE318" s="131">
        <f>IFERROR(__xludf.DUMMYFUNCTION("""COMPUTED_VALUE"""),188.0)</f>
        <v>188</v>
      </c>
      <c r="AF318" s="131">
        <f>IFERROR(__xludf.DUMMYFUNCTION("""COMPUTED_VALUE"""),204.0)</f>
        <v>204</v>
      </c>
      <c r="AG318" s="131">
        <f>IFERROR(__xludf.DUMMYFUNCTION("""COMPUTED_VALUE"""),9.0)</f>
        <v>9</v>
      </c>
      <c r="AH318" s="131">
        <f>IFERROR(__xludf.DUMMYFUNCTION("""COMPUTED_VALUE"""),9.0)</f>
        <v>9</v>
      </c>
      <c r="AI318" s="131">
        <f>IFERROR(__xludf.DUMMYFUNCTION("""COMPUTED_VALUE"""),213.0)</f>
        <v>213</v>
      </c>
      <c r="AJ318" s="131"/>
      <c r="AK318" s="131"/>
    </row>
    <row r="319">
      <c r="A319" s="145" t="str">
        <f>IFERROR(__xludf.DUMMYFUNCTION("""COMPUTED_VALUE"""),"Y")</f>
        <v>Y</v>
      </c>
      <c r="B319" s="146" t="str">
        <f>IFERROR(__xludf.DUMMYFUNCTION("""COMPUTED_VALUE"""),"5")</f>
        <v>5</v>
      </c>
      <c r="C319" s="146"/>
      <c r="D319" s="147">
        <f>IFERROR(__xludf.DUMMYFUNCTION("""COMPUTED_VALUE"""),45713.0)</f>
        <v>45713</v>
      </c>
      <c r="E319" s="147">
        <f>IFERROR(__xludf.DUMMYFUNCTION("""COMPUTED_VALUE"""),45720.0)</f>
        <v>45720</v>
      </c>
      <c r="F319" s="147">
        <f>IFERROR(__xludf.DUMMYFUNCTION("""COMPUTED_VALUE"""),45741.0)</f>
        <v>45741</v>
      </c>
      <c r="G319" s="146" t="str">
        <f>IFERROR(__xludf.DUMMYFUNCTION("""COMPUTED_VALUE"""),"D35-2R")</f>
        <v>D35-2R</v>
      </c>
      <c r="H319" s="148">
        <f>IFERROR(__xludf.DUMMYFUNCTION("""COMPUTED_VALUE"""),215.0)</f>
        <v>215</v>
      </c>
      <c r="I319" s="148">
        <f>IFERROR(__xludf.DUMMYFUNCTION("""COMPUTED_VALUE"""),305.0)</f>
        <v>305</v>
      </c>
      <c r="J319" s="146">
        <f>IFERROR(__xludf.DUMMYFUNCTION("""COMPUTED_VALUE"""),46.0)</f>
        <v>46</v>
      </c>
      <c r="K319" s="146">
        <f>IFERROR(__xludf.DUMMYFUNCTION("""COMPUTED_VALUE"""),46.0)</f>
        <v>46</v>
      </c>
      <c r="L319" s="146">
        <f>IFERROR(__xludf.DUMMYFUNCTION("""COMPUTED_VALUE"""),188.0)</f>
        <v>188</v>
      </c>
      <c r="M319" s="146">
        <f>IFERROR(__xludf.DUMMYFUNCTION("""COMPUTED_VALUE"""),204.0)</f>
        <v>204</v>
      </c>
      <c r="N319" s="146">
        <f>IFERROR(__xludf.DUMMYFUNCTION("""COMPUTED_VALUE"""),9.0)</f>
        <v>9</v>
      </c>
      <c r="O319" s="146">
        <f>IFERROR(__xludf.DUMMYFUNCTION("""COMPUTED_VALUE"""),9.0)</f>
        <v>9</v>
      </c>
      <c r="P319" s="146">
        <f>IFERROR(__xludf.DUMMYFUNCTION("""COMPUTED_VALUE"""),213.0)</f>
        <v>213</v>
      </c>
      <c r="Q319" s="146"/>
      <c r="R319" s="146"/>
      <c r="T319" s="131" t="str">
        <f>IFERROR(__xludf.DUMMYFUNCTION("""COMPUTED_VALUE"""),"Y")</f>
        <v>Y</v>
      </c>
      <c r="U319" s="131" t="str">
        <f>IFERROR(__xludf.DUMMYFUNCTION("""COMPUTED_VALUE"""),"5")</f>
        <v>5</v>
      </c>
      <c r="V319" s="131"/>
      <c r="W319" s="144">
        <f>IFERROR(__xludf.DUMMYFUNCTION("""COMPUTED_VALUE"""),45713.0)</f>
        <v>45713</v>
      </c>
      <c r="X319" s="144">
        <f>IFERROR(__xludf.DUMMYFUNCTION("""COMPUTED_VALUE"""),45720.0)</f>
        <v>45720</v>
      </c>
      <c r="Y319" s="144">
        <f>IFERROR(__xludf.DUMMYFUNCTION("""COMPUTED_VALUE"""),45741.0)</f>
        <v>45741</v>
      </c>
      <c r="Z319" s="131" t="str">
        <f>IFERROR(__xludf.DUMMYFUNCTION("""COMPUTED_VALUE"""),"D35-2R")</f>
        <v>D35-2R</v>
      </c>
      <c r="AA319" s="131"/>
      <c r="AB319" s="131"/>
      <c r="AC319" s="131"/>
      <c r="AD319" s="131"/>
      <c r="AE319" s="131">
        <f>IFERROR(__xludf.DUMMYFUNCTION("""COMPUTED_VALUE"""),208.0)</f>
        <v>208</v>
      </c>
      <c r="AF319" s="131">
        <f>IFERROR(__xludf.DUMMYFUNCTION("""COMPUTED_VALUE"""),212.0)</f>
        <v>212</v>
      </c>
      <c r="AG319" s="131">
        <f>IFERROR(__xludf.DUMMYFUNCTION("""COMPUTED_VALUE"""),3.0)</f>
        <v>3</v>
      </c>
      <c r="AH319" s="131">
        <f>IFERROR(__xludf.DUMMYFUNCTION("""COMPUTED_VALUE"""),3.0)</f>
        <v>3</v>
      </c>
      <c r="AI319" s="131">
        <f>IFERROR(__xludf.DUMMYFUNCTION("""COMPUTED_VALUE"""),213.0)</f>
        <v>213</v>
      </c>
      <c r="AJ319" s="131"/>
      <c r="AK319" s="131"/>
    </row>
    <row r="320">
      <c r="A320" s="145" t="str">
        <f>IFERROR(__xludf.DUMMYFUNCTION("""COMPUTED_VALUE"""),"Y")</f>
        <v>Y</v>
      </c>
      <c r="B320" s="146" t="str">
        <f>IFERROR(__xludf.DUMMYFUNCTION("""COMPUTED_VALUE"""),"5")</f>
        <v>5</v>
      </c>
      <c r="C320" s="146"/>
      <c r="D320" s="147">
        <f>IFERROR(__xludf.DUMMYFUNCTION("""COMPUTED_VALUE"""),45713.0)</f>
        <v>45713</v>
      </c>
      <c r="E320" s="147">
        <f>IFERROR(__xludf.DUMMYFUNCTION("""COMPUTED_VALUE"""),45720.0)</f>
        <v>45720</v>
      </c>
      <c r="F320" s="147">
        <f>IFERROR(__xludf.DUMMYFUNCTION("""COMPUTED_VALUE"""),45741.0)</f>
        <v>45741</v>
      </c>
      <c r="G320" s="146" t="str">
        <f>IFERROR(__xludf.DUMMYFUNCTION("""COMPUTED_VALUE"""),"D35-2R")</f>
        <v>D35-2R</v>
      </c>
      <c r="H320" s="148"/>
      <c r="I320" s="148"/>
      <c r="J320" s="146"/>
      <c r="K320" s="146"/>
      <c r="L320" s="146">
        <f>IFERROR(__xludf.DUMMYFUNCTION("""COMPUTED_VALUE"""),208.0)</f>
        <v>208</v>
      </c>
      <c r="M320" s="146">
        <f>IFERROR(__xludf.DUMMYFUNCTION("""COMPUTED_VALUE"""),212.0)</f>
        <v>212</v>
      </c>
      <c r="N320" s="146">
        <f>IFERROR(__xludf.DUMMYFUNCTION("""COMPUTED_VALUE"""),3.0)</f>
        <v>3</v>
      </c>
      <c r="O320" s="146">
        <f>IFERROR(__xludf.DUMMYFUNCTION("""COMPUTED_VALUE"""),3.0)</f>
        <v>3</v>
      </c>
      <c r="P320" s="146">
        <f>IFERROR(__xludf.DUMMYFUNCTION("""COMPUTED_VALUE"""),213.0)</f>
        <v>213</v>
      </c>
      <c r="Q320" s="146"/>
      <c r="R320" s="146"/>
      <c r="T320" s="131" t="str">
        <f>IFERROR(__xludf.DUMMYFUNCTION("""COMPUTED_VALUE"""),"Y")</f>
        <v>Y</v>
      </c>
      <c r="U320" s="131" t="str">
        <f>IFERROR(__xludf.DUMMYFUNCTION("""COMPUTED_VALUE"""),"6")</f>
        <v>6</v>
      </c>
      <c r="V320" s="131"/>
      <c r="W320" s="144">
        <f>IFERROR(__xludf.DUMMYFUNCTION("""COMPUTED_VALUE"""),45713.0)</f>
        <v>45713</v>
      </c>
      <c r="X320" s="144">
        <f>IFERROR(__xludf.DUMMYFUNCTION("""COMPUTED_VALUE"""),45720.0)</f>
        <v>45720</v>
      </c>
      <c r="Y320" s="144">
        <f>IFERROR(__xludf.DUMMYFUNCTION("""COMPUTED_VALUE"""),45741.0)</f>
        <v>45741</v>
      </c>
      <c r="Z320" s="131" t="str">
        <f>IFERROR(__xludf.DUMMYFUNCTION("""COMPUTED_VALUE"""),"DC38")</f>
        <v>DC38</v>
      </c>
      <c r="AA320" s="131">
        <f>IFERROR(__xludf.DUMMYFUNCTION("""COMPUTED_VALUE"""),881.0)</f>
        <v>881</v>
      </c>
      <c r="AB320" s="131">
        <f>IFERROR(__xludf.DUMMYFUNCTION("""COMPUTED_VALUE"""),967.0)</f>
        <v>967</v>
      </c>
      <c r="AC320" s="131">
        <f>IFERROR(__xludf.DUMMYFUNCTION("""COMPUTED_VALUE"""),44.0)</f>
        <v>44</v>
      </c>
      <c r="AD320" s="131">
        <f>IFERROR(__xludf.DUMMYFUNCTION("""COMPUTED_VALUE"""),44.0)</f>
        <v>44</v>
      </c>
      <c r="AE320" s="131"/>
      <c r="AF320" s="131"/>
      <c r="AG320" s="131"/>
      <c r="AH320" s="131"/>
      <c r="AI320" s="131">
        <f>IFERROR(__xludf.DUMMYFUNCTION("""COMPUTED_VALUE"""),214.0)</f>
        <v>214</v>
      </c>
      <c r="AJ320" s="131"/>
      <c r="AK320" s="131"/>
    </row>
    <row r="321">
      <c r="A321" s="145" t="str">
        <f>IFERROR(__xludf.DUMMYFUNCTION("""COMPUTED_VALUE"""),"Y")</f>
        <v>Y</v>
      </c>
      <c r="B321" s="146" t="str">
        <f>IFERROR(__xludf.DUMMYFUNCTION("""COMPUTED_VALUE"""),"6")</f>
        <v>6</v>
      </c>
      <c r="C321" s="146"/>
      <c r="D321" s="147">
        <f>IFERROR(__xludf.DUMMYFUNCTION("""COMPUTED_VALUE"""),45713.0)</f>
        <v>45713</v>
      </c>
      <c r="E321" s="147">
        <f>IFERROR(__xludf.DUMMYFUNCTION("""COMPUTED_VALUE"""),45720.0)</f>
        <v>45720</v>
      </c>
      <c r="F321" s="147">
        <f>IFERROR(__xludf.DUMMYFUNCTION("""COMPUTED_VALUE"""),45741.0)</f>
        <v>45741</v>
      </c>
      <c r="G321" s="146" t="str">
        <f>IFERROR(__xludf.DUMMYFUNCTION("""COMPUTED_VALUE"""),"DC38")</f>
        <v>DC38</v>
      </c>
      <c r="H321" s="148">
        <f>IFERROR(__xludf.DUMMYFUNCTION("""COMPUTED_VALUE"""),881.0)</f>
        <v>881</v>
      </c>
      <c r="I321" s="148">
        <f>IFERROR(__xludf.DUMMYFUNCTION("""COMPUTED_VALUE"""),967.0)</f>
        <v>967</v>
      </c>
      <c r="J321" s="146">
        <f>IFERROR(__xludf.DUMMYFUNCTION("""COMPUTED_VALUE"""),44.0)</f>
        <v>44</v>
      </c>
      <c r="K321" s="146">
        <f>IFERROR(__xludf.DUMMYFUNCTION("""COMPUTED_VALUE"""),44.0)</f>
        <v>44</v>
      </c>
      <c r="L321" s="146"/>
      <c r="M321" s="146"/>
      <c r="N321" s="146"/>
      <c r="O321" s="146"/>
      <c r="P321" s="146">
        <f>IFERROR(__xludf.DUMMYFUNCTION("""COMPUTED_VALUE"""),214.0)</f>
        <v>214</v>
      </c>
      <c r="Q321" s="146"/>
      <c r="R321" s="146"/>
      <c r="T321" s="131" t="str">
        <f>IFERROR(__xludf.DUMMYFUNCTION("""COMPUTED_VALUE"""),"Y")</f>
        <v>Y</v>
      </c>
      <c r="U321" s="131" t="str">
        <f>IFERROR(__xludf.DUMMYFUNCTION("""COMPUTED_VALUE"""),"5")</f>
        <v>5</v>
      </c>
      <c r="V321" s="131"/>
      <c r="W321" s="144">
        <f>IFERROR(__xludf.DUMMYFUNCTION("""COMPUTED_VALUE"""),45714.0)</f>
        <v>45714</v>
      </c>
      <c r="X321" s="144">
        <f>IFERROR(__xludf.DUMMYFUNCTION("""COMPUTED_VALUE"""),45721.0)</f>
        <v>45721</v>
      </c>
      <c r="Y321" s="144">
        <f>IFERROR(__xludf.DUMMYFUNCTION("""COMPUTED_VALUE"""),45742.0)</f>
        <v>45742</v>
      </c>
      <c r="Z321" s="131" t="str">
        <f>IFERROR(__xludf.DUMMYFUNCTION("""COMPUTED_VALUE"""),"D35-1R")</f>
        <v>D35-1R</v>
      </c>
      <c r="AA321" s="131">
        <f>IFERROR(__xludf.DUMMYFUNCTION("""COMPUTED_VALUE"""),135.0)</f>
        <v>135</v>
      </c>
      <c r="AB321" s="131">
        <f>IFERROR(__xludf.DUMMYFUNCTION("""COMPUTED_VALUE"""),143.0)</f>
        <v>143</v>
      </c>
      <c r="AC321" s="131">
        <f>IFERROR(__xludf.DUMMYFUNCTION("""COMPUTED_VALUE"""),5.0)</f>
        <v>5</v>
      </c>
      <c r="AD321" s="131">
        <f>IFERROR(__xludf.DUMMYFUNCTION("""COMPUTED_VALUE"""),5.0)</f>
        <v>5</v>
      </c>
      <c r="AE321" s="131"/>
      <c r="AF321" s="131"/>
      <c r="AG321" s="131"/>
      <c r="AH321" s="131"/>
      <c r="AI321" s="131">
        <f>IFERROR(__xludf.DUMMYFUNCTION("""COMPUTED_VALUE"""),217.0)</f>
        <v>217</v>
      </c>
      <c r="AJ321" s="131"/>
      <c r="AK321" s="131"/>
    </row>
    <row r="322">
      <c r="A322" s="145" t="str">
        <f>IFERROR(__xludf.DUMMYFUNCTION("""COMPUTED_VALUE"""),"Y")</f>
        <v>Y</v>
      </c>
      <c r="B322" s="146" t="str">
        <f>IFERROR(__xludf.DUMMYFUNCTION("""COMPUTED_VALUE"""),"5")</f>
        <v>5</v>
      </c>
      <c r="C322" s="146"/>
      <c r="D322" s="147">
        <f>IFERROR(__xludf.DUMMYFUNCTION("""COMPUTED_VALUE"""),45714.0)</f>
        <v>45714</v>
      </c>
      <c r="E322" s="147">
        <f>IFERROR(__xludf.DUMMYFUNCTION("""COMPUTED_VALUE"""),45721.0)</f>
        <v>45721</v>
      </c>
      <c r="F322" s="147">
        <f>IFERROR(__xludf.DUMMYFUNCTION("""COMPUTED_VALUE"""),45742.0)</f>
        <v>45742</v>
      </c>
      <c r="G322" s="146" t="str">
        <f>IFERROR(__xludf.DUMMYFUNCTION("""COMPUTED_VALUE"""),"D35-1R")</f>
        <v>D35-1R</v>
      </c>
      <c r="H322" s="148">
        <f>IFERROR(__xludf.DUMMYFUNCTION("""COMPUTED_VALUE"""),135.0)</f>
        <v>135</v>
      </c>
      <c r="I322" s="148">
        <f>IFERROR(__xludf.DUMMYFUNCTION("""COMPUTED_VALUE"""),143.0)</f>
        <v>143</v>
      </c>
      <c r="J322" s="146">
        <f>IFERROR(__xludf.DUMMYFUNCTION("""COMPUTED_VALUE"""),5.0)</f>
        <v>5</v>
      </c>
      <c r="K322" s="146">
        <f>IFERROR(__xludf.DUMMYFUNCTION("""COMPUTED_VALUE"""),5.0)</f>
        <v>5</v>
      </c>
      <c r="L322" s="146"/>
      <c r="M322" s="146"/>
      <c r="N322" s="146"/>
      <c r="O322" s="146"/>
      <c r="P322" s="146">
        <f>IFERROR(__xludf.DUMMYFUNCTION("""COMPUTED_VALUE"""),217.0)</f>
        <v>217</v>
      </c>
      <c r="Q322" s="146"/>
      <c r="R322" s="146"/>
      <c r="T322" s="131" t="str">
        <f>IFERROR(__xludf.DUMMYFUNCTION("""COMPUTED_VALUE"""),"Y")</f>
        <v>Y</v>
      </c>
      <c r="U322" s="131" t="str">
        <f>IFERROR(__xludf.DUMMYFUNCTION("""COMPUTED_VALUE"""),"5")</f>
        <v>5</v>
      </c>
      <c r="V322" s="131"/>
      <c r="W322" s="144">
        <f>IFERROR(__xludf.DUMMYFUNCTION("""COMPUTED_VALUE"""),45714.0)</f>
        <v>45714</v>
      </c>
      <c r="X322" s="144">
        <f>IFERROR(__xludf.DUMMYFUNCTION("""COMPUTED_VALUE"""),45721.0)</f>
        <v>45721</v>
      </c>
      <c r="Y322" s="144">
        <f>IFERROR(__xludf.DUMMYFUNCTION("""COMPUTED_VALUE"""),45742.0)</f>
        <v>45742</v>
      </c>
      <c r="Z322" s="131" t="str">
        <f>IFERROR(__xludf.DUMMYFUNCTION("""COMPUTED_VALUE"""),"D35-2R")</f>
        <v>D35-2R</v>
      </c>
      <c r="AA322" s="131">
        <f>IFERROR(__xludf.DUMMYFUNCTION("""COMPUTED_VALUE"""),307.0)</f>
        <v>307</v>
      </c>
      <c r="AB322" s="131">
        <f>IFERROR(__xludf.DUMMYFUNCTION("""COMPUTED_VALUE"""),307.0)</f>
        <v>307</v>
      </c>
      <c r="AC322" s="131">
        <f>IFERROR(__xludf.DUMMYFUNCTION("""COMPUTED_VALUE"""),1.0)</f>
        <v>1</v>
      </c>
      <c r="AD322" s="131">
        <f>IFERROR(__xludf.DUMMYFUNCTION("""COMPUTED_VALUE"""),1.0)</f>
        <v>1</v>
      </c>
      <c r="AE322" s="131">
        <f>IFERROR(__xludf.DUMMYFUNCTION("""COMPUTED_VALUE"""),214.0)</f>
        <v>214</v>
      </c>
      <c r="AF322" s="131">
        <f>IFERROR(__xludf.DUMMYFUNCTION("""COMPUTED_VALUE"""),304.0)</f>
        <v>304</v>
      </c>
      <c r="AG322" s="131">
        <f>IFERROR(__xludf.DUMMYFUNCTION("""COMPUTED_VALUE"""),46.0)</f>
        <v>46</v>
      </c>
      <c r="AH322" s="131">
        <f>IFERROR(__xludf.DUMMYFUNCTION("""COMPUTED_VALUE"""),46.0)</f>
        <v>46</v>
      </c>
      <c r="AI322" s="131">
        <f>IFERROR(__xludf.DUMMYFUNCTION("""COMPUTED_VALUE"""),217.0)</f>
        <v>217</v>
      </c>
      <c r="AJ322" s="131"/>
      <c r="AK322" s="131"/>
    </row>
    <row r="323">
      <c r="A323" s="145" t="str">
        <f>IFERROR(__xludf.DUMMYFUNCTION("""COMPUTED_VALUE"""),"Y")</f>
        <v>Y</v>
      </c>
      <c r="B323" s="146" t="str">
        <f>IFERROR(__xludf.DUMMYFUNCTION("""COMPUTED_VALUE"""),"5")</f>
        <v>5</v>
      </c>
      <c r="C323" s="146"/>
      <c r="D323" s="147">
        <f>IFERROR(__xludf.DUMMYFUNCTION("""COMPUTED_VALUE"""),45714.0)</f>
        <v>45714</v>
      </c>
      <c r="E323" s="147">
        <f>IFERROR(__xludf.DUMMYFUNCTION("""COMPUTED_VALUE"""),45721.0)</f>
        <v>45721</v>
      </c>
      <c r="F323" s="147">
        <f>IFERROR(__xludf.DUMMYFUNCTION("""COMPUTED_VALUE"""),45742.0)</f>
        <v>45742</v>
      </c>
      <c r="G323" s="146" t="str">
        <f>IFERROR(__xludf.DUMMYFUNCTION("""COMPUTED_VALUE"""),"D35-2R")</f>
        <v>D35-2R</v>
      </c>
      <c r="H323" s="148">
        <f>IFERROR(__xludf.DUMMYFUNCTION("""COMPUTED_VALUE"""),307.0)</f>
        <v>307</v>
      </c>
      <c r="I323" s="148">
        <f>IFERROR(__xludf.DUMMYFUNCTION("""COMPUTED_VALUE"""),307.0)</f>
        <v>307</v>
      </c>
      <c r="J323" s="146">
        <f>IFERROR(__xludf.DUMMYFUNCTION("""COMPUTED_VALUE"""),1.0)</f>
        <v>1</v>
      </c>
      <c r="K323" s="146">
        <f>IFERROR(__xludf.DUMMYFUNCTION("""COMPUTED_VALUE"""),1.0)</f>
        <v>1</v>
      </c>
      <c r="L323" s="146">
        <f>IFERROR(__xludf.DUMMYFUNCTION("""COMPUTED_VALUE"""),214.0)</f>
        <v>214</v>
      </c>
      <c r="M323" s="146">
        <f>IFERROR(__xludf.DUMMYFUNCTION("""COMPUTED_VALUE"""),304.0)</f>
        <v>304</v>
      </c>
      <c r="N323" s="146">
        <f>IFERROR(__xludf.DUMMYFUNCTION("""COMPUTED_VALUE"""),46.0)</f>
        <v>46</v>
      </c>
      <c r="O323" s="146">
        <f>IFERROR(__xludf.DUMMYFUNCTION("""COMPUTED_VALUE"""),46.0)</f>
        <v>46</v>
      </c>
      <c r="P323" s="146">
        <f>IFERROR(__xludf.DUMMYFUNCTION("""COMPUTED_VALUE"""),217.0)</f>
        <v>217</v>
      </c>
      <c r="Q323" s="146"/>
      <c r="R323" s="146"/>
      <c r="T323" s="131" t="str">
        <f>IFERROR(__xludf.DUMMYFUNCTION("""COMPUTED_VALUE"""),"N")</f>
        <v>N</v>
      </c>
      <c r="U323" s="131" t="str">
        <f>IFERROR(__xludf.DUMMYFUNCTION("""COMPUTED_VALUE"""),"5")</f>
        <v>5</v>
      </c>
      <c r="V323" s="131"/>
      <c r="W323" s="144">
        <f>IFERROR(__xludf.DUMMYFUNCTION("""COMPUTED_VALUE"""),45714.0)</f>
        <v>45714</v>
      </c>
      <c r="X323" s="144">
        <f>IFERROR(__xludf.DUMMYFUNCTION("""COMPUTED_VALUE"""),45721.0)</f>
        <v>45721</v>
      </c>
      <c r="Y323" s="144">
        <f>IFERROR(__xludf.DUMMYFUNCTION("""COMPUTED_VALUE"""),45742.0)</f>
        <v>45742</v>
      </c>
      <c r="Z323" s="131" t="str">
        <f>IFERROR(__xludf.DUMMYFUNCTION("""COMPUTED_VALUE"""),"D33-1L")</f>
        <v>D33-1L</v>
      </c>
      <c r="AA323" s="131">
        <f>IFERROR(__xludf.DUMMYFUNCTION("""COMPUTED_VALUE"""),3.0)</f>
        <v>3</v>
      </c>
      <c r="AB323" s="131">
        <f>IFERROR(__xludf.DUMMYFUNCTION("""COMPUTED_VALUE"""),5.0)</f>
        <v>5</v>
      </c>
      <c r="AC323" s="131">
        <f>IFERROR(__xludf.DUMMYFUNCTION("""COMPUTED_VALUE"""),2.0)</f>
        <v>2</v>
      </c>
      <c r="AD323" s="131">
        <f>IFERROR(__xludf.DUMMYFUNCTION("""COMPUTED_VALUE"""),2.0)</f>
        <v>2</v>
      </c>
      <c r="AE323" s="131">
        <f>IFERROR(__xludf.DUMMYFUNCTION("""COMPUTED_VALUE"""),8.0)</f>
        <v>8</v>
      </c>
      <c r="AF323" s="131">
        <f>IFERROR(__xludf.DUMMYFUNCTION("""COMPUTED_VALUE"""),56.0)</f>
        <v>56</v>
      </c>
      <c r="AG323" s="131">
        <f>IFERROR(__xludf.DUMMYFUNCTION("""COMPUTED_VALUE"""),25.0)</f>
        <v>25</v>
      </c>
      <c r="AH323" s="131">
        <f>IFERROR(__xludf.DUMMYFUNCTION("""COMPUTED_VALUE"""),25.0)</f>
        <v>25</v>
      </c>
      <c r="AI323" s="131">
        <f>IFERROR(__xludf.DUMMYFUNCTION("""COMPUTED_VALUE"""),219.0)</f>
        <v>219</v>
      </c>
      <c r="AJ323" s="131"/>
      <c r="AK323" s="131"/>
    </row>
    <row r="324">
      <c r="A324" s="145" t="str">
        <f>IFERROR(__xludf.DUMMYFUNCTION("""COMPUTED_VALUE"""),"N")</f>
        <v>N</v>
      </c>
      <c r="B324" s="146" t="str">
        <f>IFERROR(__xludf.DUMMYFUNCTION("""COMPUTED_VALUE"""),"5")</f>
        <v>5</v>
      </c>
      <c r="C324" s="146"/>
      <c r="D324" s="147">
        <f>IFERROR(__xludf.DUMMYFUNCTION("""COMPUTED_VALUE"""),45714.0)</f>
        <v>45714</v>
      </c>
      <c r="E324" s="147">
        <f>IFERROR(__xludf.DUMMYFUNCTION("""COMPUTED_VALUE"""),45721.0)</f>
        <v>45721</v>
      </c>
      <c r="F324" s="147">
        <f>IFERROR(__xludf.DUMMYFUNCTION("""COMPUTED_VALUE"""),45742.0)</f>
        <v>45742</v>
      </c>
      <c r="G324" s="146" t="str">
        <f>IFERROR(__xludf.DUMMYFUNCTION("""COMPUTED_VALUE"""),"D33-1L")</f>
        <v>D33-1L</v>
      </c>
      <c r="H324" s="148">
        <f>IFERROR(__xludf.DUMMYFUNCTION("""COMPUTED_VALUE"""),3.0)</f>
        <v>3</v>
      </c>
      <c r="I324" s="148">
        <f>IFERROR(__xludf.DUMMYFUNCTION("""COMPUTED_VALUE"""),5.0)</f>
        <v>5</v>
      </c>
      <c r="J324" s="146">
        <f>IFERROR(__xludf.DUMMYFUNCTION("""COMPUTED_VALUE"""),2.0)</f>
        <v>2</v>
      </c>
      <c r="K324" s="146">
        <f>IFERROR(__xludf.DUMMYFUNCTION("""COMPUTED_VALUE"""),2.0)</f>
        <v>2</v>
      </c>
      <c r="L324" s="146">
        <f>IFERROR(__xludf.DUMMYFUNCTION("""COMPUTED_VALUE"""),8.0)</f>
        <v>8</v>
      </c>
      <c r="M324" s="146">
        <f>IFERROR(__xludf.DUMMYFUNCTION("""COMPUTED_VALUE"""),56.0)</f>
        <v>56</v>
      </c>
      <c r="N324" s="146">
        <f>IFERROR(__xludf.DUMMYFUNCTION("""COMPUTED_VALUE"""),25.0)</f>
        <v>25</v>
      </c>
      <c r="O324" s="146">
        <f>IFERROR(__xludf.DUMMYFUNCTION("""COMPUTED_VALUE"""),25.0)</f>
        <v>25</v>
      </c>
      <c r="P324" s="146">
        <f>IFERROR(__xludf.DUMMYFUNCTION("""COMPUTED_VALUE"""),219.0)</f>
        <v>219</v>
      </c>
      <c r="Q324" s="146"/>
      <c r="R324" s="146"/>
      <c r="T324" s="131" t="str">
        <f>IFERROR(__xludf.DUMMYFUNCTION("""COMPUTED_VALUE"""),"N")</f>
        <v>N</v>
      </c>
      <c r="U324" s="131" t="str">
        <f>IFERROR(__xludf.DUMMYFUNCTION("""COMPUTED_VALUE"""),"5")</f>
        <v>5</v>
      </c>
      <c r="V324" s="131"/>
      <c r="W324" s="144">
        <f>IFERROR(__xludf.DUMMYFUNCTION("""COMPUTED_VALUE"""),45714.0)</f>
        <v>45714</v>
      </c>
      <c r="X324" s="144">
        <f>IFERROR(__xludf.DUMMYFUNCTION("""COMPUTED_VALUE"""),45721.0)</f>
        <v>45721</v>
      </c>
      <c r="Y324" s="144">
        <f>IFERROR(__xludf.DUMMYFUNCTION("""COMPUTED_VALUE"""),45742.0)</f>
        <v>45742</v>
      </c>
      <c r="Z324" s="131" t="str">
        <f>IFERROR(__xludf.DUMMYFUNCTION("""COMPUTED_VALUE"""),"D33-1L")</f>
        <v>D33-1L</v>
      </c>
      <c r="AA324" s="131"/>
      <c r="AB324" s="131"/>
      <c r="AC324" s="131"/>
      <c r="AD324" s="131"/>
      <c r="AE324" s="131">
        <f>IFERROR(__xludf.DUMMYFUNCTION("""COMPUTED_VALUE"""),110.0)</f>
        <v>110</v>
      </c>
      <c r="AF324" s="131">
        <f>IFERROR(__xludf.DUMMYFUNCTION("""COMPUTED_VALUE"""),118.0)</f>
        <v>118</v>
      </c>
      <c r="AG324" s="131">
        <f>IFERROR(__xludf.DUMMYFUNCTION("""COMPUTED_VALUE"""),5.0)</f>
        <v>5</v>
      </c>
      <c r="AH324" s="131">
        <f>IFERROR(__xludf.DUMMYFUNCTION("""COMPUTED_VALUE"""),5.0)</f>
        <v>5</v>
      </c>
      <c r="AI324" s="131">
        <f>IFERROR(__xludf.DUMMYFUNCTION("""COMPUTED_VALUE"""),219.0)</f>
        <v>219</v>
      </c>
      <c r="AJ324" s="131"/>
      <c r="AK324" s="131"/>
    </row>
    <row r="325">
      <c r="A325" s="145" t="str">
        <f>IFERROR(__xludf.DUMMYFUNCTION("""COMPUTED_VALUE"""),"N")</f>
        <v>N</v>
      </c>
      <c r="B325" s="146" t="str">
        <f>IFERROR(__xludf.DUMMYFUNCTION("""COMPUTED_VALUE"""),"5")</f>
        <v>5</v>
      </c>
      <c r="C325" s="146"/>
      <c r="D325" s="147">
        <f>IFERROR(__xludf.DUMMYFUNCTION("""COMPUTED_VALUE"""),45714.0)</f>
        <v>45714</v>
      </c>
      <c r="E325" s="147">
        <f>IFERROR(__xludf.DUMMYFUNCTION("""COMPUTED_VALUE"""),45721.0)</f>
        <v>45721</v>
      </c>
      <c r="F325" s="147">
        <f>IFERROR(__xludf.DUMMYFUNCTION("""COMPUTED_VALUE"""),45742.0)</f>
        <v>45742</v>
      </c>
      <c r="G325" s="146" t="str">
        <f>IFERROR(__xludf.DUMMYFUNCTION("""COMPUTED_VALUE"""),"D33-1L")</f>
        <v>D33-1L</v>
      </c>
      <c r="H325" s="148"/>
      <c r="I325" s="148"/>
      <c r="J325" s="146"/>
      <c r="K325" s="146"/>
      <c r="L325" s="146">
        <f>IFERROR(__xludf.DUMMYFUNCTION("""COMPUTED_VALUE"""),110.0)</f>
        <v>110</v>
      </c>
      <c r="M325" s="146">
        <f>IFERROR(__xludf.DUMMYFUNCTION("""COMPUTED_VALUE"""),118.0)</f>
        <v>118</v>
      </c>
      <c r="N325" s="146">
        <f>IFERROR(__xludf.DUMMYFUNCTION("""COMPUTED_VALUE"""),5.0)</f>
        <v>5</v>
      </c>
      <c r="O325" s="146">
        <f>IFERROR(__xludf.DUMMYFUNCTION("""COMPUTED_VALUE"""),5.0)</f>
        <v>5</v>
      </c>
      <c r="P325" s="146">
        <f>IFERROR(__xludf.DUMMYFUNCTION("""COMPUTED_VALUE"""),219.0)</f>
        <v>219</v>
      </c>
      <c r="Q325" s="146"/>
      <c r="R325" s="146"/>
      <c r="T325" s="131" t="str">
        <f>IFERROR(__xludf.DUMMYFUNCTION("""COMPUTED_VALUE"""),"N")</f>
        <v>N</v>
      </c>
      <c r="U325" s="131" t="str">
        <f>IFERROR(__xludf.DUMMYFUNCTION("""COMPUTED_VALUE"""),"5")</f>
        <v>5</v>
      </c>
      <c r="V325" s="131"/>
      <c r="W325" s="144">
        <f>IFERROR(__xludf.DUMMYFUNCTION("""COMPUTED_VALUE"""),45714.0)</f>
        <v>45714</v>
      </c>
      <c r="X325" s="144">
        <f>IFERROR(__xludf.DUMMYFUNCTION("""COMPUTED_VALUE"""),45721.0)</f>
        <v>45721</v>
      </c>
      <c r="Y325" s="144">
        <f>IFERROR(__xludf.DUMMYFUNCTION("""COMPUTED_VALUE"""),45742.0)</f>
        <v>45742</v>
      </c>
      <c r="Z325" s="131" t="str">
        <f>IFERROR(__xludf.DUMMYFUNCTION("""COMPUTED_VALUE"""),"D33-1L")</f>
        <v>D33-1L</v>
      </c>
      <c r="AA325" s="131"/>
      <c r="AB325" s="131"/>
      <c r="AC325" s="131"/>
      <c r="AD325" s="131"/>
      <c r="AE325" s="131">
        <f>IFERROR(__xludf.DUMMYFUNCTION("""COMPUTED_VALUE"""),142.0)</f>
        <v>142</v>
      </c>
      <c r="AF325" s="131">
        <f>IFERROR(__xludf.DUMMYFUNCTION("""COMPUTED_VALUE"""),156.0)</f>
        <v>156</v>
      </c>
      <c r="AG325" s="131">
        <f>IFERROR(__xludf.DUMMYFUNCTION("""COMPUTED_VALUE"""),8.0)</f>
        <v>8</v>
      </c>
      <c r="AH325" s="131">
        <f>IFERROR(__xludf.DUMMYFUNCTION("""COMPUTED_VALUE"""),8.0)</f>
        <v>8</v>
      </c>
      <c r="AI325" s="131">
        <f>IFERROR(__xludf.DUMMYFUNCTION("""COMPUTED_VALUE"""),219.0)</f>
        <v>219</v>
      </c>
      <c r="AJ325" s="131"/>
      <c r="AK325" s="131"/>
    </row>
    <row r="326">
      <c r="A326" s="145" t="str">
        <f>IFERROR(__xludf.DUMMYFUNCTION("""COMPUTED_VALUE"""),"N")</f>
        <v>N</v>
      </c>
      <c r="B326" s="146" t="str">
        <f>IFERROR(__xludf.DUMMYFUNCTION("""COMPUTED_VALUE"""),"5")</f>
        <v>5</v>
      </c>
      <c r="C326" s="146"/>
      <c r="D326" s="147">
        <f>IFERROR(__xludf.DUMMYFUNCTION("""COMPUTED_VALUE"""),45714.0)</f>
        <v>45714</v>
      </c>
      <c r="E326" s="147">
        <f>IFERROR(__xludf.DUMMYFUNCTION("""COMPUTED_VALUE"""),45721.0)</f>
        <v>45721</v>
      </c>
      <c r="F326" s="147">
        <f>IFERROR(__xludf.DUMMYFUNCTION("""COMPUTED_VALUE"""),45742.0)</f>
        <v>45742</v>
      </c>
      <c r="G326" s="146" t="str">
        <f>IFERROR(__xludf.DUMMYFUNCTION("""COMPUTED_VALUE"""),"D33-1L")</f>
        <v>D33-1L</v>
      </c>
      <c r="H326" s="148"/>
      <c r="I326" s="148"/>
      <c r="J326" s="146"/>
      <c r="K326" s="146"/>
      <c r="L326" s="146">
        <f>IFERROR(__xludf.DUMMYFUNCTION("""COMPUTED_VALUE"""),142.0)</f>
        <v>142</v>
      </c>
      <c r="M326" s="146">
        <f>IFERROR(__xludf.DUMMYFUNCTION("""COMPUTED_VALUE"""),156.0)</f>
        <v>156</v>
      </c>
      <c r="N326" s="146">
        <f>IFERROR(__xludf.DUMMYFUNCTION("""COMPUTED_VALUE"""),8.0)</f>
        <v>8</v>
      </c>
      <c r="O326" s="146">
        <f>IFERROR(__xludf.DUMMYFUNCTION("""COMPUTED_VALUE"""),8.0)</f>
        <v>8</v>
      </c>
      <c r="P326" s="146">
        <f>IFERROR(__xludf.DUMMYFUNCTION("""COMPUTED_VALUE"""),219.0)</f>
        <v>219</v>
      </c>
      <c r="Q326" s="146"/>
      <c r="R326" s="146"/>
      <c r="T326" s="131" t="str">
        <f>IFERROR(__xludf.DUMMYFUNCTION("""COMPUTED_VALUE"""),"N")</f>
        <v>N</v>
      </c>
      <c r="U326" s="131" t="str">
        <f>IFERROR(__xludf.DUMMYFUNCTION("""COMPUTED_VALUE"""),"5")</f>
        <v>5</v>
      </c>
      <c r="V326" s="131"/>
      <c r="W326" s="144">
        <f>IFERROR(__xludf.DUMMYFUNCTION("""COMPUTED_VALUE"""),45714.0)</f>
        <v>45714</v>
      </c>
      <c r="X326" s="144">
        <f>IFERROR(__xludf.DUMMYFUNCTION("""COMPUTED_VALUE"""),45721.0)</f>
        <v>45721</v>
      </c>
      <c r="Y326" s="144">
        <f>IFERROR(__xludf.DUMMYFUNCTION("""COMPUTED_VALUE"""),45742.0)</f>
        <v>45742</v>
      </c>
      <c r="Z326" s="131" t="str">
        <f>IFERROR(__xludf.DUMMYFUNCTION("""COMPUTED_VALUE"""),"D33-1L")</f>
        <v>D33-1L</v>
      </c>
      <c r="AA326" s="131"/>
      <c r="AB326" s="131"/>
      <c r="AC326" s="131"/>
      <c r="AD326" s="131"/>
      <c r="AE326" s="131">
        <f>IFERROR(__xludf.DUMMYFUNCTION("""COMPUTED_VALUE"""),160.0)</f>
        <v>160</v>
      </c>
      <c r="AF326" s="131">
        <f>IFERROR(__xludf.DUMMYFUNCTION("""COMPUTED_VALUE"""),206.0)</f>
        <v>206</v>
      </c>
      <c r="AG326" s="131">
        <f>IFERROR(__xludf.DUMMYFUNCTION("""COMPUTED_VALUE"""),24.0)</f>
        <v>24</v>
      </c>
      <c r="AH326" s="131">
        <f>IFERROR(__xludf.DUMMYFUNCTION("""COMPUTED_VALUE"""),24.0)</f>
        <v>24</v>
      </c>
      <c r="AI326" s="131">
        <f>IFERROR(__xludf.DUMMYFUNCTION("""COMPUTED_VALUE"""),219.0)</f>
        <v>219</v>
      </c>
      <c r="AJ326" s="131"/>
      <c r="AK326" s="131"/>
    </row>
    <row r="327">
      <c r="A327" s="145" t="str">
        <f>IFERROR(__xludf.DUMMYFUNCTION("""COMPUTED_VALUE"""),"N")</f>
        <v>N</v>
      </c>
      <c r="B327" s="146" t="str">
        <f>IFERROR(__xludf.DUMMYFUNCTION("""COMPUTED_VALUE"""),"5")</f>
        <v>5</v>
      </c>
      <c r="C327" s="146"/>
      <c r="D327" s="147">
        <f>IFERROR(__xludf.DUMMYFUNCTION("""COMPUTED_VALUE"""),45714.0)</f>
        <v>45714</v>
      </c>
      <c r="E327" s="147">
        <f>IFERROR(__xludf.DUMMYFUNCTION("""COMPUTED_VALUE"""),45721.0)</f>
        <v>45721</v>
      </c>
      <c r="F327" s="147">
        <f>IFERROR(__xludf.DUMMYFUNCTION("""COMPUTED_VALUE"""),45742.0)</f>
        <v>45742</v>
      </c>
      <c r="G327" s="146" t="str">
        <f>IFERROR(__xludf.DUMMYFUNCTION("""COMPUTED_VALUE"""),"D33-1L")</f>
        <v>D33-1L</v>
      </c>
      <c r="H327" s="148"/>
      <c r="I327" s="148"/>
      <c r="J327" s="146"/>
      <c r="K327" s="146"/>
      <c r="L327" s="146">
        <f>IFERROR(__xludf.DUMMYFUNCTION("""COMPUTED_VALUE"""),160.0)</f>
        <v>160</v>
      </c>
      <c r="M327" s="146">
        <f>IFERROR(__xludf.DUMMYFUNCTION("""COMPUTED_VALUE"""),206.0)</f>
        <v>206</v>
      </c>
      <c r="N327" s="146">
        <f>IFERROR(__xludf.DUMMYFUNCTION("""COMPUTED_VALUE"""),24.0)</f>
        <v>24</v>
      </c>
      <c r="O327" s="146">
        <f>IFERROR(__xludf.DUMMYFUNCTION("""COMPUTED_VALUE"""),24.0)</f>
        <v>24</v>
      </c>
      <c r="P327" s="146">
        <f>IFERROR(__xludf.DUMMYFUNCTION("""COMPUTED_VALUE"""),219.0)</f>
        <v>219</v>
      </c>
      <c r="Q327" s="146"/>
      <c r="R327" s="146"/>
      <c r="T327" s="131" t="str">
        <f>IFERROR(__xludf.DUMMYFUNCTION("""COMPUTED_VALUE"""),"N")</f>
        <v>N</v>
      </c>
      <c r="U327" s="131" t="str">
        <f>IFERROR(__xludf.DUMMYFUNCTION("""COMPUTED_VALUE"""),"5")</f>
        <v>5</v>
      </c>
      <c r="V327" s="131"/>
      <c r="W327" s="144">
        <f>IFERROR(__xludf.DUMMYFUNCTION("""COMPUTED_VALUE"""),45714.0)</f>
        <v>45714</v>
      </c>
      <c r="X327" s="144">
        <f>IFERROR(__xludf.DUMMYFUNCTION("""COMPUTED_VALUE"""),45721.0)</f>
        <v>45721</v>
      </c>
      <c r="Y327" s="144">
        <f>IFERROR(__xludf.DUMMYFUNCTION("""COMPUTED_VALUE"""),45742.0)</f>
        <v>45742</v>
      </c>
      <c r="Z327" s="131" t="str">
        <f>IFERROR(__xludf.DUMMYFUNCTION("""COMPUTED_VALUE"""),"D33-1L")</f>
        <v>D33-1L</v>
      </c>
      <c r="AA327" s="131"/>
      <c r="AB327" s="131"/>
      <c r="AC327" s="131"/>
      <c r="AD327" s="131"/>
      <c r="AE327" s="131">
        <f>IFERROR(__xludf.DUMMYFUNCTION("""COMPUTED_VALUE"""),210.0)</f>
        <v>210</v>
      </c>
      <c r="AF327" s="131">
        <f>IFERROR(__xludf.DUMMYFUNCTION("""COMPUTED_VALUE"""),256.0)</f>
        <v>256</v>
      </c>
      <c r="AG327" s="131">
        <f>IFERROR(__xludf.DUMMYFUNCTION("""COMPUTED_VALUE"""),24.0)</f>
        <v>24</v>
      </c>
      <c r="AH327" s="131">
        <f>IFERROR(__xludf.DUMMYFUNCTION("""COMPUTED_VALUE"""),24.0)</f>
        <v>24</v>
      </c>
      <c r="AI327" s="131">
        <f>IFERROR(__xludf.DUMMYFUNCTION("""COMPUTED_VALUE"""),219.0)</f>
        <v>219</v>
      </c>
      <c r="AJ327" s="131"/>
      <c r="AK327" s="131"/>
    </row>
    <row r="328">
      <c r="A328" s="145" t="str">
        <f>IFERROR(__xludf.DUMMYFUNCTION("""COMPUTED_VALUE"""),"N")</f>
        <v>N</v>
      </c>
      <c r="B328" s="146" t="str">
        <f>IFERROR(__xludf.DUMMYFUNCTION("""COMPUTED_VALUE"""),"5")</f>
        <v>5</v>
      </c>
      <c r="C328" s="146"/>
      <c r="D328" s="147">
        <f>IFERROR(__xludf.DUMMYFUNCTION("""COMPUTED_VALUE"""),45714.0)</f>
        <v>45714</v>
      </c>
      <c r="E328" s="147">
        <f>IFERROR(__xludf.DUMMYFUNCTION("""COMPUTED_VALUE"""),45721.0)</f>
        <v>45721</v>
      </c>
      <c r="F328" s="147">
        <f>IFERROR(__xludf.DUMMYFUNCTION("""COMPUTED_VALUE"""),45742.0)</f>
        <v>45742</v>
      </c>
      <c r="G328" s="146" t="str">
        <f>IFERROR(__xludf.DUMMYFUNCTION("""COMPUTED_VALUE"""),"D33-1L")</f>
        <v>D33-1L</v>
      </c>
      <c r="H328" s="148"/>
      <c r="I328" s="148"/>
      <c r="J328" s="146"/>
      <c r="K328" s="146"/>
      <c r="L328" s="146">
        <f>IFERROR(__xludf.DUMMYFUNCTION("""COMPUTED_VALUE"""),210.0)</f>
        <v>210</v>
      </c>
      <c r="M328" s="146">
        <f>IFERROR(__xludf.DUMMYFUNCTION("""COMPUTED_VALUE"""),256.0)</f>
        <v>256</v>
      </c>
      <c r="N328" s="146">
        <f>IFERROR(__xludf.DUMMYFUNCTION("""COMPUTED_VALUE"""),24.0)</f>
        <v>24</v>
      </c>
      <c r="O328" s="146">
        <f>IFERROR(__xludf.DUMMYFUNCTION("""COMPUTED_VALUE"""),24.0)</f>
        <v>24</v>
      </c>
      <c r="P328" s="146">
        <f>IFERROR(__xludf.DUMMYFUNCTION("""COMPUTED_VALUE"""),219.0)</f>
        <v>219</v>
      </c>
      <c r="Q328" s="146"/>
      <c r="R328" s="146"/>
      <c r="T328" s="131" t="str">
        <f>IFERROR(__xludf.DUMMYFUNCTION("""COMPUTED_VALUE"""),"N")</f>
        <v>N</v>
      </c>
      <c r="U328" s="131" t="str">
        <f>IFERROR(__xludf.DUMMYFUNCTION("""COMPUTED_VALUE"""),"5")</f>
        <v>5</v>
      </c>
      <c r="V328" s="131"/>
      <c r="W328" s="144">
        <f>IFERROR(__xludf.DUMMYFUNCTION("""COMPUTED_VALUE"""),45714.0)</f>
        <v>45714</v>
      </c>
      <c r="X328" s="144">
        <f>IFERROR(__xludf.DUMMYFUNCTION("""COMPUTED_VALUE"""),45721.0)</f>
        <v>45721</v>
      </c>
      <c r="Y328" s="144">
        <f>IFERROR(__xludf.DUMMYFUNCTION("""COMPUTED_VALUE"""),45742.0)</f>
        <v>45742</v>
      </c>
      <c r="Z328" s="131" t="str">
        <f>IFERROR(__xludf.DUMMYFUNCTION("""COMPUTED_VALUE"""),"D33-1L")</f>
        <v>D33-1L</v>
      </c>
      <c r="AA328" s="131"/>
      <c r="AB328" s="131"/>
      <c r="AC328" s="131"/>
      <c r="AD328" s="131"/>
      <c r="AE328" s="131">
        <f>IFERROR(__xludf.DUMMYFUNCTION("""COMPUTED_VALUE"""),60.0)</f>
        <v>60</v>
      </c>
      <c r="AF328" s="131">
        <f>IFERROR(__xludf.DUMMYFUNCTION("""COMPUTED_VALUE"""),106.0)</f>
        <v>106</v>
      </c>
      <c r="AG328" s="131">
        <f>IFERROR(__xludf.DUMMYFUNCTION("""COMPUTED_VALUE"""),24.0)</f>
        <v>24</v>
      </c>
      <c r="AH328" s="131">
        <f>IFERROR(__xludf.DUMMYFUNCTION("""COMPUTED_VALUE"""),24.0)</f>
        <v>24</v>
      </c>
      <c r="AI328" s="131">
        <f>IFERROR(__xludf.DUMMYFUNCTION("""COMPUTED_VALUE"""),219.0)</f>
        <v>219</v>
      </c>
      <c r="AJ328" s="131"/>
      <c r="AK328" s="131"/>
    </row>
    <row r="329">
      <c r="A329" s="145" t="str">
        <f>IFERROR(__xludf.DUMMYFUNCTION("""COMPUTED_VALUE"""),"N")</f>
        <v>N</v>
      </c>
      <c r="B329" s="146" t="str">
        <f>IFERROR(__xludf.DUMMYFUNCTION("""COMPUTED_VALUE"""),"5")</f>
        <v>5</v>
      </c>
      <c r="C329" s="146"/>
      <c r="D329" s="147">
        <f>IFERROR(__xludf.DUMMYFUNCTION("""COMPUTED_VALUE"""),45714.0)</f>
        <v>45714</v>
      </c>
      <c r="E329" s="147">
        <f>IFERROR(__xludf.DUMMYFUNCTION("""COMPUTED_VALUE"""),45721.0)</f>
        <v>45721</v>
      </c>
      <c r="F329" s="147">
        <f>IFERROR(__xludf.DUMMYFUNCTION("""COMPUTED_VALUE"""),45742.0)</f>
        <v>45742</v>
      </c>
      <c r="G329" s="146" t="str">
        <f>IFERROR(__xludf.DUMMYFUNCTION("""COMPUTED_VALUE"""),"D33-1L")</f>
        <v>D33-1L</v>
      </c>
      <c r="H329" s="148"/>
      <c r="I329" s="148"/>
      <c r="J329" s="146"/>
      <c r="K329" s="146"/>
      <c r="L329" s="146">
        <f>IFERROR(__xludf.DUMMYFUNCTION("""COMPUTED_VALUE"""),60.0)</f>
        <v>60</v>
      </c>
      <c r="M329" s="146">
        <f>IFERROR(__xludf.DUMMYFUNCTION("""COMPUTED_VALUE"""),106.0)</f>
        <v>106</v>
      </c>
      <c r="N329" s="146">
        <f>IFERROR(__xludf.DUMMYFUNCTION("""COMPUTED_VALUE"""),24.0)</f>
        <v>24</v>
      </c>
      <c r="O329" s="146">
        <f>IFERROR(__xludf.DUMMYFUNCTION("""COMPUTED_VALUE"""),24.0)</f>
        <v>24</v>
      </c>
      <c r="P329" s="146">
        <f>IFERROR(__xludf.DUMMYFUNCTION("""COMPUTED_VALUE"""),219.0)</f>
        <v>219</v>
      </c>
      <c r="Q329" s="146"/>
      <c r="R329" s="146"/>
      <c r="T329" s="131" t="str">
        <f>IFERROR(__xludf.DUMMYFUNCTION("""COMPUTED_VALUE"""),"N")</f>
        <v>N</v>
      </c>
      <c r="U329" s="131" t="str">
        <f>IFERROR(__xludf.DUMMYFUNCTION("""COMPUTED_VALUE"""),"5")</f>
        <v>5</v>
      </c>
      <c r="V329" s="131"/>
      <c r="W329" s="144">
        <f>IFERROR(__xludf.DUMMYFUNCTION("""COMPUTED_VALUE"""),45714.0)</f>
        <v>45714</v>
      </c>
      <c r="X329" s="144">
        <f>IFERROR(__xludf.DUMMYFUNCTION("""COMPUTED_VALUE"""),45721.0)</f>
        <v>45721</v>
      </c>
      <c r="Y329" s="144">
        <f>IFERROR(__xludf.DUMMYFUNCTION("""COMPUTED_VALUE"""),45742.0)</f>
        <v>45742</v>
      </c>
      <c r="Z329" s="131" t="str">
        <f>IFERROR(__xludf.DUMMYFUNCTION("""COMPUTED_VALUE"""),"D33-1L")</f>
        <v>D33-1L</v>
      </c>
      <c r="AA329" s="131"/>
      <c r="AB329" s="131"/>
      <c r="AC329" s="131"/>
      <c r="AD329" s="131"/>
      <c r="AE329" s="131">
        <f>IFERROR(__xludf.DUMMYFUNCTION("""COMPUTED_VALUE"""),260.0)</f>
        <v>260</v>
      </c>
      <c r="AF329" s="131">
        <f>IFERROR(__xludf.DUMMYFUNCTION("""COMPUTED_VALUE"""),266.0)</f>
        <v>266</v>
      </c>
      <c r="AG329" s="131">
        <f>IFERROR(__xludf.DUMMYFUNCTION("""COMPUTED_VALUE"""),4.0)</f>
        <v>4</v>
      </c>
      <c r="AH329" s="131">
        <f>IFERROR(__xludf.DUMMYFUNCTION("""COMPUTED_VALUE"""),4.0)</f>
        <v>4</v>
      </c>
      <c r="AI329" s="131">
        <f>IFERROR(__xludf.DUMMYFUNCTION("""COMPUTED_VALUE"""),219.0)</f>
        <v>219</v>
      </c>
      <c r="AJ329" s="131"/>
      <c r="AK329" s="131"/>
    </row>
    <row r="330">
      <c r="A330" s="145" t="str">
        <f>IFERROR(__xludf.DUMMYFUNCTION("""COMPUTED_VALUE"""),"N")</f>
        <v>N</v>
      </c>
      <c r="B330" s="146" t="str">
        <f>IFERROR(__xludf.DUMMYFUNCTION("""COMPUTED_VALUE"""),"5")</f>
        <v>5</v>
      </c>
      <c r="C330" s="146"/>
      <c r="D330" s="147">
        <f>IFERROR(__xludf.DUMMYFUNCTION("""COMPUTED_VALUE"""),45714.0)</f>
        <v>45714</v>
      </c>
      <c r="E330" s="147">
        <f>IFERROR(__xludf.DUMMYFUNCTION("""COMPUTED_VALUE"""),45721.0)</f>
        <v>45721</v>
      </c>
      <c r="F330" s="147">
        <f>IFERROR(__xludf.DUMMYFUNCTION("""COMPUTED_VALUE"""),45742.0)</f>
        <v>45742</v>
      </c>
      <c r="G330" s="146" t="str">
        <f>IFERROR(__xludf.DUMMYFUNCTION("""COMPUTED_VALUE"""),"D33-1L")</f>
        <v>D33-1L</v>
      </c>
      <c r="H330" s="148"/>
      <c r="I330" s="148"/>
      <c r="J330" s="146"/>
      <c r="K330" s="146"/>
      <c r="L330" s="146">
        <f>IFERROR(__xludf.DUMMYFUNCTION("""COMPUTED_VALUE"""),260.0)</f>
        <v>260</v>
      </c>
      <c r="M330" s="146">
        <f>IFERROR(__xludf.DUMMYFUNCTION("""COMPUTED_VALUE"""),266.0)</f>
        <v>266</v>
      </c>
      <c r="N330" s="146">
        <f>IFERROR(__xludf.DUMMYFUNCTION("""COMPUTED_VALUE"""),4.0)</f>
        <v>4</v>
      </c>
      <c r="O330" s="146">
        <f>IFERROR(__xludf.DUMMYFUNCTION("""COMPUTED_VALUE"""),4.0)</f>
        <v>4</v>
      </c>
      <c r="P330" s="146">
        <f>IFERROR(__xludf.DUMMYFUNCTION("""COMPUTED_VALUE"""),219.0)</f>
        <v>219</v>
      </c>
      <c r="Q330" s="146"/>
      <c r="R330" s="146"/>
      <c r="T330" s="131" t="str">
        <f>IFERROR(__xludf.DUMMYFUNCTION("""COMPUTED_VALUE"""),"Y")</f>
        <v>Y</v>
      </c>
      <c r="U330" s="131" t="str">
        <f>IFERROR(__xludf.DUMMYFUNCTION("""COMPUTED_VALUE"""),"5")</f>
        <v>5</v>
      </c>
      <c r="V330" s="131"/>
      <c r="W330" s="144">
        <f>IFERROR(__xludf.DUMMYFUNCTION("""COMPUTED_VALUE"""),45714.0)</f>
        <v>45714</v>
      </c>
      <c r="X330" s="144">
        <f>IFERROR(__xludf.DUMMYFUNCTION("""COMPUTED_VALUE"""),45721.0)</f>
        <v>45721</v>
      </c>
      <c r="Y330" s="144">
        <f>IFERROR(__xludf.DUMMYFUNCTION("""COMPUTED_VALUE"""),45742.0)</f>
        <v>45742</v>
      </c>
      <c r="Z330" s="131" t="str">
        <f>IFERROR(__xludf.DUMMYFUNCTION("""COMPUTED_VALUE"""),"D41-5R")</f>
        <v>D41-5R</v>
      </c>
      <c r="AA330" s="131">
        <f>IFERROR(__xludf.DUMMYFUNCTION("""COMPUTED_VALUE"""),251.0)</f>
        <v>251</v>
      </c>
      <c r="AB330" s="131">
        <f>IFERROR(__xludf.DUMMYFUNCTION("""COMPUTED_VALUE"""),253.0)</f>
        <v>253</v>
      </c>
      <c r="AC330" s="131">
        <f>IFERROR(__xludf.DUMMYFUNCTION("""COMPUTED_VALUE"""),2.0)</f>
        <v>2</v>
      </c>
      <c r="AD330" s="131">
        <f>IFERROR(__xludf.DUMMYFUNCTION("""COMPUTED_VALUE"""),2.0)</f>
        <v>2</v>
      </c>
      <c r="AE330" s="131">
        <f>IFERROR(__xludf.DUMMYFUNCTION("""COMPUTED_VALUE"""),176.0)</f>
        <v>176</v>
      </c>
      <c r="AF330" s="131">
        <f>IFERROR(__xludf.DUMMYFUNCTION("""COMPUTED_VALUE"""),248.0)</f>
        <v>248</v>
      </c>
      <c r="AG330" s="131">
        <f>IFERROR(__xludf.DUMMYFUNCTION("""COMPUTED_VALUE"""),37.0)</f>
        <v>37</v>
      </c>
      <c r="AH330" s="131">
        <f>IFERROR(__xludf.DUMMYFUNCTION("""COMPUTED_VALUE"""),37.0)</f>
        <v>37</v>
      </c>
      <c r="AI330" s="131">
        <f>IFERROR(__xludf.DUMMYFUNCTION("""COMPUTED_VALUE"""),220.0)</f>
        <v>220</v>
      </c>
      <c r="AJ330" s="131"/>
      <c r="AK330" s="131"/>
    </row>
    <row r="331">
      <c r="A331" s="145" t="str">
        <f>IFERROR(__xludf.DUMMYFUNCTION("""COMPUTED_VALUE"""),"Y")</f>
        <v>Y</v>
      </c>
      <c r="B331" s="146" t="str">
        <f>IFERROR(__xludf.DUMMYFUNCTION("""COMPUTED_VALUE"""),"5")</f>
        <v>5</v>
      </c>
      <c r="C331" s="146"/>
      <c r="D331" s="147">
        <f>IFERROR(__xludf.DUMMYFUNCTION("""COMPUTED_VALUE"""),45714.0)</f>
        <v>45714</v>
      </c>
      <c r="E331" s="147">
        <f>IFERROR(__xludf.DUMMYFUNCTION("""COMPUTED_VALUE"""),45721.0)</f>
        <v>45721</v>
      </c>
      <c r="F331" s="147">
        <f>IFERROR(__xludf.DUMMYFUNCTION("""COMPUTED_VALUE"""),45742.0)</f>
        <v>45742</v>
      </c>
      <c r="G331" s="146" t="str">
        <f>IFERROR(__xludf.DUMMYFUNCTION("""COMPUTED_VALUE"""),"D41-5R")</f>
        <v>D41-5R</v>
      </c>
      <c r="H331" s="148">
        <f>IFERROR(__xludf.DUMMYFUNCTION("""COMPUTED_VALUE"""),251.0)</f>
        <v>251</v>
      </c>
      <c r="I331" s="148">
        <f>IFERROR(__xludf.DUMMYFUNCTION("""COMPUTED_VALUE"""),253.0)</f>
        <v>253</v>
      </c>
      <c r="J331" s="146">
        <f>IFERROR(__xludf.DUMMYFUNCTION("""COMPUTED_VALUE"""),2.0)</f>
        <v>2</v>
      </c>
      <c r="K331" s="146">
        <f>IFERROR(__xludf.DUMMYFUNCTION("""COMPUTED_VALUE"""),2.0)</f>
        <v>2</v>
      </c>
      <c r="L331" s="146">
        <f>IFERROR(__xludf.DUMMYFUNCTION("""COMPUTED_VALUE"""),176.0)</f>
        <v>176</v>
      </c>
      <c r="M331" s="146">
        <f>IFERROR(__xludf.DUMMYFUNCTION("""COMPUTED_VALUE"""),248.0)</f>
        <v>248</v>
      </c>
      <c r="N331" s="146">
        <f>IFERROR(__xludf.DUMMYFUNCTION("""COMPUTED_VALUE"""),37.0)</f>
        <v>37</v>
      </c>
      <c r="O331" s="146">
        <f>IFERROR(__xludf.DUMMYFUNCTION("""COMPUTED_VALUE"""),37.0)</f>
        <v>37</v>
      </c>
      <c r="P331" s="146">
        <f>IFERROR(__xludf.DUMMYFUNCTION("""COMPUTED_VALUE"""),220.0)</f>
        <v>220</v>
      </c>
      <c r="Q331" s="146"/>
      <c r="R331" s="146"/>
      <c r="T331" s="131" t="str">
        <f>IFERROR(__xludf.DUMMYFUNCTION("""COMPUTED_VALUE"""),"Y")</f>
        <v>Y</v>
      </c>
      <c r="U331" s="131" t="str">
        <f>IFERROR(__xludf.DUMMYFUNCTION("""COMPUTED_VALUE"""),"5")</f>
        <v>5</v>
      </c>
      <c r="V331" s="131"/>
      <c r="W331" s="144">
        <f>IFERROR(__xludf.DUMMYFUNCTION("""COMPUTED_VALUE"""),45714.0)</f>
        <v>45714</v>
      </c>
      <c r="X331" s="144">
        <f>IFERROR(__xludf.DUMMYFUNCTION("""COMPUTED_VALUE"""),45721.0)</f>
        <v>45721</v>
      </c>
      <c r="Y331" s="144">
        <f>IFERROR(__xludf.DUMMYFUNCTION("""COMPUTED_VALUE"""),45742.0)</f>
        <v>45742</v>
      </c>
      <c r="Z331" s="131" t="str">
        <f>IFERROR(__xludf.DUMMYFUNCTION("""COMPUTED_VALUE"""),"D41-5R")</f>
        <v>D41-5R</v>
      </c>
      <c r="AA331" s="131"/>
      <c r="AB331" s="131"/>
      <c r="AC331" s="131"/>
      <c r="AD331" s="131"/>
      <c r="AE331" s="131">
        <f>IFERROR(__xludf.DUMMYFUNCTION("""COMPUTED_VALUE"""),254.0)</f>
        <v>254</v>
      </c>
      <c r="AF331" s="131">
        <f>IFERROR(__xludf.DUMMYFUNCTION("""COMPUTED_VALUE"""),308.0)</f>
        <v>308</v>
      </c>
      <c r="AG331" s="131">
        <f>IFERROR(__xludf.DUMMYFUNCTION("""COMPUTED_VALUE"""),28.0)</f>
        <v>28</v>
      </c>
      <c r="AH331" s="131">
        <f>IFERROR(__xludf.DUMMYFUNCTION("""COMPUTED_VALUE"""),28.0)</f>
        <v>28</v>
      </c>
      <c r="AI331" s="131">
        <f>IFERROR(__xludf.DUMMYFUNCTION("""COMPUTED_VALUE"""),220.0)</f>
        <v>220</v>
      </c>
      <c r="AJ331" s="131"/>
      <c r="AK331" s="131"/>
    </row>
    <row r="332">
      <c r="A332" s="145" t="str">
        <f>IFERROR(__xludf.DUMMYFUNCTION("""COMPUTED_VALUE"""),"Y")</f>
        <v>Y</v>
      </c>
      <c r="B332" s="146" t="str">
        <f>IFERROR(__xludf.DUMMYFUNCTION("""COMPUTED_VALUE"""),"5")</f>
        <v>5</v>
      </c>
      <c r="C332" s="146"/>
      <c r="D332" s="147">
        <f>IFERROR(__xludf.DUMMYFUNCTION("""COMPUTED_VALUE"""),45714.0)</f>
        <v>45714</v>
      </c>
      <c r="E332" s="147">
        <f>IFERROR(__xludf.DUMMYFUNCTION("""COMPUTED_VALUE"""),45721.0)</f>
        <v>45721</v>
      </c>
      <c r="F332" s="147">
        <f>IFERROR(__xludf.DUMMYFUNCTION("""COMPUTED_VALUE"""),45742.0)</f>
        <v>45742</v>
      </c>
      <c r="G332" s="146" t="str">
        <f>IFERROR(__xludf.DUMMYFUNCTION("""COMPUTED_VALUE"""),"D41-5R")</f>
        <v>D41-5R</v>
      </c>
      <c r="H332" s="148"/>
      <c r="I332" s="148"/>
      <c r="J332" s="146"/>
      <c r="K332" s="146"/>
      <c r="L332" s="146">
        <f>IFERROR(__xludf.DUMMYFUNCTION("""COMPUTED_VALUE"""),254.0)</f>
        <v>254</v>
      </c>
      <c r="M332" s="146">
        <f>IFERROR(__xludf.DUMMYFUNCTION("""COMPUTED_VALUE"""),308.0)</f>
        <v>308</v>
      </c>
      <c r="N332" s="146">
        <f>IFERROR(__xludf.DUMMYFUNCTION("""COMPUTED_VALUE"""),28.0)</f>
        <v>28</v>
      </c>
      <c r="O332" s="146">
        <f>IFERROR(__xludf.DUMMYFUNCTION("""COMPUTED_VALUE"""),28.0)</f>
        <v>28</v>
      </c>
      <c r="P332" s="146">
        <f>IFERROR(__xludf.DUMMYFUNCTION("""COMPUTED_VALUE"""),220.0)</f>
        <v>220</v>
      </c>
      <c r="Q332" s="146"/>
      <c r="R332" s="146"/>
      <c r="T332" s="131" t="str">
        <f>IFERROR(__xludf.DUMMYFUNCTION("""COMPUTED_VALUE"""),"Y")</f>
        <v>Y</v>
      </c>
      <c r="U332" s="131" t="str">
        <f>IFERROR(__xludf.DUMMYFUNCTION("""COMPUTED_VALUE"""),"5")</f>
        <v>5</v>
      </c>
      <c r="V332" s="131"/>
      <c r="W332" s="144">
        <f>IFERROR(__xludf.DUMMYFUNCTION("""COMPUTED_VALUE"""),45714.0)</f>
        <v>45714</v>
      </c>
      <c r="X332" s="144">
        <f>IFERROR(__xludf.DUMMYFUNCTION("""COMPUTED_VALUE"""),45721.0)</f>
        <v>45721</v>
      </c>
      <c r="Y332" s="144">
        <f>IFERROR(__xludf.DUMMYFUNCTION("""COMPUTED_VALUE"""),45742.0)</f>
        <v>45742</v>
      </c>
      <c r="Z332" s="131" t="str">
        <f>IFERROR(__xludf.DUMMYFUNCTION("""COMPUTED_VALUE"""),"D41-5R")</f>
        <v>D41-5R</v>
      </c>
      <c r="AA332" s="131"/>
      <c r="AB332" s="131"/>
      <c r="AC332" s="131"/>
      <c r="AD332" s="131"/>
      <c r="AE332" s="131">
        <f>IFERROR(__xludf.DUMMYFUNCTION("""COMPUTED_VALUE"""),250.0)</f>
        <v>250</v>
      </c>
      <c r="AF332" s="131">
        <f>IFERROR(__xludf.DUMMYFUNCTION("""COMPUTED_VALUE"""),252.0)</f>
        <v>252</v>
      </c>
      <c r="AG332" s="131">
        <f>IFERROR(__xludf.DUMMYFUNCTION("""COMPUTED_VALUE"""),2.0)</f>
        <v>2</v>
      </c>
      <c r="AH332" s="131">
        <f>IFERROR(__xludf.DUMMYFUNCTION("""COMPUTED_VALUE"""),2.0)</f>
        <v>2</v>
      </c>
      <c r="AI332" s="131">
        <f>IFERROR(__xludf.DUMMYFUNCTION("""COMPUTED_VALUE"""),220.0)</f>
        <v>220</v>
      </c>
      <c r="AJ332" s="131"/>
      <c r="AK332" s="131"/>
    </row>
    <row r="333">
      <c r="A333" s="145" t="str">
        <f>IFERROR(__xludf.DUMMYFUNCTION("""COMPUTED_VALUE"""),"Y")</f>
        <v>Y</v>
      </c>
      <c r="B333" s="146" t="str">
        <f>IFERROR(__xludf.DUMMYFUNCTION("""COMPUTED_VALUE"""),"5")</f>
        <v>5</v>
      </c>
      <c r="C333" s="146"/>
      <c r="D333" s="147">
        <f>IFERROR(__xludf.DUMMYFUNCTION("""COMPUTED_VALUE"""),45714.0)</f>
        <v>45714</v>
      </c>
      <c r="E333" s="147">
        <f>IFERROR(__xludf.DUMMYFUNCTION("""COMPUTED_VALUE"""),45721.0)</f>
        <v>45721</v>
      </c>
      <c r="F333" s="147">
        <f>IFERROR(__xludf.DUMMYFUNCTION("""COMPUTED_VALUE"""),45742.0)</f>
        <v>45742</v>
      </c>
      <c r="G333" s="146" t="str">
        <f>IFERROR(__xludf.DUMMYFUNCTION("""COMPUTED_VALUE"""),"D41-5R")</f>
        <v>D41-5R</v>
      </c>
      <c r="H333" s="148"/>
      <c r="I333" s="148"/>
      <c r="J333" s="146"/>
      <c r="K333" s="146"/>
      <c r="L333" s="146">
        <f>IFERROR(__xludf.DUMMYFUNCTION("""COMPUTED_VALUE"""),250.0)</f>
        <v>250</v>
      </c>
      <c r="M333" s="146">
        <f>IFERROR(__xludf.DUMMYFUNCTION("""COMPUTED_VALUE"""),252.0)</f>
        <v>252</v>
      </c>
      <c r="N333" s="146">
        <f>IFERROR(__xludf.DUMMYFUNCTION("""COMPUTED_VALUE"""),2.0)</f>
        <v>2</v>
      </c>
      <c r="O333" s="146">
        <f>IFERROR(__xludf.DUMMYFUNCTION("""COMPUTED_VALUE"""),2.0)</f>
        <v>2</v>
      </c>
      <c r="P333" s="146">
        <f>IFERROR(__xludf.DUMMYFUNCTION("""COMPUTED_VALUE"""),220.0)</f>
        <v>220</v>
      </c>
      <c r="Q333" s="146"/>
      <c r="R333" s="146"/>
      <c r="T333" s="131" t="str">
        <f>IFERROR(__xludf.DUMMYFUNCTION("""COMPUTED_VALUE"""),"Y")</f>
        <v>Y</v>
      </c>
      <c r="U333" s="131" t="str">
        <f>IFERROR(__xludf.DUMMYFUNCTION("""COMPUTED_VALUE"""),"5")</f>
        <v>5</v>
      </c>
      <c r="V333" s="131"/>
      <c r="W333" s="144">
        <f>IFERROR(__xludf.DUMMYFUNCTION("""COMPUTED_VALUE"""),45714.0)</f>
        <v>45714</v>
      </c>
      <c r="X333" s="144">
        <f>IFERROR(__xludf.DUMMYFUNCTION("""COMPUTED_VALUE"""),45721.0)</f>
        <v>45721</v>
      </c>
      <c r="Y333" s="144">
        <f>IFERROR(__xludf.DUMMYFUNCTION("""COMPUTED_VALUE"""),45742.0)</f>
        <v>45742</v>
      </c>
      <c r="Z333" s="131" t="str">
        <f>IFERROR(__xludf.DUMMYFUNCTION("""COMPUTED_VALUE"""),"D41-3R")</f>
        <v>D41-3R</v>
      </c>
      <c r="AA333" s="131">
        <f>IFERROR(__xludf.DUMMYFUNCTION("""COMPUTED_VALUE"""),1.0)</f>
        <v>1</v>
      </c>
      <c r="AB333" s="131">
        <f>IFERROR(__xludf.DUMMYFUNCTION("""COMPUTED_VALUE"""),95.0)</f>
        <v>95</v>
      </c>
      <c r="AC333" s="131">
        <f>IFERROR(__xludf.DUMMYFUNCTION("""COMPUTED_VALUE"""),48.0)</f>
        <v>48</v>
      </c>
      <c r="AD333" s="131">
        <f>IFERROR(__xludf.DUMMYFUNCTION("""COMPUTED_VALUE"""),48.0)</f>
        <v>48</v>
      </c>
      <c r="AE333" s="131"/>
      <c r="AF333" s="131"/>
      <c r="AG333" s="131"/>
      <c r="AH333" s="131"/>
      <c r="AI333" s="131">
        <f>IFERROR(__xludf.DUMMYFUNCTION("""COMPUTED_VALUE"""),221.0)</f>
        <v>221</v>
      </c>
      <c r="AJ333" s="131"/>
      <c r="AK333" s="131"/>
    </row>
    <row r="334">
      <c r="A334" s="145" t="str">
        <f>IFERROR(__xludf.DUMMYFUNCTION("""COMPUTED_VALUE"""),"Y")</f>
        <v>Y</v>
      </c>
      <c r="B334" s="146" t="str">
        <f>IFERROR(__xludf.DUMMYFUNCTION("""COMPUTED_VALUE"""),"5")</f>
        <v>5</v>
      </c>
      <c r="C334" s="146"/>
      <c r="D334" s="147">
        <f>IFERROR(__xludf.DUMMYFUNCTION("""COMPUTED_VALUE"""),45714.0)</f>
        <v>45714</v>
      </c>
      <c r="E334" s="147">
        <f>IFERROR(__xludf.DUMMYFUNCTION("""COMPUTED_VALUE"""),45721.0)</f>
        <v>45721</v>
      </c>
      <c r="F334" s="147">
        <f>IFERROR(__xludf.DUMMYFUNCTION("""COMPUTED_VALUE"""),45742.0)</f>
        <v>45742</v>
      </c>
      <c r="G334" s="146" t="str">
        <f>IFERROR(__xludf.DUMMYFUNCTION("""COMPUTED_VALUE"""),"D41-3R")</f>
        <v>D41-3R</v>
      </c>
      <c r="H334" s="148">
        <f>IFERROR(__xludf.DUMMYFUNCTION("""COMPUTED_VALUE"""),1.0)</f>
        <v>1</v>
      </c>
      <c r="I334" s="148">
        <f>IFERROR(__xludf.DUMMYFUNCTION("""COMPUTED_VALUE"""),95.0)</f>
        <v>95</v>
      </c>
      <c r="J334" s="146">
        <f>IFERROR(__xludf.DUMMYFUNCTION("""COMPUTED_VALUE"""),48.0)</f>
        <v>48</v>
      </c>
      <c r="K334" s="146">
        <f>IFERROR(__xludf.DUMMYFUNCTION("""COMPUTED_VALUE"""),48.0)</f>
        <v>48</v>
      </c>
      <c r="L334" s="146"/>
      <c r="M334" s="146"/>
      <c r="N334" s="146"/>
      <c r="O334" s="146"/>
      <c r="P334" s="146">
        <f>IFERROR(__xludf.DUMMYFUNCTION("""COMPUTED_VALUE"""),221.0)</f>
        <v>221</v>
      </c>
      <c r="Q334" s="146"/>
      <c r="R334" s="146"/>
      <c r="T334" s="131" t="str">
        <f>IFERROR(__xludf.DUMMYFUNCTION("""COMPUTED_VALUE"""),"Y")</f>
        <v>Y</v>
      </c>
      <c r="U334" s="131" t="str">
        <f>IFERROR(__xludf.DUMMYFUNCTION("""COMPUTED_VALUE"""),"6")</f>
        <v>6</v>
      </c>
      <c r="V334" s="131"/>
      <c r="W334" s="144">
        <f>IFERROR(__xludf.DUMMYFUNCTION("""COMPUTED_VALUE"""),45714.0)</f>
        <v>45714</v>
      </c>
      <c r="X334" s="144">
        <f>IFERROR(__xludf.DUMMYFUNCTION("""COMPUTED_VALUE"""),45721.0)</f>
        <v>45721</v>
      </c>
      <c r="Y334" s="144">
        <f>IFERROR(__xludf.DUMMYFUNCTION("""COMPUTED_VALUE"""),45742.0)</f>
        <v>45742</v>
      </c>
      <c r="Z334" s="131" t="str">
        <f>IFERROR(__xludf.DUMMYFUNCTION("""COMPUTED_VALUE"""),"DC38")</f>
        <v>DC38</v>
      </c>
      <c r="AA334" s="131"/>
      <c r="AB334" s="131"/>
      <c r="AC334" s="131"/>
      <c r="AD334" s="131"/>
      <c r="AE334" s="131">
        <f>IFERROR(__xludf.DUMMYFUNCTION("""COMPUTED_VALUE"""),632.0)</f>
        <v>632</v>
      </c>
      <c r="AF334" s="131">
        <f>IFERROR(__xludf.DUMMYFUNCTION("""COMPUTED_VALUE"""),774.0)</f>
        <v>774</v>
      </c>
      <c r="AG334" s="131">
        <f>IFERROR(__xludf.DUMMYFUNCTION("""COMPUTED_VALUE"""),72.0)</f>
        <v>72</v>
      </c>
      <c r="AH334" s="131">
        <f>IFERROR(__xludf.DUMMYFUNCTION("""COMPUTED_VALUE"""),72.0)</f>
        <v>72</v>
      </c>
      <c r="AI334" s="131">
        <f>IFERROR(__xludf.DUMMYFUNCTION("""COMPUTED_VALUE"""),216.0)</f>
        <v>216</v>
      </c>
      <c r="AJ334" s="131"/>
      <c r="AK334" s="131"/>
    </row>
    <row r="335">
      <c r="A335" s="145" t="str">
        <f>IFERROR(__xludf.DUMMYFUNCTION("""COMPUTED_VALUE"""),"Y")</f>
        <v>Y</v>
      </c>
      <c r="B335" s="146" t="str">
        <f>IFERROR(__xludf.DUMMYFUNCTION("""COMPUTED_VALUE"""),"6")</f>
        <v>6</v>
      </c>
      <c r="C335" s="146"/>
      <c r="D335" s="147">
        <f>IFERROR(__xludf.DUMMYFUNCTION("""COMPUTED_VALUE"""),45714.0)</f>
        <v>45714</v>
      </c>
      <c r="E335" s="147">
        <f>IFERROR(__xludf.DUMMYFUNCTION("""COMPUTED_VALUE"""),45721.0)</f>
        <v>45721</v>
      </c>
      <c r="F335" s="147">
        <f>IFERROR(__xludf.DUMMYFUNCTION("""COMPUTED_VALUE"""),45742.0)</f>
        <v>45742</v>
      </c>
      <c r="G335" s="146" t="str">
        <f>IFERROR(__xludf.DUMMYFUNCTION("""COMPUTED_VALUE"""),"DC38")</f>
        <v>DC38</v>
      </c>
      <c r="H335" s="148"/>
      <c r="I335" s="148"/>
      <c r="J335" s="146"/>
      <c r="K335" s="146"/>
      <c r="L335" s="146">
        <f>IFERROR(__xludf.DUMMYFUNCTION("""COMPUTED_VALUE"""),632.0)</f>
        <v>632</v>
      </c>
      <c r="M335" s="146">
        <f>IFERROR(__xludf.DUMMYFUNCTION("""COMPUTED_VALUE"""),774.0)</f>
        <v>774</v>
      </c>
      <c r="N335" s="146">
        <f>IFERROR(__xludf.DUMMYFUNCTION("""COMPUTED_VALUE"""),72.0)</f>
        <v>72</v>
      </c>
      <c r="O335" s="146">
        <f>IFERROR(__xludf.DUMMYFUNCTION("""COMPUTED_VALUE"""),72.0)</f>
        <v>72</v>
      </c>
      <c r="P335" s="146">
        <f>IFERROR(__xludf.DUMMYFUNCTION("""COMPUTED_VALUE"""),216.0)</f>
        <v>216</v>
      </c>
      <c r="Q335" s="146"/>
      <c r="R335" s="146"/>
      <c r="T335" s="131" t="str">
        <f>IFERROR(__xludf.DUMMYFUNCTION("""COMPUTED_VALUE"""),"Y")</f>
        <v>Y</v>
      </c>
      <c r="U335" s="131"/>
      <c r="V335" s="131" t="str">
        <f>IFERROR(__xludf.DUMMYFUNCTION("""COMPUTED_VALUE"""),"805-810")</f>
        <v>805-810</v>
      </c>
      <c r="W335" s="144">
        <f>IFERROR(__xludf.DUMMYFUNCTION("""COMPUTED_VALUE"""),45715.0)</f>
        <v>45715</v>
      </c>
      <c r="X335" s="144">
        <f>IFERROR(__xludf.DUMMYFUNCTION("""COMPUTED_VALUE"""),45722.0)</f>
        <v>45722</v>
      </c>
      <c r="Y335" s="144">
        <f>IFERROR(__xludf.DUMMYFUNCTION("""COMPUTED_VALUE"""),45743.0)</f>
        <v>45743</v>
      </c>
      <c r="Z335" s="131" t="str">
        <f>IFERROR(__xludf.DUMMYFUNCTION("""COMPUTED_VALUE"""),"D40-2L-1")</f>
        <v>D40-2L-1</v>
      </c>
      <c r="AA335" s="131">
        <f>IFERROR(__xludf.DUMMYFUNCTION("""COMPUTED_VALUE"""),5.0)</f>
        <v>5</v>
      </c>
      <c r="AB335" s="131">
        <f>IFERROR(__xludf.DUMMYFUNCTION("""COMPUTED_VALUE"""),139.0)</f>
        <v>139</v>
      </c>
      <c r="AC335" s="131">
        <f>IFERROR(__xludf.DUMMYFUNCTION("""COMPUTED_VALUE"""),68.0)</f>
        <v>68</v>
      </c>
      <c r="AD335" s="131">
        <f>IFERROR(__xludf.DUMMYFUNCTION("""COMPUTED_VALUE"""),68.0)</f>
        <v>68</v>
      </c>
      <c r="AE335" s="131"/>
      <c r="AF335" s="131"/>
      <c r="AG335" s="131"/>
      <c r="AH335" s="131"/>
      <c r="AI335" s="131">
        <f>IFERROR(__xludf.DUMMYFUNCTION("""COMPUTED_VALUE"""),227.0)</f>
        <v>227</v>
      </c>
      <c r="AJ335" s="131"/>
      <c r="AK335" s="131"/>
    </row>
    <row r="336">
      <c r="A336" s="145" t="str">
        <f>IFERROR(__xludf.DUMMYFUNCTION("""COMPUTED_VALUE"""),"Y")</f>
        <v>Y</v>
      </c>
      <c r="B336" s="146"/>
      <c r="C336" s="146" t="str">
        <f>IFERROR(__xludf.DUMMYFUNCTION("""COMPUTED_VALUE"""),"805-810")</f>
        <v>805-810</v>
      </c>
      <c r="D336" s="147">
        <f>IFERROR(__xludf.DUMMYFUNCTION("""COMPUTED_VALUE"""),45715.0)</f>
        <v>45715</v>
      </c>
      <c r="E336" s="147">
        <f>IFERROR(__xludf.DUMMYFUNCTION("""COMPUTED_VALUE"""),45722.0)</f>
        <v>45722</v>
      </c>
      <c r="F336" s="147">
        <f>IFERROR(__xludf.DUMMYFUNCTION("""COMPUTED_VALUE"""),45743.0)</f>
        <v>45743</v>
      </c>
      <c r="G336" s="146" t="str">
        <f>IFERROR(__xludf.DUMMYFUNCTION("""COMPUTED_VALUE"""),"D40-2L-1")</f>
        <v>D40-2L-1</v>
      </c>
      <c r="H336" s="148">
        <f>IFERROR(__xludf.DUMMYFUNCTION("""COMPUTED_VALUE"""),5.0)</f>
        <v>5</v>
      </c>
      <c r="I336" s="148">
        <f>IFERROR(__xludf.DUMMYFUNCTION("""COMPUTED_VALUE"""),139.0)</f>
        <v>139</v>
      </c>
      <c r="J336" s="146">
        <f>IFERROR(__xludf.DUMMYFUNCTION("""COMPUTED_VALUE"""),68.0)</f>
        <v>68</v>
      </c>
      <c r="K336" s="146">
        <f>IFERROR(__xludf.DUMMYFUNCTION("""COMPUTED_VALUE"""),68.0)</f>
        <v>68</v>
      </c>
      <c r="L336" s="146"/>
      <c r="M336" s="146"/>
      <c r="N336" s="146"/>
      <c r="O336" s="146"/>
      <c r="P336" s="146">
        <f>IFERROR(__xludf.DUMMYFUNCTION("""COMPUTED_VALUE"""),227.0)</f>
        <v>227</v>
      </c>
      <c r="Q336" s="146"/>
      <c r="R336" s="146"/>
      <c r="T336" s="131" t="str">
        <f>IFERROR(__xludf.DUMMYFUNCTION("""COMPUTED_VALUE"""),"N")</f>
        <v>N</v>
      </c>
      <c r="U336" s="131" t="str">
        <f>IFERROR(__xludf.DUMMYFUNCTION("""COMPUTED_VALUE"""),"5")</f>
        <v>5</v>
      </c>
      <c r="V336" s="131"/>
      <c r="W336" s="144">
        <f>IFERROR(__xludf.DUMMYFUNCTION("""COMPUTED_VALUE"""),45715.0)</f>
        <v>45715</v>
      </c>
      <c r="X336" s="144">
        <f>IFERROR(__xludf.DUMMYFUNCTION("""COMPUTED_VALUE"""),45722.0)</f>
        <v>45722</v>
      </c>
      <c r="Y336" s="144">
        <f>IFERROR(__xludf.DUMMYFUNCTION("""COMPUTED_VALUE"""),45743.0)</f>
        <v>45743</v>
      </c>
      <c r="Z336" s="131" t="str">
        <f>IFERROR(__xludf.DUMMYFUNCTION("""COMPUTED_VALUE"""),"D33-1L")</f>
        <v>D33-1L</v>
      </c>
      <c r="AA336" s="131">
        <f>IFERROR(__xludf.DUMMYFUNCTION("""COMPUTED_VALUE"""),291.0)</f>
        <v>291</v>
      </c>
      <c r="AB336" s="131">
        <f>IFERROR(__xludf.DUMMYFUNCTION("""COMPUTED_VALUE"""),299.0)</f>
        <v>299</v>
      </c>
      <c r="AC336" s="131">
        <f>IFERROR(__xludf.DUMMYFUNCTION("""COMPUTED_VALUE"""),5.0)</f>
        <v>5</v>
      </c>
      <c r="AD336" s="131">
        <f>IFERROR(__xludf.DUMMYFUNCTION("""COMPUTED_VALUE"""),5.0)</f>
        <v>5</v>
      </c>
      <c r="AE336" s="131">
        <f>IFERROR(__xludf.DUMMYFUNCTION("""COMPUTED_VALUE"""),268.0)</f>
        <v>268</v>
      </c>
      <c r="AF336" s="131">
        <f>IFERROR(__xludf.DUMMYFUNCTION("""COMPUTED_VALUE"""),290.0)</f>
        <v>290</v>
      </c>
      <c r="AG336" s="131">
        <f>IFERROR(__xludf.DUMMYFUNCTION("""COMPUTED_VALUE"""),12.0)</f>
        <v>12</v>
      </c>
      <c r="AH336" s="131">
        <f>IFERROR(__xludf.DUMMYFUNCTION("""COMPUTED_VALUE"""),12.0)</f>
        <v>12</v>
      </c>
      <c r="AI336" s="131">
        <f>IFERROR(__xludf.DUMMYFUNCTION("""COMPUTED_VALUE"""),223.0)</f>
        <v>223</v>
      </c>
      <c r="AJ336" s="131"/>
      <c r="AK336" s="131"/>
    </row>
    <row r="337">
      <c r="A337" s="145" t="str">
        <f>IFERROR(__xludf.DUMMYFUNCTION("""COMPUTED_VALUE"""),"N")</f>
        <v>N</v>
      </c>
      <c r="B337" s="146" t="str">
        <f>IFERROR(__xludf.DUMMYFUNCTION("""COMPUTED_VALUE"""),"5")</f>
        <v>5</v>
      </c>
      <c r="C337" s="146"/>
      <c r="D337" s="147">
        <f>IFERROR(__xludf.DUMMYFUNCTION("""COMPUTED_VALUE"""),45715.0)</f>
        <v>45715</v>
      </c>
      <c r="E337" s="147">
        <f>IFERROR(__xludf.DUMMYFUNCTION("""COMPUTED_VALUE"""),45722.0)</f>
        <v>45722</v>
      </c>
      <c r="F337" s="147">
        <f>IFERROR(__xludf.DUMMYFUNCTION("""COMPUTED_VALUE"""),45743.0)</f>
        <v>45743</v>
      </c>
      <c r="G337" s="146" t="str">
        <f>IFERROR(__xludf.DUMMYFUNCTION("""COMPUTED_VALUE"""),"D33-1L")</f>
        <v>D33-1L</v>
      </c>
      <c r="H337" s="148">
        <f>IFERROR(__xludf.DUMMYFUNCTION("""COMPUTED_VALUE"""),291.0)</f>
        <v>291</v>
      </c>
      <c r="I337" s="148">
        <f>IFERROR(__xludf.DUMMYFUNCTION("""COMPUTED_VALUE"""),299.0)</f>
        <v>299</v>
      </c>
      <c r="J337" s="146">
        <f>IFERROR(__xludf.DUMMYFUNCTION("""COMPUTED_VALUE"""),5.0)</f>
        <v>5</v>
      </c>
      <c r="K337" s="146">
        <f>IFERROR(__xludf.DUMMYFUNCTION("""COMPUTED_VALUE"""),5.0)</f>
        <v>5</v>
      </c>
      <c r="L337" s="146">
        <f>IFERROR(__xludf.DUMMYFUNCTION("""COMPUTED_VALUE"""),268.0)</f>
        <v>268</v>
      </c>
      <c r="M337" s="146">
        <f>IFERROR(__xludf.DUMMYFUNCTION("""COMPUTED_VALUE"""),290.0)</f>
        <v>290</v>
      </c>
      <c r="N337" s="146">
        <f>IFERROR(__xludf.DUMMYFUNCTION("""COMPUTED_VALUE"""),12.0)</f>
        <v>12</v>
      </c>
      <c r="O337" s="146">
        <f>IFERROR(__xludf.DUMMYFUNCTION("""COMPUTED_VALUE"""),12.0)</f>
        <v>12</v>
      </c>
      <c r="P337" s="146">
        <f>IFERROR(__xludf.DUMMYFUNCTION("""COMPUTED_VALUE"""),223.0)</f>
        <v>223</v>
      </c>
      <c r="Q337" s="146"/>
      <c r="R337" s="146"/>
      <c r="T337" s="131" t="str">
        <f>IFERROR(__xludf.DUMMYFUNCTION("""COMPUTED_VALUE"""),"N")</f>
        <v>N</v>
      </c>
      <c r="U337" s="131" t="str">
        <f>IFERROR(__xludf.DUMMYFUNCTION("""COMPUTED_VALUE"""),"5")</f>
        <v>5</v>
      </c>
      <c r="V337" s="131"/>
      <c r="W337" s="144">
        <f>IFERROR(__xludf.DUMMYFUNCTION("""COMPUTED_VALUE"""),45715.0)</f>
        <v>45715</v>
      </c>
      <c r="X337" s="144">
        <f>IFERROR(__xludf.DUMMYFUNCTION("""COMPUTED_VALUE"""),45722.0)</f>
        <v>45722</v>
      </c>
      <c r="Y337" s="144">
        <f>IFERROR(__xludf.DUMMYFUNCTION("""COMPUTED_VALUE"""),45743.0)</f>
        <v>45743</v>
      </c>
      <c r="Z337" s="131" t="str">
        <f>IFERROR(__xludf.DUMMYFUNCTION("""COMPUTED_VALUE"""),"D33-2L")</f>
        <v>D33-2L</v>
      </c>
      <c r="AA337" s="131"/>
      <c r="AB337" s="131"/>
      <c r="AC337" s="131"/>
      <c r="AD337" s="131"/>
      <c r="AE337" s="131">
        <f>IFERROR(__xludf.DUMMYFUNCTION("""COMPUTED_VALUE"""),2.0)</f>
        <v>2</v>
      </c>
      <c r="AF337" s="131">
        <f>IFERROR(__xludf.DUMMYFUNCTION("""COMPUTED_VALUE"""),170.0)</f>
        <v>170</v>
      </c>
      <c r="AG337" s="131">
        <f>IFERROR(__xludf.DUMMYFUNCTION("""COMPUTED_VALUE"""),85.0)</f>
        <v>85</v>
      </c>
      <c r="AH337" s="131">
        <f>IFERROR(__xludf.DUMMYFUNCTION("""COMPUTED_VALUE"""),85.0)</f>
        <v>85</v>
      </c>
      <c r="AI337" s="131">
        <f>IFERROR(__xludf.DUMMYFUNCTION("""COMPUTED_VALUE"""),224.0)</f>
        <v>224</v>
      </c>
      <c r="AJ337" s="131"/>
      <c r="AK337" s="131"/>
    </row>
    <row r="338">
      <c r="A338" s="145" t="str">
        <f>IFERROR(__xludf.DUMMYFUNCTION("""COMPUTED_VALUE"""),"N")</f>
        <v>N</v>
      </c>
      <c r="B338" s="146" t="str">
        <f>IFERROR(__xludf.DUMMYFUNCTION("""COMPUTED_VALUE"""),"5")</f>
        <v>5</v>
      </c>
      <c r="C338" s="146"/>
      <c r="D338" s="147">
        <f>IFERROR(__xludf.DUMMYFUNCTION("""COMPUTED_VALUE"""),45715.0)</f>
        <v>45715</v>
      </c>
      <c r="E338" s="147">
        <f>IFERROR(__xludf.DUMMYFUNCTION("""COMPUTED_VALUE"""),45722.0)</f>
        <v>45722</v>
      </c>
      <c r="F338" s="147">
        <f>IFERROR(__xludf.DUMMYFUNCTION("""COMPUTED_VALUE"""),45743.0)</f>
        <v>45743</v>
      </c>
      <c r="G338" s="146" t="str">
        <f>IFERROR(__xludf.DUMMYFUNCTION("""COMPUTED_VALUE"""),"D33-2L")</f>
        <v>D33-2L</v>
      </c>
      <c r="H338" s="148"/>
      <c r="I338" s="148"/>
      <c r="J338" s="146"/>
      <c r="K338" s="146"/>
      <c r="L338" s="146">
        <f>IFERROR(__xludf.DUMMYFUNCTION("""COMPUTED_VALUE"""),2.0)</f>
        <v>2</v>
      </c>
      <c r="M338" s="146">
        <f>IFERROR(__xludf.DUMMYFUNCTION("""COMPUTED_VALUE"""),170.0)</f>
        <v>170</v>
      </c>
      <c r="N338" s="146">
        <f>IFERROR(__xludf.DUMMYFUNCTION("""COMPUTED_VALUE"""),85.0)</f>
        <v>85</v>
      </c>
      <c r="O338" s="146">
        <f>IFERROR(__xludf.DUMMYFUNCTION("""COMPUTED_VALUE"""),85.0)</f>
        <v>85</v>
      </c>
      <c r="P338" s="146">
        <f>IFERROR(__xludf.DUMMYFUNCTION("""COMPUTED_VALUE"""),224.0)</f>
        <v>224</v>
      </c>
      <c r="Q338" s="146"/>
      <c r="R338" s="146"/>
      <c r="T338" s="131" t="str">
        <f>IFERROR(__xludf.DUMMYFUNCTION("""COMPUTED_VALUE"""),"Y")</f>
        <v>Y</v>
      </c>
      <c r="U338" s="131" t="str">
        <f>IFERROR(__xludf.DUMMYFUNCTION("""COMPUTED_VALUE"""),"5")</f>
        <v>5</v>
      </c>
      <c r="V338" s="131"/>
      <c r="W338" s="144">
        <f>IFERROR(__xludf.DUMMYFUNCTION("""COMPUTED_VALUE"""),45715.0)</f>
        <v>45715</v>
      </c>
      <c r="X338" s="144">
        <f>IFERROR(__xludf.DUMMYFUNCTION("""COMPUTED_VALUE"""),45722.0)</f>
        <v>45722</v>
      </c>
      <c r="Y338" s="144">
        <f>IFERROR(__xludf.DUMMYFUNCTION("""COMPUTED_VALUE"""),45743.0)</f>
        <v>45743</v>
      </c>
      <c r="Z338" s="131" t="str">
        <f>IFERROR(__xludf.DUMMYFUNCTION("""COMPUTED_VALUE"""),"D35-1R")</f>
        <v>D35-1R</v>
      </c>
      <c r="AA338" s="131">
        <f>IFERROR(__xludf.DUMMYFUNCTION("""COMPUTED_VALUE"""),151.0)</f>
        <v>151</v>
      </c>
      <c r="AB338" s="131">
        <f>IFERROR(__xludf.DUMMYFUNCTION("""COMPUTED_VALUE"""),223.0)</f>
        <v>223</v>
      </c>
      <c r="AC338" s="131">
        <f>IFERROR(__xludf.DUMMYFUNCTION("""COMPUTED_VALUE"""),37.0)</f>
        <v>37</v>
      </c>
      <c r="AD338" s="131">
        <f>IFERROR(__xludf.DUMMYFUNCTION("""COMPUTED_VALUE"""),37.0)</f>
        <v>37</v>
      </c>
      <c r="AE338" s="131">
        <f>IFERROR(__xludf.DUMMYFUNCTION("""COMPUTED_VALUE"""),226.0)</f>
        <v>226</v>
      </c>
      <c r="AF338" s="131">
        <f>IFERROR(__xludf.DUMMYFUNCTION("""COMPUTED_VALUE"""),256.0)</f>
        <v>256</v>
      </c>
      <c r="AG338" s="131">
        <f>IFERROR(__xludf.DUMMYFUNCTION("""COMPUTED_VALUE"""),16.0)</f>
        <v>16</v>
      </c>
      <c r="AH338" s="131">
        <f>IFERROR(__xludf.DUMMYFUNCTION("""COMPUTED_VALUE"""),16.0)</f>
        <v>16</v>
      </c>
      <c r="AI338" s="131">
        <f>IFERROR(__xludf.DUMMYFUNCTION("""COMPUTED_VALUE"""),226.0)</f>
        <v>226</v>
      </c>
      <c r="AJ338" s="131"/>
      <c r="AK338" s="131"/>
    </row>
    <row r="339">
      <c r="A339" s="145" t="str">
        <f>IFERROR(__xludf.DUMMYFUNCTION("""COMPUTED_VALUE"""),"Y")</f>
        <v>Y</v>
      </c>
      <c r="B339" s="146" t="str">
        <f>IFERROR(__xludf.DUMMYFUNCTION("""COMPUTED_VALUE"""),"5")</f>
        <v>5</v>
      </c>
      <c r="C339" s="146"/>
      <c r="D339" s="147">
        <f>IFERROR(__xludf.DUMMYFUNCTION("""COMPUTED_VALUE"""),45715.0)</f>
        <v>45715</v>
      </c>
      <c r="E339" s="147">
        <f>IFERROR(__xludf.DUMMYFUNCTION("""COMPUTED_VALUE"""),45722.0)</f>
        <v>45722</v>
      </c>
      <c r="F339" s="147">
        <f>IFERROR(__xludf.DUMMYFUNCTION("""COMPUTED_VALUE"""),45743.0)</f>
        <v>45743</v>
      </c>
      <c r="G339" s="146" t="str">
        <f>IFERROR(__xludf.DUMMYFUNCTION("""COMPUTED_VALUE"""),"D35-1R")</f>
        <v>D35-1R</v>
      </c>
      <c r="H339" s="148">
        <f>IFERROR(__xludf.DUMMYFUNCTION("""COMPUTED_VALUE"""),151.0)</f>
        <v>151</v>
      </c>
      <c r="I339" s="148">
        <f>IFERROR(__xludf.DUMMYFUNCTION("""COMPUTED_VALUE"""),223.0)</f>
        <v>223</v>
      </c>
      <c r="J339" s="146">
        <f>IFERROR(__xludf.DUMMYFUNCTION("""COMPUTED_VALUE"""),37.0)</f>
        <v>37</v>
      </c>
      <c r="K339" s="146">
        <f>IFERROR(__xludf.DUMMYFUNCTION("""COMPUTED_VALUE"""),37.0)</f>
        <v>37</v>
      </c>
      <c r="L339" s="146">
        <f>IFERROR(__xludf.DUMMYFUNCTION("""COMPUTED_VALUE"""),226.0)</f>
        <v>226</v>
      </c>
      <c r="M339" s="146">
        <f>IFERROR(__xludf.DUMMYFUNCTION("""COMPUTED_VALUE"""),256.0)</f>
        <v>256</v>
      </c>
      <c r="N339" s="146">
        <f>IFERROR(__xludf.DUMMYFUNCTION("""COMPUTED_VALUE"""),16.0)</f>
        <v>16</v>
      </c>
      <c r="O339" s="146">
        <f>IFERROR(__xludf.DUMMYFUNCTION("""COMPUTED_VALUE"""),16.0)</f>
        <v>16</v>
      </c>
      <c r="P339" s="146">
        <f>IFERROR(__xludf.DUMMYFUNCTION("""COMPUTED_VALUE"""),226.0)</f>
        <v>226</v>
      </c>
      <c r="Q339" s="146"/>
      <c r="R339" s="146"/>
      <c r="T339" s="131" t="str">
        <f>IFERROR(__xludf.DUMMYFUNCTION("""COMPUTED_VALUE"""),"Y")</f>
        <v>Y</v>
      </c>
      <c r="U339" s="131" t="str">
        <f>IFERROR(__xludf.DUMMYFUNCTION("""COMPUTED_VALUE"""),"5")</f>
        <v>5</v>
      </c>
      <c r="V339" s="131"/>
      <c r="W339" s="144">
        <f>IFERROR(__xludf.DUMMYFUNCTION("""COMPUTED_VALUE"""),45715.0)</f>
        <v>45715</v>
      </c>
      <c r="X339" s="144">
        <f>IFERROR(__xludf.DUMMYFUNCTION("""COMPUTED_VALUE"""),45722.0)</f>
        <v>45722</v>
      </c>
      <c r="Y339" s="144">
        <f>IFERROR(__xludf.DUMMYFUNCTION("""COMPUTED_VALUE"""),45743.0)</f>
        <v>45743</v>
      </c>
      <c r="Z339" s="131" t="str">
        <f>IFERROR(__xludf.DUMMYFUNCTION("""COMPUTED_VALUE"""),"D35-1R")</f>
        <v>D35-1R</v>
      </c>
      <c r="AA339" s="131"/>
      <c r="AB339" s="131"/>
      <c r="AC339" s="131"/>
      <c r="AD339" s="131"/>
      <c r="AE339" s="131">
        <f>IFERROR(__xludf.DUMMYFUNCTION("""COMPUTED_VALUE"""),260.0)</f>
        <v>260</v>
      </c>
      <c r="AF339" s="131">
        <f>IFERROR(__xludf.DUMMYFUNCTION("""COMPUTED_VALUE"""),306.0)</f>
        <v>306</v>
      </c>
      <c r="AG339" s="131">
        <f>IFERROR(__xludf.DUMMYFUNCTION("""COMPUTED_VALUE"""),24.0)</f>
        <v>24</v>
      </c>
      <c r="AH339" s="131">
        <f>IFERROR(__xludf.DUMMYFUNCTION("""COMPUTED_VALUE"""),24.0)</f>
        <v>24</v>
      </c>
      <c r="AI339" s="131">
        <f>IFERROR(__xludf.DUMMYFUNCTION("""COMPUTED_VALUE"""),226.0)</f>
        <v>226</v>
      </c>
      <c r="AJ339" s="131"/>
      <c r="AK339" s="131"/>
    </row>
    <row r="340">
      <c r="A340" s="145" t="str">
        <f>IFERROR(__xludf.DUMMYFUNCTION("""COMPUTED_VALUE"""),"Y")</f>
        <v>Y</v>
      </c>
      <c r="B340" s="146" t="str">
        <f>IFERROR(__xludf.DUMMYFUNCTION("""COMPUTED_VALUE"""),"5")</f>
        <v>5</v>
      </c>
      <c r="C340" s="146"/>
      <c r="D340" s="147">
        <f>IFERROR(__xludf.DUMMYFUNCTION("""COMPUTED_VALUE"""),45715.0)</f>
        <v>45715</v>
      </c>
      <c r="E340" s="147">
        <f>IFERROR(__xludf.DUMMYFUNCTION("""COMPUTED_VALUE"""),45722.0)</f>
        <v>45722</v>
      </c>
      <c r="F340" s="147">
        <f>IFERROR(__xludf.DUMMYFUNCTION("""COMPUTED_VALUE"""),45743.0)</f>
        <v>45743</v>
      </c>
      <c r="G340" s="146" t="str">
        <f>IFERROR(__xludf.DUMMYFUNCTION("""COMPUTED_VALUE"""),"D35-1R")</f>
        <v>D35-1R</v>
      </c>
      <c r="H340" s="148"/>
      <c r="I340" s="148"/>
      <c r="J340" s="146"/>
      <c r="K340" s="146"/>
      <c r="L340" s="146">
        <f>IFERROR(__xludf.DUMMYFUNCTION("""COMPUTED_VALUE"""),260.0)</f>
        <v>260</v>
      </c>
      <c r="M340" s="146">
        <f>IFERROR(__xludf.DUMMYFUNCTION("""COMPUTED_VALUE"""),306.0)</f>
        <v>306</v>
      </c>
      <c r="N340" s="146">
        <f>IFERROR(__xludf.DUMMYFUNCTION("""COMPUTED_VALUE"""),24.0)</f>
        <v>24</v>
      </c>
      <c r="O340" s="146">
        <f>IFERROR(__xludf.DUMMYFUNCTION("""COMPUTED_VALUE"""),24.0)</f>
        <v>24</v>
      </c>
      <c r="P340" s="146">
        <f>IFERROR(__xludf.DUMMYFUNCTION("""COMPUTED_VALUE"""),226.0)</f>
        <v>226</v>
      </c>
      <c r="Q340" s="146"/>
      <c r="R340" s="146"/>
      <c r="T340" s="131" t="str">
        <f>IFERROR(__xludf.DUMMYFUNCTION("""COMPUTED_VALUE"""),"Y")</f>
        <v>Y</v>
      </c>
      <c r="U340" s="131" t="str">
        <f>IFERROR(__xludf.DUMMYFUNCTION("""COMPUTED_VALUE"""),"6")</f>
        <v>6</v>
      </c>
      <c r="V340" s="131" t="str">
        <f>IFERROR(__xludf.DUMMYFUNCTION("""COMPUTED_VALUE"""),"805-810")</f>
        <v>805-810</v>
      </c>
      <c r="W340" s="144">
        <f>IFERROR(__xludf.DUMMYFUNCTION("""COMPUTED_VALUE"""),45715.0)</f>
        <v>45715</v>
      </c>
      <c r="X340" s="144">
        <f>IFERROR(__xludf.DUMMYFUNCTION("""COMPUTED_VALUE"""),45722.0)</f>
        <v>45722</v>
      </c>
      <c r="Y340" s="144">
        <f>IFERROR(__xludf.DUMMYFUNCTION("""COMPUTED_VALUE"""),45743.0)</f>
        <v>45743</v>
      </c>
      <c r="Z340" s="131" t="str">
        <f>IFERROR(__xludf.DUMMYFUNCTION("""COMPUTED_VALUE"""),"D41-3R")</f>
        <v>D41-3R</v>
      </c>
      <c r="AA340" s="131">
        <f>IFERROR(__xludf.DUMMYFUNCTION("""COMPUTED_VALUE"""),97.0)</f>
        <v>97</v>
      </c>
      <c r="AB340" s="131">
        <f>IFERROR(__xludf.DUMMYFUNCTION("""COMPUTED_VALUE"""),119.0)</f>
        <v>119</v>
      </c>
      <c r="AC340" s="131">
        <f>IFERROR(__xludf.DUMMYFUNCTION("""COMPUTED_VALUE"""),12.0)</f>
        <v>12</v>
      </c>
      <c r="AD340" s="131">
        <f>IFERROR(__xludf.DUMMYFUNCTION("""COMPUTED_VALUE"""),12.0)</f>
        <v>12</v>
      </c>
      <c r="AE340" s="131">
        <f>IFERROR(__xludf.DUMMYFUNCTION("""COMPUTED_VALUE"""),2.0)</f>
        <v>2</v>
      </c>
      <c r="AF340" s="131">
        <f>IFERROR(__xludf.DUMMYFUNCTION("""COMPUTED_VALUE"""),96.0)</f>
        <v>96</v>
      </c>
      <c r="AG340" s="131">
        <f>IFERROR(__xludf.DUMMYFUNCTION("""COMPUTED_VALUE"""),48.0)</f>
        <v>48</v>
      </c>
      <c r="AH340" s="131">
        <f>IFERROR(__xludf.DUMMYFUNCTION("""COMPUTED_VALUE"""),48.0)</f>
        <v>48</v>
      </c>
      <c r="AI340" s="131">
        <f>IFERROR(__xludf.DUMMYFUNCTION("""COMPUTED_VALUE"""),228.0)</f>
        <v>228</v>
      </c>
      <c r="AJ340" s="131"/>
      <c r="AK340" s="131"/>
    </row>
    <row r="341">
      <c r="A341" s="145" t="str">
        <f>IFERROR(__xludf.DUMMYFUNCTION("""COMPUTED_VALUE"""),"Y")</f>
        <v>Y</v>
      </c>
      <c r="B341" s="146" t="str">
        <f>IFERROR(__xludf.DUMMYFUNCTION("""COMPUTED_VALUE"""),"6")</f>
        <v>6</v>
      </c>
      <c r="C341" s="146" t="str">
        <f>IFERROR(__xludf.DUMMYFUNCTION("""COMPUTED_VALUE"""),"805-810")</f>
        <v>805-810</v>
      </c>
      <c r="D341" s="147">
        <f>IFERROR(__xludf.DUMMYFUNCTION("""COMPUTED_VALUE"""),45715.0)</f>
        <v>45715</v>
      </c>
      <c r="E341" s="147">
        <f>IFERROR(__xludf.DUMMYFUNCTION("""COMPUTED_VALUE"""),45722.0)</f>
        <v>45722</v>
      </c>
      <c r="F341" s="147">
        <f>IFERROR(__xludf.DUMMYFUNCTION("""COMPUTED_VALUE"""),45743.0)</f>
        <v>45743</v>
      </c>
      <c r="G341" s="146" t="str">
        <f>IFERROR(__xludf.DUMMYFUNCTION("""COMPUTED_VALUE"""),"D41-3R")</f>
        <v>D41-3R</v>
      </c>
      <c r="H341" s="148">
        <f>IFERROR(__xludf.DUMMYFUNCTION("""COMPUTED_VALUE"""),97.0)</f>
        <v>97</v>
      </c>
      <c r="I341" s="148">
        <f>IFERROR(__xludf.DUMMYFUNCTION("""COMPUTED_VALUE"""),119.0)</f>
        <v>119</v>
      </c>
      <c r="J341" s="146">
        <f>IFERROR(__xludf.DUMMYFUNCTION("""COMPUTED_VALUE"""),12.0)</f>
        <v>12</v>
      </c>
      <c r="K341" s="146">
        <f>IFERROR(__xludf.DUMMYFUNCTION("""COMPUTED_VALUE"""),12.0)</f>
        <v>12</v>
      </c>
      <c r="L341" s="146">
        <f>IFERROR(__xludf.DUMMYFUNCTION("""COMPUTED_VALUE"""),2.0)</f>
        <v>2</v>
      </c>
      <c r="M341" s="146">
        <f>IFERROR(__xludf.DUMMYFUNCTION("""COMPUTED_VALUE"""),96.0)</f>
        <v>96</v>
      </c>
      <c r="N341" s="146">
        <f>IFERROR(__xludf.DUMMYFUNCTION("""COMPUTED_VALUE"""),48.0)</f>
        <v>48</v>
      </c>
      <c r="O341" s="146">
        <f>IFERROR(__xludf.DUMMYFUNCTION("""COMPUTED_VALUE"""),48.0)</f>
        <v>48</v>
      </c>
      <c r="P341" s="146">
        <f>IFERROR(__xludf.DUMMYFUNCTION("""COMPUTED_VALUE"""),228.0)</f>
        <v>228</v>
      </c>
      <c r="Q341" s="146"/>
      <c r="R341" s="146"/>
      <c r="T341" s="131" t="str">
        <f>IFERROR(__xludf.DUMMYFUNCTION("""COMPUTED_VALUE"""),"Y")</f>
        <v>Y</v>
      </c>
      <c r="U341" s="131" t="str">
        <f>IFERROR(__xludf.DUMMYFUNCTION("""COMPUTED_VALUE"""),"6")</f>
        <v>6</v>
      </c>
      <c r="V341" s="131" t="str">
        <f>IFERROR(__xludf.DUMMYFUNCTION("""COMPUTED_VALUE"""),"817-822")</f>
        <v>817-822</v>
      </c>
      <c r="W341" s="144">
        <f>IFERROR(__xludf.DUMMYFUNCTION("""COMPUTED_VALUE"""),45715.0)</f>
        <v>45715</v>
      </c>
      <c r="X341" s="144">
        <f>IFERROR(__xludf.DUMMYFUNCTION("""COMPUTED_VALUE"""),45722.0)</f>
        <v>45722</v>
      </c>
      <c r="Y341" s="144">
        <f>IFERROR(__xludf.DUMMYFUNCTION("""COMPUTED_VALUE"""),45743.0)</f>
        <v>45743</v>
      </c>
      <c r="Z341" s="131" t="str">
        <f>IFERROR(__xludf.DUMMYFUNCTION("""COMPUTED_VALUE"""),"DC38")</f>
        <v>DC38</v>
      </c>
      <c r="AA341" s="131"/>
      <c r="AB341" s="131"/>
      <c r="AC341" s="131"/>
      <c r="AD341" s="131"/>
      <c r="AE341" s="131"/>
      <c r="AF341" s="131"/>
      <c r="AG341" s="131"/>
      <c r="AH341" s="131"/>
      <c r="AI341" s="131"/>
      <c r="AJ341" s="131"/>
      <c r="AK341" s="131"/>
    </row>
    <row r="342">
      <c r="A342" s="145" t="str">
        <f>IFERROR(__xludf.DUMMYFUNCTION("""COMPUTED_VALUE"""),"Y")</f>
        <v>Y</v>
      </c>
      <c r="B342" s="146" t="str">
        <f>IFERROR(__xludf.DUMMYFUNCTION("""COMPUTED_VALUE"""),"6")</f>
        <v>6</v>
      </c>
      <c r="C342" s="146" t="str">
        <f>IFERROR(__xludf.DUMMYFUNCTION("""COMPUTED_VALUE"""),"817-822")</f>
        <v>817-822</v>
      </c>
      <c r="D342" s="147">
        <f>IFERROR(__xludf.DUMMYFUNCTION("""COMPUTED_VALUE"""),45715.0)</f>
        <v>45715</v>
      </c>
      <c r="E342" s="147">
        <f>IFERROR(__xludf.DUMMYFUNCTION("""COMPUTED_VALUE"""),45722.0)</f>
        <v>45722</v>
      </c>
      <c r="F342" s="147">
        <f>IFERROR(__xludf.DUMMYFUNCTION("""COMPUTED_VALUE"""),45743.0)</f>
        <v>45743</v>
      </c>
      <c r="G342" s="146" t="str">
        <f>IFERROR(__xludf.DUMMYFUNCTION("""COMPUTED_VALUE"""),"DC38")</f>
        <v>DC38</v>
      </c>
      <c r="H342" s="148"/>
      <c r="I342" s="148"/>
      <c r="J342" s="146"/>
      <c r="K342" s="146"/>
      <c r="L342" s="146"/>
      <c r="M342" s="146"/>
      <c r="N342" s="146"/>
      <c r="O342" s="146"/>
      <c r="P342" s="146"/>
      <c r="Q342" s="146"/>
      <c r="R342" s="146"/>
      <c r="T342" s="131" t="str">
        <f>IFERROR(__xludf.DUMMYFUNCTION("""COMPUTED_VALUE"""),"Y")</f>
        <v>Y</v>
      </c>
      <c r="U342" s="131" t="str">
        <f>IFERROR(__xludf.DUMMYFUNCTION("""COMPUTED_VALUE"""),"6")</f>
        <v>6</v>
      </c>
      <c r="V342" s="131" t="str">
        <f>IFERROR(__xludf.DUMMYFUNCTION("""COMPUTED_VALUE"""),"817-822")</f>
        <v>817-822</v>
      </c>
      <c r="W342" s="144">
        <f>IFERROR(__xludf.DUMMYFUNCTION("""COMPUTED_VALUE"""),45715.0)</f>
        <v>45715</v>
      </c>
      <c r="X342" s="144">
        <f>IFERROR(__xludf.DUMMYFUNCTION("""COMPUTED_VALUE"""),45722.0)</f>
        <v>45722</v>
      </c>
      <c r="Y342" s="144">
        <f>IFERROR(__xludf.DUMMYFUNCTION("""COMPUTED_VALUE"""),45743.0)</f>
        <v>45743</v>
      </c>
      <c r="Z342" s="131" t="str">
        <f>IFERROR(__xludf.DUMMYFUNCTION("""COMPUTED_VALUE"""),"DC38")</f>
        <v>DC38</v>
      </c>
      <c r="AA342" s="131">
        <f>IFERROR(__xludf.DUMMYFUNCTION("""COMPUTED_VALUE"""),969.0)</f>
        <v>969</v>
      </c>
      <c r="AB342" s="131">
        <f>IFERROR(__xludf.DUMMYFUNCTION("""COMPUTED_VALUE"""),1039.0)</f>
        <v>1039</v>
      </c>
      <c r="AC342" s="131">
        <f>IFERROR(__xludf.DUMMYFUNCTION("""COMPUTED_VALUE"""),36.0)</f>
        <v>36</v>
      </c>
      <c r="AD342" s="131">
        <f>IFERROR(__xludf.DUMMYFUNCTION("""COMPUTED_VALUE"""),36.0)</f>
        <v>36</v>
      </c>
      <c r="AE342" s="131">
        <f>IFERROR(__xludf.DUMMYFUNCTION("""COMPUTED_VALUE"""),776.0)</f>
        <v>776</v>
      </c>
      <c r="AF342" s="131">
        <f>IFERROR(__xludf.DUMMYFUNCTION("""COMPUTED_VALUE"""),860.0)</f>
        <v>860</v>
      </c>
      <c r="AG342" s="131">
        <f>IFERROR(__xludf.DUMMYFUNCTION("""COMPUTED_VALUE"""),43.0)</f>
        <v>43</v>
      </c>
      <c r="AH342" s="131">
        <f>IFERROR(__xludf.DUMMYFUNCTION("""COMPUTED_VALUE"""),43.0)</f>
        <v>43</v>
      </c>
      <c r="AI342" s="131">
        <f>IFERROR(__xludf.DUMMYFUNCTION("""COMPUTED_VALUE"""),229.0)</f>
        <v>229</v>
      </c>
      <c r="AJ342" s="131"/>
      <c r="AK342" s="131"/>
    </row>
    <row r="343">
      <c r="A343" s="145" t="str">
        <f>IFERROR(__xludf.DUMMYFUNCTION("""COMPUTED_VALUE"""),"Y")</f>
        <v>Y</v>
      </c>
      <c r="B343" s="146" t="str">
        <f>IFERROR(__xludf.DUMMYFUNCTION("""COMPUTED_VALUE"""),"6")</f>
        <v>6</v>
      </c>
      <c r="C343" s="146" t="str">
        <f>IFERROR(__xludf.DUMMYFUNCTION("""COMPUTED_VALUE"""),"817-822")</f>
        <v>817-822</v>
      </c>
      <c r="D343" s="147">
        <f>IFERROR(__xludf.DUMMYFUNCTION("""COMPUTED_VALUE"""),45715.0)</f>
        <v>45715</v>
      </c>
      <c r="E343" s="147">
        <f>IFERROR(__xludf.DUMMYFUNCTION("""COMPUTED_VALUE"""),45722.0)</f>
        <v>45722</v>
      </c>
      <c r="F343" s="147">
        <f>IFERROR(__xludf.DUMMYFUNCTION("""COMPUTED_VALUE"""),45743.0)</f>
        <v>45743</v>
      </c>
      <c r="G343" s="146" t="str">
        <f>IFERROR(__xludf.DUMMYFUNCTION("""COMPUTED_VALUE"""),"DC38")</f>
        <v>DC38</v>
      </c>
      <c r="H343" s="148">
        <f>IFERROR(__xludf.DUMMYFUNCTION("""COMPUTED_VALUE"""),969.0)</f>
        <v>969</v>
      </c>
      <c r="I343" s="148">
        <f>IFERROR(__xludf.DUMMYFUNCTION("""COMPUTED_VALUE"""),1039.0)</f>
        <v>1039</v>
      </c>
      <c r="J343" s="146">
        <f>IFERROR(__xludf.DUMMYFUNCTION("""COMPUTED_VALUE"""),36.0)</f>
        <v>36</v>
      </c>
      <c r="K343" s="146">
        <f>IFERROR(__xludf.DUMMYFUNCTION("""COMPUTED_VALUE"""),36.0)</f>
        <v>36</v>
      </c>
      <c r="L343" s="146">
        <f>IFERROR(__xludf.DUMMYFUNCTION("""COMPUTED_VALUE"""),776.0)</f>
        <v>776</v>
      </c>
      <c r="M343" s="146">
        <f>IFERROR(__xludf.DUMMYFUNCTION("""COMPUTED_VALUE"""),860.0)</f>
        <v>860</v>
      </c>
      <c r="N343" s="146">
        <f>IFERROR(__xludf.DUMMYFUNCTION("""COMPUTED_VALUE"""),43.0)</f>
        <v>43</v>
      </c>
      <c r="O343" s="146">
        <f>IFERROR(__xludf.DUMMYFUNCTION("""COMPUTED_VALUE"""),43.0)</f>
        <v>43</v>
      </c>
      <c r="P343" s="146">
        <f>IFERROR(__xludf.DUMMYFUNCTION("""COMPUTED_VALUE"""),229.0)</f>
        <v>229</v>
      </c>
      <c r="Q343" s="146"/>
      <c r="R343" s="146"/>
      <c r="T343" s="131" t="str">
        <f>IFERROR(__xludf.DUMMYFUNCTION("""COMPUTED_VALUE"""),"Y")</f>
        <v>Y</v>
      </c>
      <c r="U343" s="131" t="str">
        <f>IFERROR(__xludf.DUMMYFUNCTION("""COMPUTED_VALUE"""),"5")</f>
        <v>5</v>
      </c>
      <c r="V343" s="131"/>
      <c r="W343" s="144">
        <f>IFERROR(__xludf.DUMMYFUNCTION("""COMPUTED_VALUE"""),45717.0)</f>
        <v>45717</v>
      </c>
      <c r="X343" s="144">
        <f>IFERROR(__xludf.DUMMYFUNCTION("""COMPUTED_VALUE"""),45724.0)</f>
        <v>45724</v>
      </c>
      <c r="Y343" s="144">
        <f>IFERROR(__xludf.DUMMYFUNCTION("""COMPUTED_VALUE"""),45745.0)</f>
        <v>45745</v>
      </c>
      <c r="Z343" s="131" t="str">
        <f>IFERROR(__xludf.DUMMYFUNCTION("""COMPUTED_VALUE"""),"D41-3R")</f>
        <v>D41-3R</v>
      </c>
      <c r="AA343" s="131">
        <f>IFERROR(__xludf.DUMMYFUNCTION("""COMPUTED_VALUE"""),121.0)</f>
        <v>121</v>
      </c>
      <c r="AB343" s="131">
        <f>IFERROR(__xludf.DUMMYFUNCTION("""COMPUTED_VALUE"""),307.0)</f>
        <v>307</v>
      </c>
      <c r="AC343" s="131">
        <f>IFERROR(__xludf.DUMMYFUNCTION("""COMPUTED_VALUE"""),94.0)</f>
        <v>94</v>
      </c>
      <c r="AD343" s="131">
        <f>IFERROR(__xludf.DUMMYFUNCTION("""COMPUTED_VALUE"""),94.0)</f>
        <v>94</v>
      </c>
      <c r="AE343" s="131">
        <f>IFERROR(__xludf.DUMMYFUNCTION("""COMPUTED_VALUE"""),98.0)</f>
        <v>98</v>
      </c>
      <c r="AF343" s="131">
        <f>IFERROR(__xludf.DUMMYFUNCTION("""COMPUTED_VALUE"""),118.0)</f>
        <v>118</v>
      </c>
      <c r="AG343" s="131">
        <f>IFERROR(__xludf.DUMMYFUNCTION("""COMPUTED_VALUE"""),11.0)</f>
        <v>11</v>
      </c>
      <c r="AH343" s="131">
        <f>IFERROR(__xludf.DUMMYFUNCTION("""COMPUTED_VALUE"""),11.0)</f>
        <v>11</v>
      </c>
      <c r="AI343" s="131">
        <f>IFERROR(__xludf.DUMMYFUNCTION("""COMPUTED_VALUE"""),231.0)</f>
        <v>231</v>
      </c>
      <c r="AJ343" s="131"/>
      <c r="AK343" s="131"/>
    </row>
    <row r="344">
      <c r="A344" s="145" t="str">
        <f>IFERROR(__xludf.DUMMYFUNCTION("""COMPUTED_VALUE"""),"Y")</f>
        <v>Y</v>
      </c>
      <c r="B344" s="146" t="str">
        <f>IFERROR(__xludf.DUMMYFUNCTION("""COMPUTED_VALUE"""),"5")</f>
        <v>5</v>
      </c>
      <c r="C344" s="146"/>
      <c r="D344" s="147">
        <f>IFERROR(__xludf.DUMMYFUNCTION("""COMPUTED_VALUE"""),45717.0)</f>
        <v>45717</v>
      </c>
      <c r="E344" s="147">
        <f>IFERROR(__xludf.DUMMYFUNCTION("""COMPUTED_VALUE"""),45724.0)</f>
        <v>45724</v>
      </c>
      <c r="F344" s="147">
        <f>IFERROR(__xludf.DUMMYFUNCTION("""COMPUTED_VALUE"""),45745.0)</f>
        <v>45745</v>
      </c>
      <c r="G344" s="146" t="str">
        <f>IFERROR(__xludf.DUMMYFUNCTION("""COMPUTED_VALUE"""),"D41-3R")</f>
        <v>D41-3R</v>
      </c>
      <c r="H344" s="148">
        <f>IFERROR(__xludf.DUMMYFUNCTION("""COMPUTED_VALUE"""),121.0)</f>
        <v>121</v>
      </c>
      <c r="I344" s="148">
        <f>IFERROR(__xludf.DUMMYFUNCTION("""COMPUTED_VALUE"""),307.0)</f>
        <v>307</v>
      </c>
      <c r="J344" s="146">
        <f>IFERROR(__xludf.DUMMYFUNCTION("""COMPUTED_VALUE"""),94.0)</f>
        <v>94</v>
      </c>
      <c r="K344" s="146">
        <f>IFERROR(__xludf.DUMMYFUNCTION("""COMPUTED_VALUE"""),94.0)</f>
        <v>94</v>
      </c>
      <c r="L344" s="146">
        <f>IFERROR(__xludf.DUMMYFUNCTION("""COMPUTED_VALUE"""),98.0)</f>
        <v>98</v>
      </c>
      <c r="M344" s="146">
        <f>IFERROR(__xludf.DUMMYFUNCTION("""COMPUTED_VALUE"""),118.0)</f>
        <v>118</v>
      </c>
      <c r="N344" s="146">
        <f>IFERROR(__xludf.DUMMYFUNCTION("""COMPUTED_VALUE"""),11.0)</f>
        <v>11</v>
      </c>
      <c r="O344" s="146">
        <f>IFERROR(__xludf.DUMMYFUNCTION("""COMPUTED_VALUE"""),11.0)</f>
        <v>11</v>
      </c>
      <c r="P344" s="146">
        <f>IFERROR(__xludf.DUMMYFUNCTION("""COMPUTED_VALUE"""),231.0)</f>
        <v>231</v>
      </c>
      <c r="Q344" s="146"/>
      <c r="R344" s="146"/>
      <c r="T344" s="131" t="str">
        <f>IFERROR(__xludf.DUMMYFUNCTION("""COMPUTED_VALUE"""),"Y")</f>
        <v>Y</v>
      </c>
      <c r="U344" s="131" t="str">
        <f>IFERROR(__xludf.DUMMYFUNCTION("""COMPUTED_VALUE"""),"6")</f>
        <v>6</v>
      </c>
      <c r="V344" s="131" t="str">
        <f>IFERROR(__xludf.DUMMYFUNCTION("""COMPUTED_VALUE"""),"835-840")</f>
        <v>835-840</v>
      </c>
      <c r="W344" s="144">
        <f>IFERROR(__xludf.DUMMYFUNCTION("""COMPUTED_VALUE"""),45717.0)</f>
        <v>45717</v>
      </c>
      <c r="X344" s="144">
        <f>IFERROR(__xludf.DUMMYFUNCTION("""COMPUTED_VALUE"""),45724.0)</f>
        <v>45724</v>
      </c>
      <c r="Y344" s="144">
        <f>IFERROR(__xludf.DUMMYFUNCTION("""COMPUTED_VALUE"""),45745.0)</f>
        <v>45745</v>
      </c>
      <c r="Z344" s="131" t="str">
        <f>IFERROR(__xludf.DUMMYFUNCTION("""COMPUTED_VALUE"""),"DC38")</f>
        <v>DC38</v>
      </c>
      <c r="AA344" s="131"/>
      <c r="AB344" s="131"/>
      <c r="AC344" s="131"/>
      <c r="AD344" s="131"/>
      <c r="AE344" s="131">
        <f>IFERROR(__xludf.DUMMYFUNCTION("""COMPUTED_VALUE"""),862.0)</f>
        <v>862</v>
      </c>
      <c r="AF344" s="131">
        <f>IFERROR(__xludf.DUMMYFUNCTION("""COMPUTED_VALUE"""),968.0)</f>
        <v>968</v>
      </c>
      <c r="AG344" s="131">
        <f>IFERROR(__xludf.DUMMYFUNCTION("""COMPUTED_VALUE"""),54.0)</f>
        <v>54</v>
      </c>
      <c r="AH344" s="131">
        <f>IFERROR(__xludf.DUMMYFUNCTION("""COMPUTED_VALUE"""),54.0)</f>
        <v>54</v>
      </c>
      <c r="AI344" s="131">
        <f>IFERROR(__xludf.DUMMYFUNCTION("""COMPUTED_VALUE"""),230.0)</f>
        <v>230</v>
      </c>
      <c r="AJ344" s="131"/>
      <c r="AK344" s="131"/>
    </row>
    <row r="345">
      <c r="A345" s="145" t="str">
        <f>IFERROR(__xludf.DUMMYFUNCTION("""COMPUTED_VALUE"""),"Y")</f>
        <v>Y</v>
      </c>
      <c r="B345" s="146" t="str">
        <f>IFERROR(__xludf.DUMMYFUNCTION("""COMPUTED_VALUE"""),"6")</f>
        <v>6</v>
      </c>
      <c r="C345" s="146" t="str">
        <f>IFERROR(__xludf.DUMMYFUNCTION("""COMPUTED_VALUE"""),"835-840")</f>
        <v>835-840</v>
      </c>
      <c r="D345" s="147">
        <f>IFERROR(__xludf.DUMMYFUNCTION("""COMPUTED_VALUE"""),45717.0)</f>
        <v>45717</v>
      </c>
      <c r="E345" s="147">
        <f>IFERROR(__xludf.DUMMYFUNCTION("""COMPUTED_VALUE"""),45724.0)</f>
        <v>45724</v>
      </c>
      <c r="F345" s="147">
        <f>IFERROR(__xludf.DUMMYFUNCTION("""COMPUTED_VALUE"""),45745.0)</f>
        <v>45745</v>
      </c>
      <c r="G345" s="146" t="str">
        <f>IFERROR(__xludf.DUMMYFUNCTION("""COMPUTED_VALUE"""),"DC38")</f>
        <v>DC38</v>
      </c>
      <c r="H345" s="148"/>
      <c r="I345" s="148"/>
      <c r="J345" s="146"/>
      <c r="K345" s="146"/>
      <c r="L345" s="146">
        <f>IFERROR(__xludf.DUMMYFUNCTION("""COMPUTED_VALUE"""),862.0)</f>
        <v>862</v>
      </c>
      <c r="M345" s="146">
        <f>IFERROR(__xludf.DUMMYFUNCTION("""COMPUTED_VALUE"""),968.0)</f>
        <v>968</v>
      </c>
      <c r="N345" s="146">
        <f>IFERROR(__xludf.DUMMYFUNCTION("""COMPUTED_VALUE"""),54.0)</f>
        <v>54</v>
      </c>
      <c r="O345" s="146">
        <f>IFERROR(__xludf.DUMMYFUNCTION("""COMPUTED_VALUE"""),54.0)</f>
        <v>54</v>
      </c>
      <c r="P345" s="146">
        <f>IFERROR(__xludf.DUMMYFUNCTION("""COMPUTED_VALUE"""),230.0)</f>
        <v>230</v>
      </c>
      <c r="Q345" s="146"/>
      <c r="R345" s="146"/>
      <c r="T345" s="131" t="str">
        <f>IFERROR(__xludf.DUMMYFUNCTION("""COMPUTED_VALUE"""),"Y")</f>
        <v>Y</v>
      </c>
      <c r="U345" s="131" t="str">
        <f>IFERROR(__xludf.DUMMYFUNCTION("""COMPUTED_VALUE"""),"6")</f>
        <v>6</v>
      </c>
      <c r="V345" s="131" t="str">
        <f>IFERROR(__xludf.DUMMYFUNCTION("""COMPUTED_VALUE"""),"835-840")</f>
        <v>835-840</v>
      </c>
      <c r="W345" s="144">
        <f>IFERROR(__xludf.DUMMYFUNCTION("""COMPUTED_VALUE"""),45717.0)</f>
        <v>45717</v>
      </c>
      <c r="X345" s="144">
        <f>IFERROR(__xludf.DUMMYFUNCTION("""COMPUTED_VALUE"""),45724.0)</f>
        <v>45724</v>
      </c>
      <c r="Y345" s="144">
        <f>IFERROR(__xludf.DUMMYFUNCTION("""COMPUTED_VALUE"""),45745.0)</f>
        <v>45745</v>
      </c>
      <c r="Z345" s="131" t="str">
        <f>IFERROR(__xludf.DUMMYFUNCTION("""COMPUTED_VALUE"""),"DC38")</f>
        <v>DC38</v>
      </c>
      <c r="AA345" s="131"/>
      <c r="AB345" s="131"/>
      <c r="AC345" s="131"/>
      <c r="AD345" s="131"/>
      <c r="AE345" s="131">
        <f>IFERROR(__xludf.DUMMYFUNCTION("""COMPUTED_VALUE"""),1042.0)</f>
        <v>1042</v>
      </c>
      <c r="AF345" s="131">
        <f>IFERROR(__xludf.DUMMYFUNCTION("""COMPUTED_VALUE"""),1094.0)</f>
        <v>1094</v>
      </c>
      <c r="AG345" s="131">
        <f>IFERROR(__xludf.DUMMYFUNCTION("""COMPUTED_VALUE"""),27.0)</f>
        <v>27</v>
      </c>
      <c r="AH345" s="131">
        <f>IFERROR(__xludf.DUMMYFUNCTION("""COMPUTED_VALUE"""),27.0)</f>
        <v>27</v>
      </c>
      <c r="AI345" s="131">
        <f>IFERROR(__xludf.DUMMYFUNCTION("""COMPUTED_VALUE"""),230.0)</f>
        <v>230</v>
      </c>
      <c r="AJ345" s="131"/>
      <c r="AK345" s="131"/>
    </row>
    <row r="346">
      <c r="A346" s="145" t="str">
        <f>IFERROR(__xludf.DUMMYFUNCTION("""COMPUTED_VALUE"""),"Y")</f>
        <v>Y</v>
      </c>
      <c r="B346" s="146" t="str">
        <f>IFERROR(__xludf.DUMMYFUNCTION("""COMPUTED_VALUE"""),"6")</f>
        <v>6</v>
      </c>
      <c r="C346" s="146" t="str">
        <f>IFERROR(__xludf.DUMMYFUNCTION("""COMPUTED_VALUE"""),"835-840")</f>
        <v>835-840</v>
      </c>
      <c r="D346" s="147">
        <f>IFERROR(__xludf.DUMMYFUNCTION("""COMPUTED_VALUE"""),45717.0)</f>
        <v>45717</v>
      </c>
      <c r="E346" s="147">
        <f>IFERROR(__xludf.DUMMYFUNCTION("""COMPUTED_VALUE"""),45724.0)</f>
        <v>45724</v>
      </c>
      <c r="F346" s="147">
        <f>IFERROR(__xludf.DUMMYFUNCTION("""COMPUTED_VALUE"""),45745.0)</f>
        <v>45745</v>
      </c>
      <c r="G346" s="146" t="str">
        <f>IFERROR(__xludf.DUMMYFUNCTION("""COMPUTED_VALUE"""),"DC38")</f>
        <v>DC38</v>
      </c>
      <c r="H346" s="148"/>
      <c r="I346" s="148"/>
      <c r="J346" s="146"/>
      <c r="K346" s="146"/>
      <c r="L346" s="146">
        <f>IFERROR(__xludf.DUMMYFUNCTION("""COMPUTED_VALUE"""),1042.0)</f>
        <v>1042</v>
      </c>
      <c r="M346" s="146">
        <f>IFERROR(__xludf.DUMMYFUNCTION("""COMPUTED_VALUE"""),1094.0)</f>
        <v>1094</v>
      </c>
      <c r="N346" s="146">
        <f>IFERROR(__xludf.DUMMYFUNCTION("""COMPUTED_VALUE"""),27.0)</f>
        <v>27</v>
      </c>
      <c r="O346" s="146">
        <f>IFERROR(__xludf.DUMMYFUNCTION("""COMPUTED_VALUE"""),27.0)</f>
        <v>27</v>
      </c>
      <c r="P346" s="146">
        <f>IFERROR(__xludf.DUMMYFUNCTION("""COMPUTED_VALUE"""),230.0)</f>
        <v>230</v>
      </c>
      <c r="Q346" s="146"/>
      <c r="R346" s="146"/>
      <c r="T346" s="131" t="str">
        <f>IFERROR(__xludf.DUMMYFUNCTION("""COMPUTED_VALUE"""),"Y")</f>
        <v>Y</v>
      </c>
      <c r="U346" s="131" t="str">
        <f>IFERROR(__xludf.DUMMYFUNCTION("""COMPUTED_VALUE"""),"5")</f>
        <v>5</v>
      </c>
      <c r="V346" s="131"/>
      <c r="W346" s="144">
        <f>IFERROR(__xludf.DUMMYFUNCTION("""COMPUTED_VALUE"""),45718.0)</f>
        <v>45718</v>
      </c>
      <c r="X346" s="144">
        <f>IFERROR(__xludf.DUMMYFUNCTION("""COMPUTED_VALUE"""),45725.0)</f>
        <v>45725</v>
      </c>
      <c r="Y346" s="144">
        <f>IFERROR(__xludf.DUMMYFUNCTION("""COMPUTED_VALUE"""),45746.0)</f>
        <v>45746</v>
      </c>
      <c r="Z346" s="131" t="str">
        <f>IFERROR(__xludf.DUMMYFUNCTION("""COMPUTED_VALUE"""),"D41-3R")</f>
        <v>D41-3R</v>
      </c>
      <c r="AA346" s="131"/>
      <c r="AB346" s="131"/>
      <c r="AC346" s="131"/>
      <c r="AD346" s="131"/>
      <c r="AE346" s="131">
        <f>IFERROR(__xludf.DUMMYFUNCTION("""COMPUTED_VALUE"""),120.0)</f>
        <v>120</v>
      </c>
      <c r="AF346" s="131">
        <f>IFERROR(__xludf.DUMMYFUNCTION("""COMPUTED_VALUE"""),308.0)</f>
        <v>308</v>
      </c>
      <c r="AG346" s="131">
        <f>IFERROR(__xludf.DUMMYFUNCTION("""COMPUTED_VALUE"""),95.0)</f>
        <v>95</v>
      </c>
      <c r="AH346" s="131">
        <f>IFERROR(__xludf.DUMMYFUNCTION("""COMPUTED_VALUE"""),95.0)</f>
        <v>95</v>
      </c>
      <c r="AI346" s="131">
        <f>IFERROR(__xludf.DUMMYFUNCTION("""COMPUTED_VALUE"""),232.0)</f>
        <v>232</v>
      </c>
      <c r="AJ346" s="131"/>
      <c r="AK346" s="131"/>
    </row>
    <row r="347">
      <c r="A347" s="145" t="str">
        <f>IFERROR(__xludf.DUMMYFUNCTION("""COMPUTED_VALUE"""),"Y")</f>
        <v>Y</v>
      </c>
      <c r="B347" s="146" t="str">
        <f>IFERROR(__xludf.DUMMYFUNCTION("""COMPUTED_VALUE"""),"5")</f>
        <v>5</v>
      </c>
      <c r="C347" s="146"/>
      <c r="D347" s="147">
        <f>IFERROR(__xludf.DUMMYFUNCTION("""COMPUTED_VALUE"""),45718.0)</f>
        <v>45718</v>
      </c>
      <c r="E347" s="147">
        <f>IFERROR(__xludf.DUMMYFUNCTION("""COMPUTED_VALUE"""),45725.0)</f>
        <v>45725</v>
      </c>
      <c r="F347" s="147">
        <f>IFERROR(__xludf.DUMMYFUNCTION("""COMPUTED_VALUE"""),45746.0)</f>
        <v>45746</v>
      </c>
      <c r="G347" s="146" t="str">
        <f>IFERROR(__xludf.DUMMYFUNCTION("""COMPUTED_VALUE"""),"D41-3R")</f>
        <v>D41-3R</v>
      </c>
      <c r="H347" s="148"/>
      <c r="I347" s="148"/>
      <c r="J347" s="146"/>
      <c r="K347" s="146"/>
      <c r="L347" s="146">
        <f>IFERROR(__xludf.DUMMYFUNCTION("""COMPUTED_VALUE"""),120.0)</f>
        <v>120</v>
      </c>
      <c r="M347" s="146">
        <f>IFERROR(__xludf.DUMMYFUNCTION("""COMPUTED_VALUE"""),308.0)</f>
        <v>308</v>
      </c>
      <c r="N347" s="146">
        <f>IFERROR(__xludf.DUMMYFUNCTION("""COMPUTED_VALUE"""),95.0)</f>
        <v>95</v>
      </c>
      <c r="O347" s="146">
        <f>IFERROR(__xludf.DUMMYFUNCTION("""COMPUTED_VALUE"""),95.0)</f>
        <v>95</v>
      </c>
      <c r="P347" s="146">
        <f>IFERROR(__xludf.DUMMYFUNCTION("""COMPUTED_VALUE"""),232.0)</f>
        <v>232</v>
      </c>
      <c r="Q347" s="146"/>
      <c r="R347" s="146"/>
      <c r="T347" s="131" t="str">
        <f>IFERROR(__xludf.DUMMYFUNCTION("""COMPUTED_VALUE"""),"Y")</f>
        <v>Y</v>
      </c>
      <c r="U347" s="131" t="str">
        <f>IFERROR(__xludf.DUMMYFUNCTION("""COMPUTED_VALUE"""),"5")</f>
        <v>5</v>
      </c>
      <c r="V347" s="131"/>
      <c r="W347" s="144">
        <f>IFERROR(__xludf.DUMMYFUNCTION("""COMPUTED_VALUE"""),45718.0)</f>
        <v>45718</v>
      </c>
      <c r="X347" s="144">
        <f>IFERROR(__xludf.DUMMYFUNCTION("""COMPUTED_VALUE"""),45725.0)</f>
        <v>45725</v>
      </c>
      <c r="Y347" s="144">
        <f>IFERROR(__xludf.DUMMYFUNCTION("""COMPUTED_VALUE"""),45746.0)</f>
        <v>45746</v>
      </c>
      <c r="Z347" s="131" t="str">
        <f>IFERROR(__xludf.DUMMYFUNCTION("""COMPUTED_VALUE"""),"D35-1R")</f>
        <v>D35-1R</v>
      </c>
      <c r="AA347" s="131">
        <f>IFERROR(__xludf.DUMMYFUNCTION("""COMPUTED_VALUE"""),145.0)</f>
        <v>145</v>
      </c>
      <c r="AB347" s="131">
        <f>IFERROR(__xludf.DUMMYFUNCTION("""COMPUTED_VALUE"""),149.0)</f>
        <v>149</v>
      </c>
      <c r="AC347" s="131">
        <f>IFERROR(__xludf.DUMMYFUNCTION("""COMPUTED_VALUE"""),3.0)</f>
        <v>3</v>
      </c>
      <c r="AD347" s="131">
        <f>IFERROR(__xludf.DUMMYFUNCTION("""COMPUTED_VALUE"""),3.0)</f>
        <v>3</v>
      </c>
      <c r="AE347" s="131">
        <f>IFERROR(__xludf.DUMMYFUNCTION("""COMPUTED_VALUE"""),160.0)</f>
        <v>160</v>
      </c>
      <c r="AF347" s="131">
        <f>IFERROR(__xludf.DUMMYFUNCTION("""COMPUTED_VALUE"""),208.0)</f>
        <v>208</v>
      </c>
      <c r="AG347" s="131">
        <f>IFERROR(__xludf.DUMMYFUNCTION("""COMPUTED_VALUE"""),25.0)</f>
        <v>25</v>
      </c>
      <c r="AH347" s="131">
        <f>IFERROR(__xludf.DUMMYFUNCTION("""COMPUTED_VALUE"""),25.0)</f>
        <v>25</v>
      </c>
      <c r="AI347" s="131">
        <f>IFERROR(__xludf.DUMMYFUNCTION("""COMPUTED_VALUE"""),234.0)</f>
        <v>234</v>
      </c>
      <c r="AJ347" s="131"/>
      <c r="AK347" s="131"/>
    </row>
    <row r="348">
      <c r="A348" s="145" t="str">
        <f>IFERROR(__xludf.DUMMYFUNCTION("""COMPUTED_VALUE"""),"Y")</f>
        <v>Y</v>
      </c>
      <c r="B348" s="146" t="str">
        <f>IFERROR(__xludf.DUMMYFUNCTION("""COMPUTED_VALUE"""),"5")</f>
        <v>5</v>
      </c>
      <c r="C348" s="146"/>
      <c r="D348" s="147">
        <f>IFERROR(__xludf.DUMMYFUNCTION("""COMPUTED_VALUE"""),45718.0)</f>
        <v>45718</v>
      </c>
      <c r="E348" s="147">
        <f>IFERROR(__xludf.DUMMYFUNCTION("""COMPUTED_VALUE"""),45725.0)</f>
        <v>45725</v>
      </c>
      <c r="F348" s="147">
        <f>IFERROR(__xludf.DUMMYFUNCTION("""COMPUTED_VALUE"""),45746.0)</f>
        <v>45746</v>
      </c>
      <c r="G348" s="146" t="str">
        <f>IFERROR(__xludf.DUMMYFUNCTION("""COMPUTED_VALUE"""),"D35-1R")</f>
        <v>D35-1R</v>
      </c>
      <c r="H348" s="148">
        <f>IFERROR(__xludf.DUMMYFUNCTION("""COMPUTED_VALUE"""),145.0)</f>
        <v>145</v>
      </c>
      <c r="I348" s="148">
        <f>IFERROR(__xludf.DUMMYFUNCTION("""COMPUTED_VALUE"""),149.0)</f>
        <v>149</v>
      </c>
      <c r="J348" s="146">
        <f>IFERROR(__xludf.DUMMYFUNCTION("""COMPUTED_VALUE"""),3.0)</f>
        <v>3</v>
      </c>
      <c r="K348" s="146">
        <f>IFERROR(__xludf.DUMMYFUNCTION("""COMPUTED_VALUE"""),3.0)</f>
        <v>3</v>
      </c>
      <c r="L348" s="146">
        <f>IFERROR(__xludf.DUMMYFUNCTION("""COMPUTED_VALUE"""),160.0)</f>
        <v>160</v>
      </c>
      <c r="M348" s="146">
        <f>IFERROR(__xludf.DUMMYFUNCTION("""COMPUTED_VALUE"""),208.0)</f>
        <v>208</v>
      </c>
      <c r="N348" s="146">
        <f>IFERROR(__xludf.DUMMYFUNCTION("""COMPUTED_VALUE"""),25.0)</f>
        <v>25</v>
      </c>
      <c r="O348" s="146">
        <f>IFERROR(__xludf.DUMMYFUNCTION("""COMPUTED_VALUE"""),25.0)</f>
        <v>25</v>
      </c>
      <c r="P348" s="146">
        <f>IFERROR(__xludf.DUMMYFUNCTION("""COMPUTED_VALUE"""),234.0)</f>
        <v>234</v>
      </c>
      <c r="Q348" s="146"/>
      <c r="R348" s="146"/>
      <c r="T348" s="131" t="str">
        <f>IFERROR(__xludf.DUMMYFUNCTION("""COMPUTED_VALUE"""),"Y")</f>
        <v>Y</v>
      </c>
      <c r="U348" s="131" t="str">
        <f>IFERROR(__xludf.DUMMYFUNCTION("""COMPUTED_VALUE"""),"5")</f>
        <v>5</v>
      </c>
      <c r="V348" s="131"/>
      <c r="W348" s="144">
        <f>IFERROR(__xludf.DUMMYFUNCTION("""COMPUTED_VALUE"""),45718.0)</f>
        <v>45718</v>
      </c>
      <c r="X348" s="144">
        <f>IFERROR(__xludf.DUMMYFUNCTION("""COMPUTED_VALUE"""),45725.0)</f>
        <v>45725</v>
      </c>
      <c r="Y348" s="144">
        <f>IFERROR(__xludf.DUMMYFUNCTION("""COMPUTED_VALUE"""),45746.0)</f>
        <v>45746</v>
      </c>
      <c r="Z348" s="131" t="str">
        <f>IFERROR(__xludf.DUMMYFUNCTION("""COMPUTED_VALUE"""),"D35-1R")</f>
        <v>D35-1R</v>
      </c>
      <c r="AA348" s="131"/>
      <c r="AB348" s="131"/>
      <c r="AC348" s="131"/>
      <c r="AD348" s="131"/>
      <c r="AE348" s="131">
        <f>IFERROR(__xludf.DUMMYFUNCTION("""COMPUTED_VALUE"""),212.0)</f>
        <v>212</v>
      </c>
      <c r="AF348" s="131">
        <f>IFERROR(__xludf.DUMMYFUNCTION("""COMPUTED_VALUE"""),224.0)</f>
        <v>224</v>
      </c>
      <c r="AG348" s="131">
        <f>IFERROR(__xludf.DUMMYFUNCTION("""COMPUTED_VALUE"""),7.0)</f>
        <v>7</v>
      </c>
      <c r="AH348" s="131">
        <f>IFERROR(__xludf.DUMMYFUNCTION("""COMPUTED_VALUE"""),7.0)</f>
        <v>7</v>
      </c>
      <c r="AI348" s="131">
        <f>IFERROR(__xludf.DUMMYFUNCTION("""COMPUTED_VALUE"""),234.0)</f>
        <v>234</v>
      </c>
      <c r="AJ348" s="131"/>
      <c r="AK348" s="131"/>
    </row>
    <row r="349">
      <c r="A349" s="145" t="str">
        <f>IFERROR(__xludf.DUMMYFUNCTION("""COMPUTED_VALUE"""),"Y")</f>
        <v>Y</v>
      </c>
      <c r="B349" s="146" t="str">
        <f>IFERROR(__xludf.DUMMYFUNCTION("""COMPUTED_VALUE"""),"5")</f>
        <v>5</v>
      </c>
      <c r="C349" s="146"/>
      <c r="D349" s="147">
        <f>IFERROR(__xludf.DUMMYFUNCTION("""COMPUTED_VALUE"""),45718.0)</f>
        <v>45718</v>
      </c>
      <c r="E349" s="147">
        <f>IFERROR(__xludf.DUMMYFUNCTION("""COMPUTED_VALUE"""),45725.0)</f>
        <v>45725</v>
      </c>
      <c r="F349" s="147">
        <f>IFERROR(__xludf.DUMMYFUNCTION("""COMPUTED_VALUE"""),45746.0)</f>
        <v>45746</v>
      </c>
      <c r="G349" s="146" t="str">
        <f>IFERROR(__xludf.DUMMYFUNCTION("""COMPUTED_VALUE"""),"D35-1R")</f>
        <v>D35-1R</v>
      </c>
      <c r="H349" s="148"/>
      <c r="I349" s="148"/>
      <c r="J349" s="146"/>
      <c r="K349" s="146"/>
      <c r="L349" s="146">
        <f>IFERROR(__xludf.DUMMYFUNCTION("""COMPUTED_VALUE"""),212.0)</f>
        <v>212</v>
      </c>
      <c r="M349" s="146">
        <f>IFERROR(__xludf.DUMMYFUNCTION("""COMPUTED_VALUE"""),224.0)</f>
        <v>224</v>
      </c>
      <c r="N349" s="146">
        <f>IFERROR(__xludf.DUMMYFUNCTION("""COMPUTED_VALUE"""),7.0)</f>
        <v>7</v>
      </c>
      <c r="O349" s="146">
        <f>IFERROR(__xludf.DUMMYFUNCTION("""COMPUTED_VALUE"""),7.0)</f>
        <v>7</v>
      </c>
      <c r="P349" s="146">
        <f>IFERROR(__xludf.DUMMYFUNCTION("""COMPUTED_VALUE"""),234.0)</f>
        <v>234</v>
      </c>
      <c r="Q349" s="146"/>
      <c r="R349" s="146"/>
      <c r="T349" s="131" t="str">
        <f>IFERROR(__xludf.DUMMYFUNCTION("""COMPUTED_VALUE"""),"Y")</f>
        <v>Y</v>
      </c>
      <c r="U349" s="131" t="str">
        <f>IFERROR(__xludf.DUMMYFUNCTION("""COMPUTED_VALUE"""),"5")</f>
        <v>5</v>
      </c>
      <c r="V349" s="131"/>
      <c r="W349" s="144">
        <f>IFERROR(__xludf.DUMMYFUNCTION("""COMPUTED_VALUE"""),45718.0)</f>
        <v>45718</v>
      </c>
      <c r="X349" s="144">
        <f>IFERROR(__xludf.DUMMYFUNCTION("""COMPUTED_VALUE"""),45725.0)</f>
        <v>45725</v>
      </c>
      <c r="Y349" s="144">
        <f>IFERROR(__xludf.DUMMYFUNCTION("""COMPUTED_VALUE"""),45746.0)</f>
        <v>45746</v>
      </c>
      <c r="Z349" s="131" t="str">
        <f>IFERROR(__xludf.DUMMYFUNCTION("""COMPUTED_VALUE"""),"D40-1L")</f>
        <v>D40-1L</v>
      </c>
      <c r="AA349" s="131"/>
      <c r="AB349" s="131"/>
      <c r="AC349" s="131"/>
      <c r="AD349" s="131"/>
      <c r="AE349" s="131">
        <f>IFERROR(__xludf.DUMMYFUNCTION("""COMPUTED_VALUE"""),2.0)</f>
        <v>2</v>
      </c>
      <c r="AF349" s="131">
        <f>IFERROR(__xludf.DUMMYFUNCTION("""COMPUTED_VALUE"""),98.0)</f>
        <v>98</v>
      </c>
      <c r="AG349" s="131">
        <f>IFERROR(__xludf.DUMMYFUNCTION("""COMPUTED_VALUE"""),49.0)</f>
        <v>49</v>
      </c>
      <c r="AH349" s="131">
        <f>IFERROR(__xludf.DUMMYFUNCTION("""COMPUTED_VALUE"""),49.0)</f>
        <v>49</v>
      </c>
      <c r="AI349" s="131">
        <f>IFERROR(__xludf.DUMMYFUNCTION("""COMPUTED_VALUE"""),235.0)</f>
        <v>235</v>
      </c>
      <c r="AJ349" s="131"/>
      <c r="AK349" s="131"/>
    </row>
    <row r="350">
      <c r="A350" s="145" t="str">
        <f>IFERROR(__xludf.DUMMYFUNCTION("""COMPUTED_VALUE"""),"Y")</f>
        <v>Y</v>
      </c>
      <c r="B350" s="146" t="str">
        <f>IFERROR(__xludf.DUMMYFUNCTION("""COMPUTED_VALUE"""),"5")</f>
        <v>5</v>
      </c>
      <c r="C350" s="146"/>
      <c r="D350" s="147">
        <f>IFERROR(__xludf.DUMMYFUNCTION("""COMPUTED_VALUE"""),45718.0)</f>
        <v>45718</v>
      </c>
      <c r="E350" s="147">
        <f>IFERROR(__xludf.DUMMYFUNCTION("""COMPUTED_VALUE"""),45725.0)</f>
        <v>45725</v>
      </c>
      <c r="F350" s="147">
        <f>IFERROR(__xludf.DUMMYFUNCTION("""COMPUTED_VALUE"""),45746.0)</f>
        <v>45746</v>
      </c>
      <c r="G350" s="146" t="str">
        <f>IFERROR(__xludf.DUMMYFUNCTION("""COMPUTED_VALUE"""),"D40-1L")</f>
        <v>D40-1L</v>
      </c>
      <c r="H350" s="148"/>
      <c r="I350" s="148"/>
      <c r="J350" s="146"/>
      <c r="K350" s="146"/>
      <c r="L350" s="146">
        <f>IFERROR(__xludf.DUMMYFUNCTION("""COMPUTED_VALUE"""),2.0)</f>
        <v>2</v>
      </c>
      <c r="M350" s="146">
        <f>IFERROR(__xludf.DUMMYFUNCTION("""COMPUTED_VALUE"""),98.0)</f>
        <v>98</v>
      </c>
      <c r="N350" s="146">
        <f>IFERROR(__xludf.DUMMYFUNCTION("""COMPUTED_VALUE"""),49.0)</f>
        <v>49</v>
      </c>
      <c r="O350" s="146">
        <f>IFERROR(__xludf.DUMMYFUNCTION("""COMPUTED_VALUE"""),49.0)</f>
        <v>49</v>
      </c>
      <c r="P350" s="146">
        <f>IFERROR(__xludf.DUMMYFUNCTION("""COMPUTED_VALUE"""),235.0)</f>
        <v>235</v>
      </c>
      <c r="Q350" s="146"/>
      <c r="R350" s="146"/>
      <c r="T350" s="131" t="str">
        <f>IFERROR(__xludf.DUMMYFUNCTION("""COMPUTED_VALUE"""),"Y")</f>
        <v>Y</v>
      </c>
      <c r="U350" s="131" t="str">
        <f>IFERROR(__xludf.DUMMYFUNCTION("""COMPUTED_VALUE"""),"5")</f>
        <v>5</v>
      </c>
      <c r="V350" s="131"/>
      <c r="W350" s="144">
        <f>IFERROR(__xludf.DUMMYFUNCTION("""COMPUTED_VALUE"""),45718.0)</f>
        <v>45718</v>
      </c>
      <c r="X350" s="144">
        <f>IFERROR(__xludf.DUMMYFUNCTION("""COMPUTED_VALUE"""),45725.0)</f>
        <v>45725</v>
      </c>
      <c r="Y350" s="144">
        <f>IFERROR(__xludf.DUMMYFUNCTION("""COMPUTED_VALUE"""),45746.0)</f>
        <v>45746</v>
      </c>
      <c r="Z350" s="131" t="str">
        <f>IFERROR(__xludf.DUMMYFUNCTION("""COMPUTED_VALUE"""),"DC38")</f>
        <v>DC38</v>
      </c>
      <c r="AA350" s="131">
        <f>IFERROR(__xludf.DUMMYFUNCTION("""COMPUTED_VALUE"""),1041.0)</f>
        <v>1041</v>
      </c>
      <c r="AB350" s="131">
        <f>IFERROR(__xludf.DUMMYFUNCTION("""COMPUTED_VALUE"""),1095.0)</f>
        <v>1095</v>
      </c>
      <c r="AC350" s="131">
        <f>IFERROR(__xludf.DUMMYFUNCTION("""COMPUTED_VALUE"""),28.0)</f>
        <v>28</v>
      </c>
      <c r="AD350" s="131">
        <f>IFERROR(__xludf.DUMMYFUNCTION("""COMPUTED_VALUE"""),28.0)</f>
        <v>28</v>
      </c>
      <c r="AE350" s="131">
        <f>IFERROR(__xludf.DUMMYFUNCTION("""COMPUTED_VALUE"""),970.0)</f>
        <v>970</v>
      </c>
      <c r="AF350" s="131">
        <f>IFERROR(__xludf.DUMMYFUNCTION("""COMPUTED_VALUE"""),1040.0)</f>
        <v>1040</v>
      </c>
      <c r="AG350" s="131">
        <f>IFERROR(__xludf.DUMMYFUNCTION("""COMPUTED_VALUE"""),36.0)</f>
        <v>36</v>
      </c>
      <c r="AH350" s="131">
        <f>IFERROR(__xludf.DUMMYFUNCTION("""COMPUTED_VALUE"""),36.0)</f>
        <v>36</v>
      </c>
      <c r="AI350" s="131">
        <f>IFERROR(__xludf.DUMMYFUNCTION("""COMPUTED_VALUE"""),233.0)</f>
        <v>233</v>
      </c>
      <c r="AJ350" s="131"/>
      <c r="AK350" s="131"/>
    </row>
    <row r="351">
      <c r="A351" s="145" t="str">
        <f>IFERROR(__xludf.DUMMYFUNCTION("""COMPUTED_VALUE"""),"Y")</f>
        <v>Y</v>
      </c>
      <c r="B351" s="146" t="str">
        <f>IFERROR(__xludf.DUMMYFUNCTION("""COMPUTED_VALUE"""),"5")</f>
        <v>5</v>
      </c>
      <c r="C351" s="146"/>
      <c r="D351" s="147">
        <f>IFERROR(__xludf.DUMMYFUNCTION("""COMPUTED_VALUE"""),45718.0)</f>
        <v>45718</v>
      </c>
      <c r="E351" s="147">
        <f>IFERROR(__xludf.DUMMYFUNCTION("""COMPUTED_VALUE"""),45725.0)</f>
        <v>45725</v>
      </c>
      <c r="F351" s="147">
        <f>IFERROR(__xludf.DUMMYFUNCTION("""COMPUTED_VALUE"""),45746.0)</f>
        <v>45746</v>
      </c>
      <c r="G351" s="146" t="str">
        <f>IFERROR(__xludf.DUMMYFUNCTION("""COMPUTED_VALUE"""),"DC38")</f>
        <v>DC38</v>
      </c>
      <c r="H351" s="148">
        <f>IFERROR(__xludf.DUMMYFUNCTION("""COMPUTED_VALUE"""),1041.0)</f>
        <v>1041</v>
      </c>
      <c r="I351" s="148">
        <f>IFERROR(__xludf.DUMMYFUNCTION("""COMPUTED_VALUE"""),1095.0)</f>
        <v>1095</v>
      </c>
      <c r="J351" s="146">
        <f>IFERROR(__xludf.DUMMYFUNCTION("""COMPUTED_VALUE"""),28.0)</f>
        <v>28</v>
      </c>
      <c r="K351" s="146">
        <f>IFERROR(__xludf.DUMMYFUNCTION("""COMPUTED_VALUE"""),28.0)</f>
        <v>28</v>
      </c>
      <c r="L351" s="146">
        <f>IFERROR(__xludf.DUMMYFUNCTION("""COMPUTED_VALUE"""),970.0)</f>
        <v>970</v>
      </c>
      <c r="M351" s="146">
        <f>IFERROR(__xludf.DUMMYFUNCTION("""COMPUTED_VALUE"""),1040.0)</f>
        <v>1040</v>
      </c>
      <c r="N351" s="146">
        <f>IFERROR(__xludf.DUMMYFUNCTION("""COMPUTED_VALUE"""),36.0)</f>
        <v>36</v>
      </c>
      <c r="O351" s="146">
        <f>IFERROR(__xludf.DUMMYFUNCTION("""COMPUTED_VALUE"""),36.0)</f>
        <v>36</v>
      </c>
      <c r="P351" s="146">
        <f>IFERROR(__xludf.DUMMYFUNCTION("""COMPUTED_VALUE"""),233.0)</f>
        <v>233</v>
      </c>
      <c r="Q351" s="146"/>
      <c r="R351" s="146"/>
      <c r="T351" s="131" t="str">
        <f>IFERROR(__xludf.DUMMYFUNCTION("""COMPUTED_VALUE"""),"Y")</f>
        <v>Y</v>
      </c>
      <c r="U351" s="131" t="str">
        <f>IFERROR(__xludf.DUMMYFUNCTION("""COMPUTED_VALUE"""),"5")</f>
        <v>5</v>
      </c>
      <c r="V351" s="131"/>
      <c r="W351" s="144">
        <f>IFERROR(__xludf.DUMMYFUNCTION("""COMPUTED_VALUE"""),45719.0)</f>
        <v>45719</v>
      </c>
      <c r="X351" s="144">
        <f>IFERROR(__xludf.DUMMYFUNCTION("""COMPUTED_VALUE"""),45726.0)</f>
        <v>45726</v>
      </c>
      <c r="Y351" s="144">
        <f>IFERROR(__xludf.DUMMYFUNCTION("""COMPUTED_VALUE"""),45747.0)</f>
        <v>45747</v>
      </c>
      <c r="Z351" s="131" t="str">
        <f>IFERROR(__xludf.DUMMYFUNCTION("""COMPUTED_VALUE"""),"D41-3L")</f>
        <v>D41-3L</v>
      </c>
      <c r="AA351" s="131">
        <f>IFERROR(__xludf.DUMMYFUNCTION("""COMPUTED_VALUE"""),1.0)</f>
        <v>1</v>
      </c>
      <c r="AB351" s="131">
        <f>IFERROR(__xludf.DUMMYFUNCTION("""COMPUTED_VALUE"""),227.0)</f>
        <v>227</v>
      </c>
      <c r="AC351" s="131">
        <f>IFERROR(__xludf.DUMMYFUNCTION("""COMPUTED_VALUE"""),114.0)</f>
        <v>114</v>
      </c>
      <c r="AD351" s="131">
        <f>IFERROR(__xludf.DUMMYFUNCTION("""COMPUTED_VALUE"""),114.0)</f>
        <v>114</v>
      </c>
      <c r="AE351" s="131"/>
      <c r="AF351" s="131"/>
      <c r="AG351" s="131"/>
      <c r="AH351" s="131"/>
      <c r="AI351" s="131">
        <f>IFERROR(__xludf.DUMMYFUNCTION("""COMPUTED_VALUE"""),236.0)</f>
        <v>236</v>
      </c>
      <c r="AJ351" s="131"/>
      <c r="AK351" s="131"/>
    </row>
    <row r="352">
      <c r="A352" s="145" t="str">
        <f>IFERROR(__xludf.DUMMYFUNCTION("""COMPUTED_VALUE"""),"Y")</f>
        <v>Y</v>
      </c>
      <c r="B352" s="146" t="str">
        <f>IFERROR(__xludf.DUMMYFUNCTION("""COMPUTED_VALUE"""),"5")</f>
        <v>5</v>
      </c>
      <c r="C352" s="146"/>
      <c r="D352" s="147">
        <f>IFERROR(__xludf.DUMMYFUNCTION("""COMPUTED_VALUE"""),45719.0)</f>
        <v>45719</v>
      </c>
      <c r="E352" s="147">
        <f>IFERROR(__xludf.DUMMYFUNCTION("""COMPUTED_VALUE"""),45726.0)</f>
        <v>45726</v>
      </c>
      <c r="F352" s="147">
        <f>IFERROR(__xludf.DUMMYFUNCTION("""COMPUTED_VALUE"""),45747.0)</f>
        <v>45747</v>
      </c>
      <c r="G352" s="146" t="str">
        <f>IFERROR(__xludf.DUMMYFUNCTION("""COMPUTED_VALUE"""),"D41-3L")</f>
        <v>D41-3L</v>
      </c>
      <c r="H352" s="148">
        <f>IFERROR(__xludf.DUMMYFUNCTION("""COMPUTED_VALUE"""),1.0)</f>
        <v>1</v>
      </c>
      <c r="I352" s="148">
        <f>IFERROR(__xludf.DUMMYFUNCTION("""COMPUTED_VALUE"""),227.0)</f>
        <v>227</v>
      </c>
      <c r="J352" s="146">
        <f>IFERROR(__xludf.DUMMYFUNCTION("""COMPUTED_VALUE"""),114.0)</f>
        <v>114</v>
      </c>
      <c r="K352" s="146">
        <f>IFERROR(__xludf.DUMMYFUNCTION("""COMPUTED_VALUE"""),114.0)</f>
        <v>114</v>
      </c>
      <c r="L352" s="146"/>
      <c r="M352" s="146"/>
      <c r="N352" s="146"/>
      <c r="O352" s="146"/>
      <c r="P352" s="146">
        <f>IFERROR(__xludf.DUMMYFUNCTION("""COMPUTED_VALUE"""),236.0)</f>
        <v>236</v>
      </c>
      <c r="Q352" s="146"/>
      <c r="R352" s="146"/>
      <c r="T352" s="131" t="str">
        <f>IFERROR(__xludf.DUMMYFUNCTION("""COMPUTED_VALUE"""),"Y")</f>
        <v>Y</v>
      </c>
      <c r="U352" s="131" t="str">
        <f>IFERROR(__xludf.DUMMYFUNCTION("""COMPUTED_VALUE"""),"5")</f>
        <v>5</v>
      </c>
      <c r="V352" s="131"/>
      <c r="W352" s="144">
        <f>IFERROR(__xludf.DUMMYFUNCTION("""COMPUTED_VALUE"""),45719.0)</f>
        <v>45719</v>
      </c>
      <c r="X352" s="144">
        <f>IFERROR(__xludf.DUMMYFUNCTION("""COMPUTED_VALUE"""),45726.0)</f>
        <v>45726</v>
      </c>
      <c r="Y352" s="144">
        <f>IFERROR(__xludf.DUMMYFUNCTION("""COMPUTED_VALUE"""),45747.0)</f>
        <v>45747</v>
      </c>
      <c r="Z352" s="131" t="str">
        <f>IFERROR(__xludf.DUMMYFUNCTION("""COMPUTED_VALUE"""),"D40-1L")</f>
        <v>D40-1L</v>
      </c>
      <c r="AA352" s="131">
        <f>IFERROR(__xludf.DUMMYFUNCTION("""COMPUTED_VALUE"""),3.0)</f>
        <v>3</v>
      </c>
      <c r="AB352" s="131">
        <f>IFERROR(__xludf.DUMMYFUNCTION("""COMPUTED_VALUE"""),3.0)</f>
        <v>3</v>
      </c>
      <c r="AC352" s="131">
        <f>IFERROR(__xludf.DUMMYFUNCTION("""COMPUTED_VALUE"""),1.0)</f>
        <v>1</v>
      </c>
      <c r="AD352" s="131">
        <f>IFERROR(__xludf.DUMMYFUNCTION("""COMPUTED_VALUE"""),1.0)</f>
        <v>1</v>
      </c>
      <c r="AE352" s="131">
        <f>IFERROR(__xludf.DUMMYFUNCTION("""COMPUTED_VALUE"""),100.0)</f>
        <v>100</v>
      </c>
      <c r="AF352" s="131">
        <f>IFERROR(__xludf.DUMMYFUNCTION("""COMPUTED_VALUE"""),134.0)</f>
        <v>134</v>
      </c>
      <c r="AG352" s="131">
        <f>IFERROR(__xludf.DUMMYFUNCTION("""COMPUTED_VALUE"""),18.0)</f>
        <v>18</v>
      </c>
      <c r="AH352" s="131">
        <f>IFERROR(__xludf.DUMMYFUNCTION("""COMPUTED_VALUE"""),18.0)</f>
        <v>18</v>
      </c>
      <c r="AI352" s="131">
        <f>IFERROR(__xludf.DUMMYFUNCTION("""COMPUTED_VALUE"""),237.0)</f>
        <v>237</v>
      </c>
      <c r="AJ352" s="131"/>
      <c r="AK352" s="131"/>
    </row>
    <row r="353">
      <c r="A353" s="145" t="str">
        <f>IFERROR(__xludf.DUMMYFUNCTION("""COMPUTED_VALUE"""),"Y")</f>
        <v>Y</v>
      </c>
      <c r="B353" s="146" t="str">
        <f>IFERROR(__xludf.DUMMYFUNCTION("""COMPUTED_VALUE"""),"5")</f>
        <v>5</v>
      </c>
      <c r="C353" s="146"/>
      <c r="D353" s="147">
        <f>IFERROR(__xludf.DUMMYFUNCTION("""COMPUTED_VALUE"""),45719.0)</f>
        <v>45719</v>
      </c>
      <c r="E353" s="147">
        <f>IFERROR(__xludf.DUMMYFUNCTION("""COMPUTED_VALUE"""),45726.0)</f>
        <v>45726</v>
      </c>
      <c r="F353" s="147">
        <f>IFERROR(__xludf.DUMMYFUNCTION("""COMPUTED_VALUE"""),45747.0)</f>
        <v>45747</v>
      </c>
      <c r="G353" s="146" t="str">
        <f>IFERROR(__xludf.DUMMYFUNCTION("""COMPUTED_VALUE"""),"D40-1L")</f>
        <v>D40-1L</v>
      </c>
      <c r="H353" s="148">
        <f>IFERROR(__xludf.DUMMYFUNCTION("""COMPUTED_VALUE"""),3.0)</f>
        <v>3</v>
      </c>
      <c r="I353" s="148">
        <f>IFERROR(__xludf.DUMMYFUNCTION("""COMPUTED_VALUE"""),3.0)</f>
        <v>3</v>
      </c>
      <c r="J353" s="146">
        <f>IFERROR(__xludf.DUMMYFUNCTION("""COMPUTED_VALUE"""),1.0)</f>
        <v>1</v>
      </c>
      <c r="K353" s="146">
        <f>IFERROR(__xludf.DUMMYFUNCTION("""COMPUTED_VALUE"""),1.0)</f>
        <v>1</v>
      </c>
      <c r="L353" s="146">
        <f>IFERROR(__xludf.DUMMYFUNCTION("""COMPUTED_VALUE"""),100.0)</f>
        <v>100</v>
      </c>
      <c r="M353" s="146">
        <f>IFERROR(__xludf.DUMMYFUNCTION("""COMPUTED_VALUE"""),134.0)</f>
        <v>134</v>
      </c>
      <c r="N353" s="146">
        <f>IFERROR(__xludf.DUMMYFUNCTION("""COMPUTED_VALUE"""),18.0)</f>
        <v>18</v>
      </c>
      <c r="O353" s="146">
        <f>IFERROR(__xludf.DUMMYFUNCTION("""COMPUTED_VALUE"""),18.0)</f>
        <v>18</v>
      </c>
      <c r="P353" s="146">
        <f>IFERROR(__xludf.DUMMYFUNCTION("""COMPUTED_VALUE"""),237.0)</f>
        <v>237</v>
      </c>
      <c r="Q353" s="146"/>
      <c r="R353" s="146"/>
      <c r="T353" s="131" t="str">
        <f>IFERROR(__xludf.DUMMYFUNCTION("""COMPUTED_VALUE"""),"Y")</f>
        <v>Y</v>
      </c>
      <c r="U353" s="131" t="str">
        <f>IFERROR(__xludf.DUMMYFUNCTION("""COMPUTED_VALUE"""),"5")</f>
        <v>5</v>
      </c>
      <c r="V353" s="131"/>
      <c r="W353" s="144">
        <f>IFERROR(__xludf.DUMMYFUNCTION("""COMPUTED_VALUE"""),45719.0)</f>
        <v>45719</v>
      </c>
      <c r="X353" s="144">
        <f>IFERROR(__xludf.DUMMYFUNCTION("""COMPUTED_VALUE"""),45726.0)</f>
        <v>45726</v>
      </c>
      <c r="Y353" s="144">
        <f>IFERROR(__xludf.DUMMYFUNCTION("""COMPUTED_VALUE"""),45747.0)</f>
        <v>45747</v>
      </c>
      <c r="Z353" s="131" t="str">
        <f>IFERROR(__xludf.DUMMYFUNCTION("""COMPUTED_VALUE"""),"D40-1L")</f>
        <v>D40-1L</v>
      </c>
      <c r="AA353" s="131">
        <f>IFERROR(__xludf.DUMMYFUNCTION("""COMPUTED_VALUE"""),9.0)</f>
        <v>9</v>
      </c>
      <c r="AB353" s="131">
        <f>IFERROR(__xludf.DUMMYFUNCTION("""COMPUTED_VALUE"""),9.0)</f>
        <v>9</v>
      </c>
      <c r="AC353" s="131">
        <f>IFERROR(__xludf.DUMMYFUNCTION("""COMPUTED_VALUE"""),1.0)</f>
        <v>1</v>
      </c>
      <c r="AD353" s="131">
        <f>IFERROR(__xludf.DUMMYFUNCTION("""COMPUTED_VALUE"""),1.0)</f>
        <v>1</v>
      </c>
      <c r="AE353" s="131">
        <f>IFERROR(__xludf.DUMMYFUNCTION("""COMPUTED_VALUE"""),144.0)</f>
        <v>144</v>
      </c>
      <c r="AF353" s="131">
        <f>IFERROR(__xludf.DUMMYFUNCTION("""COMPUTED_VALUE"""),248.0)</f>
        <v>248</v>
      </c>
      <c r="AG353" s="131">
        <f>IFERROR(__xludf.DUMMYFUNCTION("""COMPUTED_VALUE"""),53.0)</f>
        <v>53</v>
      </c>
      <c r="AH353" s="131">
        <f>IFERROR(__xludf.DUMMYFUNCTION("""COMPUTED_VALUE"""),53.0)</f>
        <v>53</v>
      </c>
      <c r="AI353" s="131">
        <f>IFERROR(__xludf.DUMMYFUNCTION("""COMPUTED_VALUE"""),237.0)</f>
        <v>237</v>
      </c>
      <c r="AJ353" s="131"/>
      <c r="AK353" s="131"/>
    </row>
    <row r="354">
      <c r="A354" s="145" t="str">
        <f>IFERROR(__xludf.DUMMYFUNCTION("""COMPUTED_VALUE"""),"Y")</f>
        <v>Y</v>
      </c>
      <c r="B354" s="146" t="str">
        <f>IFERROR(__xludf.DUMMYFUNCTION("""COMPUTED_VALUE"""),"5")</f>
        <v>5</v>
      </c>
      <c r="C354" s="146"/>
      <c r="D354" s="147">
        <f>IFERROR(__xludf.DUMMYFUNCTION("""COMPUTED_VALUE"""),45719.0)</f>
        <v>45719</v>
      </c>
      <c r="E354" s="147">
        <f>IFERROR(__xludf.DUMMYFUNCTION("""COMPUTED_VALUE"""),45726.0)</f>
        <v>45726</v>
      </c>
      <c r="F354" s="147">
        <f>IFERROR(__xludf.DUMMYFUNCTION("""COMPUTED_VALUE"""),45747.0)</f>
        <v>45747</v>
      </c>
      <c r="G354" s="146" t="str">
        <f>IFERROR(__xludf.DUMMYFUNCTION("""COMPUTED_VALUE"""),"D40-1L")</f>
        <v>D40-1L</v>
      </c>
      <c r="H354" s="148">
        <f>IFERROR(__xludf.DUMMYFUNCTION("""COMPUTED_VALUE"""),9.0)</f>
        <v>9</v>
      </c>
      <c r="I354" s="148">
        <f>IFERROR(__xludf.DUMMYFUNCTION("""COMPUTED_VALUE"""),9.0)</f>
        <v>9</v>
      </c>
      <c r="J354" s="146">
        <f>IFERROR(__xludf.DUMMYFUNCTION("""COMPUTED_VALUE"""),1.0)</f>
        <v>1</v>
      </c>
      <c r="K354" s="146">
        <f>IFERROR(__xludf.DUMMYFUNCTION("""COMPUTED_VALUE"""),1.0)</f>
        <v>1</v>
      </c>
      <c r="L354" s="146">
        <f>IFERROR(__xludf.DUMMYFUNCTION("""COMPUTED_VALUE"""),144.0)</f>
        <v>144</v>
      </c>
      <c r="M354" s="146">
        <f>IFERROR(__xludf.DUMMYFUNCTION("""COMPUTED_VALUE"""),248.0)</f>
        <v>248</v>
      </c>
      <c r="N354" s="146">
        <f>IFERROR(__xludf.DUMMYFUNCTION("""COMPUTED_VALUE"""),53.0)</f>
        <v>53</v>
      </c>
      <c r="O354" s="146">
        <f>IFERROR(__xludf.DUMMYFUNCTION("""COMPUTED_VALUE"""),53.0)</f>
        <v>53</v>
      </c>
      <c r="P354" s="146">
        <f>IFERROR(__xludf.DUMMYFUNCTION("""COMPUTED_VALUE"""),237.0)</f>
        <v>237</v>
      </c>
      <c r="Q354" s="146"/>
      <c r="R354" s="146"/>
      <c r="T354" s="131" t="str">
        <f>IFERROR(__xludf.DUMMYFUNCTION("""COMPUTED_VALUE"""),"Y")</f>
        <v>Y</v>
      </c>
      <c r="U354" s="131" t="str">
        <f>IFERROR(__xludf.DUMMYFUNCTION("""COMPUTED_VALUE"""),"5")</f>
        <v>5</v>
      </c>
      <c r="V354" s="131"/>
      <c r="W354" s="144">
        <f>IFERROR(__xludf.DUMMYFUNCTION("""COMPUTED_VALUE"""),45719.0)</f>
        <v>45719</v>
      </c>
      <c r="X354" s="144">
        <f>IFERROR(__xludf.DUMMYFUNCTION("""COMPUTED_VALUE"""),45726.0)</f>
        <v>45726</v>
      </c>
      <c r="Y354" s="144">
        <f>IFERROR(__xludf.DUMMYFUNCTION("""COMPUTED_VALUE"""),45747.0)</f>
        <v>45747</v>
      </c>
      <c r="Z354" s="131" t="str">
        <f>IFERROR(__xludf.DUMMYFUNCTION("""COMPUTED_VALUE"""),"D40-1L")</f>
        <v>D40-1L</v>
      </c>
      <c r="AA354" s="131">
        <f>IFERROR(__xludf.DUMMYFUNCTION("""COMPUTED_VALUE"""),11.0)</f>
        <v>11</v>
      </c>
      <c r="AB354" s="131">
        <f>IFERROR(__xludf.DUMMYFUNCTION("""COMPUTED_VALUE"""),11.0)</f>
        <v>11</v>
      </c>
      <c r="AC354" s="131">
        <f>IFERROR(__xludf.DUMMYFUNCTION("""COMPUTED_VALUE"""),1.0)</f>
        <v>1</v>
      </c>
      <c r="AD354" s="131">
        <f>IFERROR(__xludf.DUMMYFUNCTION("""COMPUTED_VALUE"""),1.0)</f>
        <v>1</v>
      </c>
      <c r="AE354" s="131"/>
      <c r="AF354" s="131"/>
      <c r="AG354" s="131"/>
      <c r="AH354" s="131"/>
      <c r="AI354" s="131">
        <f>IFERROR(__xludf.DUMMYFUNCTION("""COMPUTED_VALUE"""),237.0)</f>
        <v>237</v>
      </c>
      <c r="AJ354" s="131"/>
      <c r="AK354" s="131"/>
    </row>
    <row r="355">
      <c r="A355" s="145" t="str">
        <f>IFERROR(__xludf.DUMMYFUNCTION("""COMPUTED_VALUE"""),"Y")</f>
        <v>Y</v>
      </c>
      <c r="B355" s="146" t="str">
        <f>IFERROR(__xludf.DUMMYFUNCTION("""COMPUTED_VALUE"""),"5")</f>
        <v>5</v>
      </c>
      <c r="C355" s="146"/>
      <c r="D355" s="147">
        <f>IFERROR(__xludf.DUMMYFUNCTION("""COMPUTED_VALUE"""),45719.0)</f>
        <v>45719</v>
      </c>
      <c r="E355" s="147">
        <f>IFERROR(__xludf.DUMMYFUNCTION("""COMPUTED_VALUE"""),45726.0)</f>
        <v>45726</v>
      </c>
      <c r="F355" s="147">
        <f>IFERROR(__xludf.DUMMYFUNCTION("""COMPUTED_VALUE"""),45747.0)</f>
        <v>45747</v>
      </c>
      <c r="G355" s="146" t="str">
        <f>IFERROR(__xludf.DUMMYFUNCTION("""COMPUTED_VALUE"""),"D40-1L")</f>
        <v>D40-1L</v>
      </c>
      <c r="H355" s="148">
        <f>IFERROR(__xludf.DUMMYFUNCTION("""COMPUTED_VALUE"""),11.0)</f>
        <v>11</v>
      </c>
      <c r="I355" s="148">
        <f>IFERROR(__xludf.DUMMYFUNCTION("""COMPUTED_VALUE"""),11.0)</f>
        <v>11</v>
      </c>
      <c r="J355" s="146">
        <f>IFERROR(__xludf.DUMMYFUNCTION("""COMPUTED_VALUE"""),1.0)</f>
        <v>1</v>
      </c>
      <c r="K355" s="146">
        <f>IFERROR(__xludf.DUMMYFUNCTION("""COMPUTED_VALUE"""),1.0)</f>
        <v>1</v>
      </c>
      <c r="L355" s="146"/>
      <c r="M355" s="146"/>
      <c r="N355" s="146"/>
      <c r="O355" s="146"/>
      <c r="P355" s="146">
        <f>IFERROR(__xludf.DUMMYFUNCTION("""COMPUTED_VALUE"""),237.0)</f>
        <v>237</v>
      </c>
      <c r="Q355" s="146"/>
      <c r="R355" s="146"/>
      <c r="T355" s="131" t="str">
        <f>IFERROR(__xludf.DUMMYFUNCTION("""COMPUTED_VALUE"""),"Y")</f>
        <v>Y</v>
      </c>
      <c r="U355" s="131" t="str">
        <f>IFERROR(__xludf.DUMMYFUNCTION("""COMPUTED_VALUE"""),"5")</f>
        <v>5</v>
      </c>
      <c r="V355" s="131"/>
      <c r="W355" s="144">
        <f>IFERROR(__xludf.DUMMYFUNCTION("""COMPUTED_VALUE"""),45720.0)</f>
        <v>45720</v>
      </c>
      <c r="X355" s="144">
        <f>IFERROR(__xludf.DUMMYFUNCTION("""COMPUTED_VALUE"""),45727.0)</f>
        <v>45727</v>
      </c>
      <c r="Y355" s="144">
        <f>IFERROR(__xludf.DUMMYFUNCTION("""COMPUTED_VALUE"""),45748.0)</f>
        <v>45748</v>
      </c>
      <c r="Z355" s="131" t="str">
        <f>IFERROR(__xludf.DUMMYFUNCTION("""COMPUTED_VALUE"""),"D40-1L")</f>
        <v>D40-1L</v>
      </c>
      <c r="AA355" s="131">
        <f>IFERROR(__xludf.DUMMYFUNCTION("""COMPUTED_VALUE"""),7.0)</f>
        <v>7</v>
      </c>
      <c r="AB355" s="131">
        <f>IFERROR(__xludf.DUMMYFUNCTION("""COMPUTED_VALUE"""),7.0)</f>
        <v>7</v>
      </c>
      <c r="AC355" s="131">
        <f>IFERROR(__xludf.DUMMYFUNCTION("""COMPUTED_VALUE"""),1.0)</f>
        <v>1</v>
      </c>
      <c r="AD355" s="131">
        <f>IFERROR(__xludf.DUMMYFUNCTION("""COMPUTED_VALUE"""),1.0)</f>
        <v>1</v>
      </c>
      <c r="AE355" s="131"/>
      <c r="AF355" s="131"/>
      <c r="AG355" s="131"/>
      <c r="AH355" s="131"/>
      <c r="AI355" s="131">
        <f>IFERROR(__xludf.DUMMYFUNCTION("""COMPUTED_VALUE"""),238.0)</f>
        <v>238</v>
      </c>
      <c r="AJ355" s="131"/>
      <c r="AK355" s="131"/>
    </row>
    <row r="356">
      <c r="A356" s="145" t="str">
        <f>IFERROR(__xludf.DUMMYFUNCTION("""COMPUTED_VALUE"""),"Y")</f>
        <v>Y</v>
      </c>
      <c r="B356" s="146" t="str">
        <f>IFERROR(__xludf.DUMMYFUNCTION("""COMPUTED_VALUE"""),"5")</f>
        <v>5</v>
      </c>
      <c r="C356" s="146"/>
      <c r="D356" s="147">
        <f>IFERROR(__xludf.DUMMYFUNCTION("""COMPUTED_VALUE"""),45720.0)</f>
        <v>45720</v>
      </c>
      <c r="E356" s="147">
        <f>IFERROR(__xludf.DUMMYFUNCTION("""COMPUTED_VALUE"""),45727.0)</f>
        <v>45727</v>
      </c>
      <c r="F356" s="147">
        <f>IFERROR(__xludf.DUMMYFUNCTION("""COMPUTED_VALUE"""),45748.0)</f>
        <v>45748</v>
      </c>
      <c r="G356" s="146" t="str">
        <f>IFERROR(__xludf.DUMMYFUNCTION("""COMPUTED_VALUE"""),"D40-1L")</f>
        <v>D40-1L</v>
      </c>
      <c r="H356" s="148">
        <f>IFERROR(__xludf.DUMMYFUNCTION("""COMPUTED_VALUE"""),7.0)</f>
        <v>7</v>
      </c>
      <c r="I356" s="148">
        <f>IFERROR(__xludf.DUMMYFUNCTION("""COMPUTED_VALUE"""),7.0)</f>
        <v>7</v>
      </c>
      <c r="J356" s="146">
        <f>IFERROR(__xludf.DUMMYFUNCTION("""COMPUTED_VALUE"""),1.0)</f>
        <v>1</v>
      </c>
      <c r="K356" s="146">
        <f>IFERROR(__xludf.DUMMYFUNCTION("""COMPUTED_VALUE"""),1.0)</f>
        <v>1</v>
      </c>
      <c r="L356" s="146"/>
      <c r="M356" s="146"/>
      <c r="N356" s="146"/>
      <c r="O356" s="146"/>
      <c r="P356" s="146">
        <f>IFERROR(__xludf.DUMMYFUNCTION("""COMPUTED_VALUE"""),238.0)</f>
        <v>238</v>
      </c>
      <c r="Q356" s="146"/>
      <c r="R356" s="146"/>
      <c r="T356" s="131" t="str">
        <f>IFERROR(__xludf.DUMMYFUNCTION("""COMPUTED_VALUE"""),"Y")</f>
        <v>Y</v>
      </c>
      <c r="U356" s="131" t="str">
        <f>IFERROR(__xludf.DUMMYFUNCTION("""COMPUTED_VALUE"""),"5")</f>
        <v>5</v>
      </c>
      <c r="V356" s="131"/>
      <c r="W356" s="144">
        <f>IFERROR(__xludf.DUMMYFUNCTION("""COMPUTED_VALUE"""),45720.0)</f>
        <v>45720</v>
      </c>
      <c r="X356" s="144">
        <f>IFERROR(__xludf.DUMMYFUNCTION("""COMPUTED_VALUE"""),45727.0)</f>
        <v>45727</v>
      </c>
      <c r="Y356" s="144">
        <f>IFERROR(__xludf.DUMMYFUNCTION("""COMPUTED_VALUE"""),45748.0)</f>
        <v>45748</v>
      </c>
      <c r="Z356" s="131" t="str">
        <f>IFERROR(__xludf.DUMMYFUNCTION("""COMPUTED_VALUE"""),"D40-1L")</f>
        <v>D40-1L</v>
      </c>
      <c r="AA356" s="131">
        <f>IFERROR(__xludf.DUMMYFUNCTION("""COMPUTED_VALUE"""),13.0)</f>
        <v>13</v>
      </c>
      <c r="AB356" s="131">
        <f>IFERROR(__xludf.DUMMYFUNCTION("""COMPUTED_VALUE"""),53.0)</f>
        <v>53</v>
      </c>
      <c r="AC356" s="131">
        <f>IFERROR(__xludf.DUMMYFUNCTION("""COMPUTED_VALUE"""),21.0)</f>
        <v>21</v>
      </c>
      <c r="AD356" s="131">
        <f>IFERROR(__xludf.DUMMYFUNCTION("""COMPUTED_VALUE"""),21.0)</f>
        <v>21</v>
      </c>
      <c r="AE356" s="131"/>
      <c r="AF356" s="131"/>
      <c r="AG356" s="131"/>
      <c r="AH356" s="131"/>
      <c r="AI356" s="131">
        <f>IFERROR(__xludf.DUMMYFUNCTION("""COMPUTED_VALUE"""),238.0)</f>
        <v>238</v>
      </c>
      <c r="AJ356" s="131"/>
      <c r="AK356" s="131"/>
    </row>
    <row r="357">
      <c r="A357" s="145" t="str">
        <f>IFERROR(__xludf.DUMMYFUNCTION("""COMPUTED_VALUE"""),"Y")</f>
        <v>Y</v>
      </c>
      <c r="B357" s="146" t="str">
        <f>IFERROR(__xludf.DUMMYFUNCTION("""COMPUTED_VALUE"""),"5")</f>
        <v>5</v>
      </c>
      <c r="C357" s="146"/>
      <c r="D357" s="147">
        <f>IFERROR(__xludf.DUMMYFUNCTION("""COMPUTED_VALUE"""),45720.0)</f>
        <v>45720</v>
      </c>
      <c r="E357" s="147">
        <f>IFERROR(__xludf.DUMMYFUNCTION("""COMPUTED_VALUE"""),45727.0)</f>
        <v>45727</v>
      </c>
      <c r="F357" s="147">
        <f>IFERROR(__xludf.DUMMYFUNCTION("""COMPUTED_VALUE"""),45748.0)</f>
        <v>45748</v>
      </c>
      <c r="G357" s="146" t="str">
        <f>IFERROR(__xludf.DUMMYFUNCTION("""COMPUTED_VALUE"""),"D40-1L")</f>
        <v>D40-1L</v>
      </c>
      <c r="H357" s="148">
        <f>IFERROR(__xludf.DUMMYFUNCTION("""COMPUTED_VALUE"""),13.0)</f>
        <v>13</v>
      </c>
      <c r="I357" s="148">
        <f>IFERROR(__xludf.DUMMYFUNCTION("""COMPUTED_VALUE"""),53.0)</f>
        <v>53</v>
      </c>
      <c r="J357" s="146">
        <f>IFERROR(__xludf.DUMMYFUNCTION("""COMPUTED_VALUE"""),21.0)</f>
        <v>21</v>
      </c>
      <c r="K357" s="146">
        <f>IFERROR(__xludf.DUMMYFUNCTION("""COMPUTED_VALUE"""),21.0)</f>
        <v>21</v>
      </c>
      <c r="L357" s="146"/>
      <c r="M357" s="146"/>
      <c r="N357" s="146"/>
      <c r="O357" s="146"/>
      <c r="P357" s="146">
        <f>IFERROR(__xludf.DUMMYFUNCTION("""COMPUTED_VALUE"""),238.0)</f>
        <v>238</v>
      </c>
      <c r="Q357" s="146"/>
      <c r="R357" s="146"/>
      <c r="T357" s="131" t="str">
        <f>IFERROR(__xludf.DUMMYFUNCTION("""COMPUTED_VALUE"""),"Y")</f>
        <v>Y</v>
      </c>
      <c r="U357" s="131" t="str">
        <f>IFERROR(__xludf.DUMMYFUNCTION("""COMPUTED_VALUE"""),"5")</f>
        <v>5</v>
      </c>
      <c r="V357" s="131"/>
      <c r="W357" s="144">
        <f>IFERROR(__xludf.DUMMYFUNCTION("""COMPUTED_VALUE"""),45720.0)</f>
        <v>45720</v>
      </c>
      <c r="X357" s="144">
        <f>IFERROR(__xludf.DUMMYFUNCTION("""COMPUTED_VALUE"""),45727.0)</f>
        <v>45727</v>
      </c>
      <c r="Y357" s="144">
        <f>IFERROR(__xludf.DUMMYFUNCTION("""COMPUTED_VALUE"""),45748.0)</f>
        <v>45748</v>
      </c>
      <c r="Z357" s="131" t="str">
        <f>IFERROR(__xludf.DUMMYFUNCTION("""COMPUTED_VALUE"""),"D40-1L")</f>
        <v>D40-1L</v>
      </c>
      <c r="AA357" s="131">
        <f>IFERROR(__xludf.DUMMYFUNCTION("""COMPUTED_VALUE"""),57.0)</f>
        <v>57</v>
      </c>
      <c r="AB357" s="131">
        <f>IFERROR(__xludf.DUMMYFUNCTION("""COMPUTED_VALUE"""),103.0)</f>
        <v>103</v>
      </c>
      <c r="AC357" s="131">
        <f>IFERROR(__xludf.DUMMYFUNCTION("""COMPUTED_VALUE"""),24.0)</f>
        <v>24</v>
      </c>
      <c r="AD357" s="131">
        <f>IFERROR(__xludf.DUMMYFUNCTION("""COMPUTED_VALUE"""),24.0)</f>
        <v>24</v>
      </c>
      <c r="AE357" s="131"/>
      <c r="AF357" s="131"/>
      <c r="AG357" s="131"/>
      <c r="AH357" s="131"/>
      <c r="AI357" s="131">
        <f>IFERROR(__xludf.DUMMYFUNCTION("""COMPUTED_VALUE"""),238.0)</f>
        <v>238</v>
      </c>
      <c r="AJ357" s="131"/>
      <c r="AK357" s="131"/>
    </row>
    <row r="358">
      <c r="A358" s="145" t="str">
        <f>IFERROR(__xludf.DUMMYFUNCTION("""COMPUTED_VALUE"""),"Y")</f>
        <v>Y</v>
      </c>
      <c r="B358" s="146" t="str">
        <f>IFERROR(__xludf.DUMMYFUNCTION("""COMPUTED_VALUE"""),"5")</f>
        <v>5</v>
      </c>
      <c r="C358" s="146"/>
      <c r="D358" s="147">
        <f>IFERROR(__xludf.DUMMYFUNCTION("""COMPUTED_VALUE"""),45720.0)</f>
        <v>45720</v>
      </c>
      <c r="E358" s="147">
        <f>IFERROR(__xludf.DUMMYFUNCTION("""COMPUTED_VALUE"""),45727.0)</f>
        <v>45727</v>
      </c>
      <c r="F358" s="147">
        <f>IFERROR(__xludf.DUMMYFUNCTION("""COMPUTED_VALUE"""),45748.0)</f>
        <v>45748</v>
      </c>
      <c r="G358" s="146" t="str">
        <f>IFERROR(__xludf.DUMMYFUNCTION("""COMPUTED_VALUE"""),"D40-1L")</f>
        <v>D40-1L</v>
      </c>
      <c r="H358" s="148">
        <f>IFERROR(__xludf.DUMMYFUNCTION("""COMPUTED_VALUE"""),57.0)</f>
        <v>57</v>
      </c>
      <c r="I358" s="148">
        <f>IFERROR(__xludf.DUMMYFUNCTION("""COMPUTED_VALUE"""),103.0)</f>
        <v>103</v>
      </c>
      <c r="J358" s="146">
        <f>IFERROR(__xludf.DUMMYFUNCTION("""COMPUTED_VALUE"""),24.0)</f>
        <v>24</v>
      </c>
      <c r="K358" s="146">
        <f>IFERROR(__xludf.DUMMYFUNCTION("""COMPUTED_VALUE"""),24.0)</f>
        <v>24</v>
      </c>
      <c r="L358" s="146"/>
      <c r="M358" s="146"/>
      <c r="N358" s="146"/>
      <c r="O358" s="146"/>
      <c r="P358" s="146">
        <f>IFERROR(__xludf.DUMMYFUNCTION("""COMPUTED_VALUE"""),238.0)</f>
        <v>238</v>
      </c>
      <c r="Q358" s="146"/>
      <c r="R358" s="146"/>
      <c r="T358" s="131" t="str">
        <f>IFERROR(__xludf.DUMMYFUNCTION("""COMPUTED_VALUE"""),"Y")</f>
        <v>Y</v>
      </c>
      <c r="U358" s="131" t="str">
        <f>IFERROR(__xludf.DUMMYFUNCTION("""COMPUTED_VALUE"""),"5")</f>
        <v>5</v>
      </c>
      <c r="V358" s="131"/>
      <c r="W358" s="144">
        <f>IFERROR(__xludf.DUMMYFUNCTION("""COMPUTED_VALUE"""),45720.0)</f>
        <v>45720</v>
      </c>
      <c r="X358" s="144">
        <f>IFERROR(__xludf.DUMMYFUNCTION("""COMPUTED_VALUE"""),45727.0)</f>
        <v>45727</v>
      </c>
      <c r="Y358" s="144">
        <f>IFERROR(__xludf.DUMMYFUNCTION("""COMPUTED_VALUE"""),45748.0)</f>
        <v>45748</v>
      </c>
      <c r="Z358" s="131" t="str">
        <f>IFERROR(__xludf.DUMMYFUNCTION("""COMPUTED_VALUE"""),"D40-1L")</f>
        <v>D40-1L</v>
      </c>
      <c r="AA358" s="131">
        <f>IFERROR(__xludf.DUMMYFUNCTION("""COMPUTED_VALUE"""),107.0)</f>
        <v>107</v>
      </c>
      <c r="AB358" s="131">
        <f>IFERROR(__xludf.DUMMYFUNCTION("""COMPUTED_VALUE"""),133.0)</f>
        <v>133</v>
      </c>
      <c r="AC358" s="131">
        <f>IFERROR(__xludf.DUMMYFUNCTION("""COMPUTED_VALUE"""),14.0)</f>
        <v>14</v>
      </c>
      <c r="AD358" s="131">
        <f>IFERROR(__xludf.DUMMYFUNCTION("""COMPUTED_VALUE"""),14.0)</f>
        <v>14</v>
      </c>
      <c r="AE358" s="131"/>
      <c r="AF358" s="131"/>
      <c r="AG358" s="131"/>
      <c r="AH358" s="131"/>
      <c r="AI358" s="131">
        <f>IFERROR(__xludf.DUMMYFUNCTION("""COMPUTED_VALUE"""),238.0)</f>
        <v>238</v>
      </c>
      <c r="AJ358" s="131"/>
      <c r="AK358" s="131"/>
    </row>
    <row r="359">
      <c r="A359" s="145" t="str">
        <f>IFERROR(__xludf.DUMMYFUNCTION("""COMPUTED_VALUE"""),"Y")</f>
        <v>Y</v>
      </c>
      <c r="B359" s="146" t="str">
        <f>IFERROR(__xludf.DUMMYFUNCTION("""COMPUTED_VALUE"""),"5")</f>
        <v>5</v>
      </c>
      <c r="C359" s="146"/>
      <c r="D359" s="147">
        <f>IFERROR(__xludf.DUMMYFUNCTION("""COMPUTED_VALUE"""),45720.0)</f>
        <v>45720</v>
      </c>
      <c r="E359" s="147">
        <f>IFERROR(__xludf.DUMMYFUNCTION("""COMPUTED_VALUE"""),45727.0)</f>
        <v>45727</v>
      </c>
      <c r="F359" s="147">
        <f>IFERROR(__xludf.DUMMYFUNCTION("""COMPUTED_VALUE"""),45748.0)</f>
        <v>45748</v>
      </c>
      <c r="G359" s="146" t="str">
        <f>IFERROR(__xludf.DUMMYFUNCTION("""COMPUTED_VALUE"""),"D40-1L")</f>
        <v>D40-1L</v>
      </c>
      <c r="H359" s="148">
        <f>IFERROR(__xludf.DUMMYFUNCTION("""COMPUTED_VALUE"""),107.0)</f>
        <v>107</v>
      </c>
      <c r="I359" s="148">
        <f>IFERROR(__xludf.DUMMYFUNCTION("""COMPUTED_VALUE"""),133.0)</f>
        <v>133</v>
      </c>
      <c r="J359" s="146">
        <f>IFERROR(__xludf.DUMMYFUNCTION("""COMPUTED_VALUE"""),14.0)</f>
        <v>14</v>
      </c>
      <c r="K359" s="146">
        <f>IFERROR(__xludf.DUMMYFUNCTION("""COMPUTED_VALUE"""),14.0)</f>
        <v>14</v>
      </c>
      <c r="L359" s="146"/>
      <c r="M359" s="146"/>
      <c r="N359" s="146"/>
      <c r="O359" s="146"/>
      <c r="P359" s="146">
        <f>IFERROR(__xludf.DUMMYFUNCTION("""COMPUTED_VALUE"""),238.0)</f>
        <v>238</v>
      </c>
      <c r="Q359" s="146"/>
      <c r="R359" s="146"/>
      <c r="T359" s="131" t="str">
        <f>IFERROR(__xludf.DUMMYFUNCTION("""COMPUTED_VALUE"""),"Y")</f>
        <v>Y</v>
      </c>
      <c r="U359" s="131" t="str">
        <f>IFERROR(__xludf.DUMMYFUNCTION("""COMPUTED_VALUE"""),"5")</f>
        <v>5</v>
      </c>
      <c r="V359" s="131"/>
      <c r="W359" s="144">
        <f>IFERROR(__xludf.DUMMYFUNCTION("""COMPUTED_VALUE"""),45720.0)</f>
        <v>45720</v>
      </c>
      <c r="X359" s="144">
        <f>IFERROR(__xludf.DUMMYFUNCTION("""COMPUTED_VALUE"""),45727.0)</f>
        <v>45727</v>
      </c>
      <c r="Y359" s="144">
        <f>IFERROR(__xludf.DUMMYFUNCTION("""COMPUTED_VALUE"""),45748.0)</f>
        <v>45748</v>
      </c>
      <c r="Z359" s="131" t="str">
        <f>IFERROR(__xludf.DUMMYFUNCTION("""COMPUTED_VALUE"""),"D40-1L")</f>
        <v>D40-1L</v>
      </c>
      <c r="AA359" s="131">
        <f>IFERROR(__xludf.DUMMYFUNCTION("""COMPUTED_VALUE"""),145.0)</f>
        <v>145</v>
      </c>
      <c r="AB359" s="131">
        <f>IFERROR(__xludf.DUMMYFUNCTION("""COMPUTED_VALUE"""),151.0)</f>
        <v>151</v>
      </c>
      <c r="AC359" s="131">
        <f>IFERROR(__xludf.DUMMYFUNCTION("""COMPUTED_VALUE"""),4.0)</f>
        <v>4</v>
      </c>
      <c r="AD359" s="131">
        <f>IFERROR(__xludf.DUMMYFUNCTION("""COMPUTED_VALUE"""),4.0)</f>
        <v>4</v>
      </c>
      <c r="AE359" s="131"/>
      <c r="AF359" s="131"/>
      <c r="AG359" s="131"/>
      <c r="AH359" s="131"/>
      <c r="AI359" s="131">
        <f>IFERROR(__xludf.DUMMYFUNCTION("""COMPUTED_VALUE"""),238.0)</f>
        <v>238</v>
      </c>
      <c r="AJ359" s="131"/>
      <c r="AK359" s="131"/>
    </row>
    <row r="360">
      <c r="A360" s="145" t="str">
        <f>IFERROR(__xludf.DUMMYFUNCTION("""COMPUTED_VALUE"""),"Y")</f>
        <v>Y</v>
      </c>
      <c r="B360" s="146" t="str">
        <f>IFERROR(__xludf.DUMMYFUNCTION("""COMPUTED_VALUE"""),"5")</f>
        <v>5</v>
      </c>
      <c r="C360" s="146"/>
      <c r="D360" s="147">
        <f>IFERROR(__xludf.DUMMYFUNCTION("""COMPUTED_VALUE"""),45720.0)</f>
        <v>45720</v>
      </c>
      <c r="E360" s="147">
        <f>IFERROR(__xludf.DUMMYFUNCTION("""COMPUTED_VALUE"""),45727.0)</f>
        <v>45727</v>
      </c>
      <c r="F360" s="147">
        <f>IFERROR(__xludf.DUMMYFUNCTION("""COMPUTED_VALUE"""),45748.0)</f>
        <v>45748</v>
      </c>
      <c r="G360" s="146" t="str">
        <f>IFERROR(__xludf.DUMMYFUNCTION("""COMPUTED_VALUE"""),"D40-1L")</f>
        <v>D40-1L</v>
      </c>
      <c r="H360" s="148">
        <f>IFERROR(__xludf.DUMMYFUNCTION("""COMPUTED_VALUE"""),145.0)</f>
        <v>145</v>
      </c>
      <c r="I360" s="148">
        <f>IFERROR(__xludf.DUMMYFUNCTION("""COMPUTED_VALUE"""),151.0)</f>
        <v>151</v>
      </c>
      <c r="J360" s="146">
        <f>IFERROR(__xludf.DUMMYFUNCTION("""COMPUTED_VALUE"""),4.0)</f>
        <v>4</v>
      </c>
      <c r="K360" s="146">
        <f>IFERROR(__xludf.DUMMYFUNCTION("""COMPUTED_VALUE"""),4.0)</f>
        <v>4</v>
      </c>
      <c r="L360" s="146"/>
      <c r="M360" s="146"/>
      <c r="N360" s="146"/>
      <c r="O360" s="146"/>
      <c r="P360" s="146">
        <f>IFERROR(__xludf.DUMMYFUNCTION("""COMPUTED_VALUE"""),238.0)</f>
        <v>238</v>
      </c>
      <c r="Q360" s="146"/>
      <c r="R360" s="146"/>
      <c r="T360" s="131" t="str">
        <f>IFERROR(__xludf.DUMMYFUNCTION("""COMPUTED_VALUE"""),"Y")</f>
        <v>Y</v>
      </c>
      <c r="U360" s="131" t="str">
        <f>IFERROR(__xludf.DUMMYFUNCTION("""COMPUTED_VALUE"""),"5")</f>
        <v>5</v>
      </c>
      <c r="V360" s="131"/>
      <c r="W360" s="144">
        <f>IFERROR(__xludf.DUMMYFUNCTION("""COMPUTED_VALUE"""),45720.0)</f>
        <v>45720</v>
      </c>
      <c r="X360" s="144">
        <f>IFERROR(__xludf.DUMMYFUNCTION("""COMPUTED_VALUE"""),45727.0)</f>
        <v>45727</v>
      </c>
      <c r="Y360" s="144">
        <f>IFERROR(__xludf.DUMMYFUNCTION("""COMPUTED_VALUE"""),45748.0)</f>
        <v>45748</v>
      </c>
      <c r="Z360" s="131" t="str">
        <f>IFERROR(__xludf.DUMMYFUNCTION("""COMPUTED_VALUE"""),"D40-1L")</f>
        <v>D40-1L</v>
      </c>
      <c r="AA360" s="131">
        <f>IFERROR(__xludf.DUMMYFUNCTION("""COMPUTED_VALUE"""),155.0)</f>
        <v>155</v>
      </c>
      <c r="AB360" s="131">
        <f>IFERROR(__xludf.DUMMYFUNCTION("""COMPUTED_VALUE"""),201.0)</f>
        <v>201</v>
      </c>
      <c r="AC360" s="131">
        <f>IFERROR(__xludf.DUMMYFUNCTION("""COMPUTED_VALUE"""),24.0)</f>
        <v>24</v>
      </c>
      <c r="AD360" s="131">
        <f>IFERROR(__xludf.DUMMYFUNCTION("""COMPUTED_VALUE"""),24.0)</f>
        <v>24</v>
      </c>
      <c r="AE360" s="131"/>
      <c r="AF360" s="131"/>
      <c r="AG360" s="131"/>
      <c r="AH360" s="131"/>
      <c r="AI360" s="131">
        <f>IFERROR(__xludf.DUMMYFUNCTION("""COMPUTED_VALUE"""),238.0)</f>
        <v>238</v>
      </c>
      <c r="AJ360" s="131"/>
      <c r="AK360" s="131"/>
    </row>
    <row r="361">
      <c r="A361" s="145" t="str">
        <f>IFERROR(__xludf.DUMMYFUNCTION("""COMPUTED_VALUE"""),"Y")</f>
        <v>Y</v>
      </c>
      <c r="B361" s="146" t="str">
        <f>IFERROR(__xludf.DUMMYFUNCTION("""COMPUTED_VALUE"""),"5")</f>
        <v>5</v>
      </c>
      <c r="C361" s="146"/>
      <c r="D361" s="147">
        <f>IFERROR(__xludf.DUMMYFUNCTION("""COMPUTED_VALUE"""),45720.0)</f>
        <v>45720</v>
      </c>
      <c r="E361" s="147">
        <f>IFERROR(__xludf.DUMMYFUNCTION("""COMPUTED_VALUE"""),45727.0)</f>
        <v>45727</v>
      </c>
      <c r="F361" s="147">
        <f>IFERROR(__xludf.DUMMYFUNCTION("""COMPUTED_VALUE"""),45748.0)</f>
        <v>45748</v>
      </c>
      <c r="G361" s="146" t="str">
        <f>IFERROR(__xludf.DUMMYFUNCTION("""COMPUTED_VALUE"""),"D40-1L")</f>
        <v>D40-1L</v>
      </c>
      <c r="H361" s="148">
        <f>IFERROR(__xludf.DUMMYFUNCTION("""COMPUTED_VALUE"""),155.0)</f>
        <v>155</v>
      </c>
      <c r="I361" s="148">
        <f>IFERROR(__xludf.DUMMYFUNCTION("""COMPUTED_VALUE"""),201.0)</f>
        <v>201</v>
      </c>
      <c r="J361" s="146">
        <f>IFERROR(__xludf.DUMMYFUNCTION("""COMPUTED_VALUE"""),24.0)</f>
        <v>24</v>
      </c>
      <c r="K361" s="146">
        <f>IFERROR(__xludf.DUMMYFUNCTION("""COMPUTED_VALUE"""),24.0)</f>
        <v>24</v>
      </c>
      <c r="L361" s="146"/>
      <c r="M361" s="146"/>
      <c r="N361" s="146"/>
      <c r="O361" s="146"/>
      <c r="P361" s="146">
        <f>IFERROR(__xludf.DUMMYFUNCTION("""COMPUTED_VALUE"""),238.0)</f>
        <v>238</v>
      </c>
      <c r="Q361" s="146"/>
      <c r="R361" s="146"/>
      <c r="T361" s="131" t="str">
        <f>IFERROR(__xludf.DUMMYFUNCTION("""COMPUTED_VALUE"""),"Y")</f>
        <v>Y</v>
      </c>
      <c r="U361" s="131" t="str">
        <f>IFERROR(__xludf.DUMMYFUNCTION("""COMPUTED_VALUE"""),"5")</f>
        <v>5</v>
      </c>
      <c r="V361" s="131"/>
      <c r="W361" s="144">
        <f>IFERROR(__xludf.DUMMYFUNCTION("""COMPUTED_VALUE"""),45720.0)</f>
        <v>45720</v>
      </c>
      <c r="X361" s="144">
        <f>IFERROR(__xludf.DUMMYFUNCTION("""COMPUTED_VALUE"""),45727.0)</f>
        <v>45727</v>
      </c>
      <c r="Y361" s="144">
        <f>IFERROR(__xludf.DUMMYFUNCTION("""COMPUTED_VALUE"""),45748.0)</f>
        <v>45748</v>
      </c>
      <c r="Z361" s="131" t="str">
        <f>IFERROR(__xludf.DUMMYFUNCTION("""COMPUTED_VALUE"""),"D40-1L")</f>
        <v>D40-1L</v>
      </c>
      <c r="AA361" s="131">
        <f>IFERROR(__xludf.DUMMYFUNCTION("""COMPUTED_VALUE"""),205.0)</f>
        <v>205</v>
      </c>
      <c r="AB361" s="131">
        <f>IFERROR(__xludf.DUMMYFUNCTION("""COMPUTED_VALUE"""),211.0)</f>
        <v>211</v>
      </c>
      <c r="AC361" s="131">
        <f>IFERROR(__xludf.DUMMYFUNCTION("""COMPUTED_VALUE"""),4.0)</f>
        <v>4</v>
      </c>
      <c r="AD361" s="131">
        <f>IFERROR(__xludf.DUMMYFUNCTION("""COMPUTED_VALUE"""),4.0)</f>
        <v>4</v>
      </c>
      <c r="AE361" s="131"/>
      <c r="AF361" s="131"/>
      <c r="AG361" s="131"/>
      <c r="AH361" s="131"/>
      <c r="AI361" s="131">
        <f>IFERROR(__xludf.DUMMYFUNCTION("""COMPUTED_VALUE"""),238.0)</f>
        <v>238</v>
      </c>
      <c r="AJ361" s="131"/>
      <c r="AK361" s="131"/>
    </row>
    <row r="362">
      <c r="A362" s="145" t="str">
        <f>IFERROR(__xludf.DUMMYFUNCTION("""COMPUTED_VALUE"""),"Y")</f>
        <v>Y</v>
      </c>
      <c r="B362" s="146" t="str">
        <f>IFERROR(__xludf.DUMMYFUNCTION("""COMPUTED_VALUE"""),"5")</f>
        <v>5</v>
      </c>
      <c r="C362" s="146"/>
      <c r="D362" s="147">
        <f>IFERROR(__xludf.DUMMYFUNCTION("""COMPUTED_VALUE"""),45720.0)</f>
        <v>45720</v>
      </c>
      <c r="E362" s="147">
        <f>IFERROR(__xludf.DUMMYFUNCTION("""COMPUTED_VALUE"""),45727.0)</f>
        <v>45727</v>
      </c>
      <c r="F362" s="147">
        <f>IFERROR(__xludf.DUMMYFUNCTION("""COMPUTED_VALUE"""),45748.0)</f>
        <v>45748</v>
      </c>
      <c r="G362" s="146" t="str">
        <f>IFERROR(__xludf.DUMMYFUNCTION("""COMPUTED_VALUE"""),"D40-1L")</f>
        <v>D40-1L</v>
      </c>
      <c r="H362" s="148">
        <f>IFERROR(__xludf.DUMMYFUNCTION("""COMPUTED_VALUE"""),205.0)</f>
        <v>205</v>
      </c>
      <c r="I362" s="148">
        <f>IFERROR(__xludf.DUMMYFUNCTION("""COMPUTED_VALUE"""),211.0)</f>
        <v>211</v>
      </c>
      <c r="J362" s="146">
        <f>IFERROR(__xludf.DUMMYFUNCTION("""COMPUTED_VALUE"""),4.0)</f>
        <v>4</v>
      </c>
      <c r="K362" s="146">
        <f>IFERROR(__xludf.DUMMYFUNCTION("""COMPUTED_VALUE"""),4.0)</f>
        <v>4</v>
      </c>
      <c r="L362" s="146"/>
      <c r="M362" s="146"/>
      <c r="N362" s="146"/>
      <c r="O362" s="146"/>
      <c r="P362" s="146">
        <f>IFERROR(__xludf.DUMMYFUNCTION("""COMPUTED_VALUE"""),238.0)</f>
        <v>238</v>
      </c>
      <c r="Q362" s="146"/>
      <c r="R362" s="146"/>
      <c r="T362" s="131" t="str">
        <f>IFERROR(__xludf.DUMMYFUNCTION("""COMPUTED_VALUE"""),"Y")</f>
        <v>Y</v>
      </c>
      <c r="U362" s="131" t="str">
        <f>IFERROR(__xludf.DUMMYFUNCTION("""COMPUTED_VALUE"""),"5")</f>
        <v>5</v>
      </c>
      <c r="V362" s="131"/>
      <c r="W362" s="144">
        <f>IFERROR(__xludf.DUMMYFUNCTION("""COMPUTED_VALUE"""),45720.0)</f>
        <v>45720</v>
      </c>
      <c r="X362" s="144">
        <f>IFERROR(__xludf.DUMMYFUNCTION("""COMPUTED_VALUE"""),45727.0)</f>
        <v>45727</v>
      </c>
      <c r="Y362" s="144">
        <f>IFERROR(__xludf.DUMMYFUNCTION("""COMPUTED_VALUE"""),45748.0)</f>
        <v>45748</v>
      </c>
      <c r="Z362" s="131" t="str">
        <f>IFERROR(__xludf.DUMMYFUNCTION("""COMPUTED_VALUE"""),"D41-3L")</f>
        <v>D41-3L</v>
      </c>
      <c r="AA362" s="131">
        <f>IFERROR(__xludf.DUMMYFUNCTION("""COMPUTED_VALUE"""),229.0)</f>
        <v>229</v>
      </c>
      <c r="AB362" s="131">
        <f>IFERROR(__xludf.DUMMYFUNCTION("""COMPUTED_VALUE"""),249.0)</f>
        <v>249</v>
      </c>
      <c r="AC362" s="131">
        <f>IFERROR(__xludf.DUMMYFUNCTION("""COMPUTED_VALUE"""),11.0)</f>
        <v>11</v>
      </c>
      <c r="AD362" s="131">
        <f>IFERROR(__xludf.DUMMYFUNCTION("""COMPUTED_VALUE"""),11.0)</f>
        <v>11</v>
      </c>
      <c r="AE362" s="131">
        <f>IFERROR(__xludf.DUMMYFUNCTION("""COMPUTED_VALUE"""),2.0)</f>
        <v>2</v>
      </c>
      <c r="AF362" s="131">
        <f>IFERROR(__xludf.DUMMYFUNCTION("""COMPUTED_VALUE"""),226.0)</f>
        <v>226</v>
      </c>
      <c r="AG362" s="131">
        <f>IFERROR(__xludf.DUMMYFUNCTION("""COMPUTED_VALUE"""),113.0)</f>
        <v>113</v>
      </c>
      <c r="AH362" s="131">
        <f>IFERROR(__xludf.DUMMYFUNCTION("""COMPUTED_VALUE"""),113.0)</f>
        <v>113</v>
      </c>
      <c r="AI362" s="131">
        <f>IFERROR(__xludf.DUMMYFUNCTION("""COMPUTED_VALUE"""),239.0)</f>
        <v>239</v>
      </c>
      <c r="AJ362" s="131"/>
      <c r="AK362" s="131"/>
    </row>
    <row r="363">
      <c r="A363" s="145" t="str">
        <f>IFERROR(__xludf.DUMMYFUNCTION("""COMPUTED_VALUE"""),"Y")</f>
        <v>Y</v>
      </c>
      <c r="B363" s="146" t="str">
        <f>IFERROR(__xludf.DUMMYFUNCTION("""COMPUTED_VALUE"""),"5")</f>
        <v>5</v>
      </c>
      <c r="C363" s="146"/>
      <c r="D363" s="147">
        <f>IFERROR(__xludf.DUMMYFUNCTION("""COMPUTED_VALUE"""),45720.0)</f>
        <v>45720</v>
      </c>
      <c r="E363" s="147">
        <f>IFERROR(__xludf.DUMMYFUNCTION("""COMPUTED_VALUE"""),45727.0)</f>
        <v>45727</v>
      </c>
      <c r="F363" s="147">
        <f>IFERROR(__xludf.DUMMYFUNCTION("""COMPUTED_VALUE"""),45748.0)</f>
        <v>45748</v>
      </c>
      <c r="G363" s="146" t="str">
        <f>IFERROR(__xludf.DUMMYFUNCTION("""COMPUTED_VALUE"""),"D41-3L")</f>
        <v>D41-3L</v>
      </c>
      <c r="H363" s="148">
        <f>IFERROR(__xludf.DUMMYFUNCTION("""COMPUTED_VALUE"""),229.0)</f>
        <v>229</v>
      </c>
      <c r="I363" s="148">
        <f>IFERROR(__xludf.DUMMYFUNCTION("""COMPUTED_VALUE"""),249.0)</f>
        <v>249</v>
      </c>
      <c r="J363" s="146">
        <f>IFERROR(__xludf.DUMMYFUNCTION("""COMPUTED_VALUE"""),11.0)</f>
        <v>11</v>
      </c>
      <c r="K363" s="146">
        <f>IFERROR(__xludf.DUMMYFUNCTION("""COMPUTED_VALUE"""),11.0)</f>
        <v>11</v>
      </c>
      <c r="L363" s="146">
        <f>IFERROR(__xludf.DUMMYFUNCTION("""COMPUTED_VALUE"""),2.0)</f>
        <v>2</v>
      </c>
      <c r="M363" s="146">
        <f>IFERROR(__xludf.DUMMYFUNCTION("""COMPUTED_VALUE"""),226.0)</f>
        <v>226</v>
      </c>
      <c r="N363" s="146">
        <f>IFERROR(__xludf.DUMMYFUNCTION("""COMPUTED_VALUE"""),113.0)</f>
        <v>113</v>
      </c>
      <c r="O363" s="146">
        <f>IFERROR(__xludf.DUMMYFUNCTION("""COMPUTED_VALUE"""),113.0)</f>
        <v>113</v>
      </c>
      <c r="P363" s="146">
        <f>IFERROR(__xludf.DUMMYFUNCTION("""COMPUTED_VALUE"""),239.0)</f>
        <v>239</v>
      </c>
      <c r="Q363" s="146"/>
      <c r="R363" s="146"/>
      <c r="T363" s="131" t="str">
        <f>IFERROR(__xludf.DUMMYFUNCTION("""COMPUTED_VALUE"""),"Y")</f>
        <v>Y</v>
      </c>
      <c r="U363" s="131" t="str">
        <f>IFERROR(__xludf.DUMMYFUNCTION("""COMPUTED_VALUE"""),"5")</f>
        <v>5</v>
      </c>
      <c r="V363" s="131"/>
      <c r="W363" s="144">
        <f>IFERROR(__xludf.DUMMYFUNCTION("""COMPUTED_VALUE"""),45721.0)</f>
        <v>45721</v>
      </c>
      <c r="X363" s="144">
        <f>IFERROR(__xludf.DUMMYFUNCTION("""COMPUTED_VALUE"""),45728.0)</f>
        <v>45728</v>
      </c>
      <c r="Y363" s="144">
        <f>IFERROR(__xludf.DUMMYFUNCTION("""COMPUTED_VALUE"""),45749.0)</f>
        <v>45749</v>
      </c>
      <c r="Z363" s="131" t="str">
        <f>IFERROR(__xludf.DUMMYFUNCTION("""COMPUTED_VALUE"""),"D41-3L")</f>
        <v>D41-3L</v>
      </c>
      <c r="AA363" s="131">
        <f>IFERROR(__xludf.DUMMYFUNCTION("""COMPUTED_VALUE"""),251.0)</f>
        <v>251</v>
      </c>
      <c r="AB363" s="131">
        <f>IFERROR(__xludf.DUMMYFUNCTION("""COMPUTED_VALUE"""),307.0)</f>
        <v>307</v>
      </c>
      <c r="AC363" s="131">
        <f>IFERROR(__xludf.DUMMYFUNCTION("""COMPUTED_VALUE"""),29.0)</f>
        <v>29</v>
      </c>
      <c r="AD363" s="131">
        <f>IFERROR(__xludf.DUMMYFUNCTION("""COMPUTED_VALUE"""),29.0)</f>
        <v>29</v>
      </c>
      <c r="AE363" s="131">
        <f>IFERROR(__xludf.DUMMYFUNCTION("""COMPUTED_VALUE"""),228.0)</f>
        <v>228</v>
      </c>
      <c r="AF363" s="131">
        <f>IFERROR(__xludf.DUMMYFUNCTION("""COMPUTED_VALUE"""),248.0)</f>
        <v>248</v>
      </c>
      <c r="AG363" s="131">
        <f>IFERROR(__xludf.DUMMYFUNCTION("""COMPUTED_VALUE"""),11.0)</f>
        <v>11</v>
      </c>
      <c r="AH363" s="131">
        <f>IFERROR(__xludf.DUMMYFUNCTION("""COMPUTED_VALUE"""),11.0)</f>
        <v>11</v>
      </c>
      <c r="AI363" s="131">
        <f>IFERROR(__xludf.DUMMYFUNCTION("""COMPUTED_VALUE"""),240.0)</f>
        <v>240</v>
      </c>
      <c r="AJ363" s="131"/>
      <c r="AK363" s="131"/>
    </row>
    <row r="364">
      <c r="A364" s="145" t="str">
        <f>IFERROR(__xludf.DUMMYFUNCTION("""COMPUTED_VALUE"""),"Y")</f>
        <v>Y</v>
      </c>
      <c r="B364" s="146" t="str">
        <f>IFERROR(__xludf.DUMMYFUNCTION("""COMPUTED_VALUE"""),"5")</f>
        <v>5</v>
      </c>
      <c r="C364" s="146"/>
      <c r="D364" s="147">
        <f>IFERROR(__xludf.DUMMYFUNCTION("""COMPUTED_VALUE"""),45721.0)</f>
        <v>45721</v>
      </c>
      <c r="E364" s="147">
        <f>IFERROR(__xludf.DUMMYFUNCTION("""COMPUTED_VALUE"""),45728.0)</f>
        <v>45728</v>
      </c>
      <c r="F364" s="147">
        <f>IFERROR(__xludf.DUMMYFUNCTION("""COMPUTED_VALUE"""),45749.0)</f>
        <v>45749</v>
      </c>
      <c r="G364" s="146" t="str">
        <f>IFERROR(__xludf.DUMMYFUNCTION("""COMPUTED_VALUE"""),"D41-3L")</f>
        <v>D41-3L</v>
      </c>
      <c r="H364" s="148">
        <f>IFERROR(__xludf.DUMMYFUNCTION("""COMPUTED_VALUE"""),251.0)</f>
        <v>251</v>
      </c>
      <c r="I364" s="148">
        <f>IFERROR(__xludf.DUMMYFUNCTION("""COMPUTED_VALUE"""),307.0)</f>
        <v>307</v>
      </c>
      <c r="J364" s="146">
        <f>IFERROR(__xludf.DUMMYFUNCTION("""COMPUTED_VALUE"""),29.0)</f>
        <v>29</v>
      </c>
      <c r="K364" s="146">
        <f>IFERROR(__xludf.DUMMYFUNCTION("""COMPUTED_VALUE"""),29.0)</f>
        <v>29</v>
      </c>
      <c r="L364" s="146">
        <f>IFERROR(__xludf.DUMMYFUNCTION("""COMPUTED_VALUE"""),228.0)</f>
        <v>228</v>
      </c>
      <c r="M364" s="146">
        <f>IFERROR(__xludf.DUMMYFUNCTION("""COMPUTED_VALUE"""),248.0)</f>
        <v>248</v>
      </c>
      <c r="N364" s="146">
        <f>IFERROR(__xludf.DUMMYFUNCTION("""COMPUTED_VALUE"""),11.0)</f>
        <v>11</v>
      </c>
      <c r="O364" s="146">
        <f>IFERROR(__xludf.DUMMYFUNCTION("""COMPUTED_VALUE"""),11.0)</f>
        <v>11</v>
      </c>
      <c r="P364" s="146">
        <f>IFERROR(__xludf.DUMMYFUNCTION("""COMPUTED_VALUE"""),240.0)</f>
        <v>240</v>
      </c>
      <c r="Q364" s="146"/>
      <c r="R364" s="146"/>
      <c r="T364" s="131" t="str">
        <f>IFERROR(__xludf.DUMMYFUNCTION("""COMPUTED_VALUE"""),"Y")</f>
        <v>Y</v>
      </c>
      <c r="U364" s="131" t="str">
        <f>IFERROR(__xludf.DUMMYFUNCTION("""COMPUTED_VALUE"""),"5")</f>
        <v>5</v>
      </c>
      <c r="V364" s="131"/>
      <c r="W364" s="144">
        <f>IFERROR(__xludf.DUMMYFUNCTION("""COMPUTED_VALUE"""),45721.0)</f>
        <v>45721</v>
      </c>
      <c r="X364" s="144">
        <f>IFERROR(__xludf.DUMMYFUNCTION("""COMPUTED_VALUE"""),45728.0)</f>
        <v>45728</v>
      </c>
      <c r="Y364" s="144">
        <f>IFERROR(__xludf.DUMMYFUNCTION("""COMPUTED_VALUE"""),45749.0)</f>
        <v>45749</v>
      </c>
      <c r="Z364" s="131" t="str">
        <f>IFERROR(__xludf.DUMMYFUNCTION("""COMPUTED_VALUE"""),"D41-1L")</f>
        <v>D41-1L</v>
      </c>
      <c r="AA364" s="131"/>
      <c r="AB364" s="131"/>
      <c r="AC364" s="131"/>
      <c r="AD364" s="131"/>
      <c r="AE364" s="131"/>
      <c r="AF364" s="131"/>
      <c r="AG364" s="131"/>
      <c r="AH364" s="131"/>
      <c r="AI364" s="131"/>
      <c r="AJ364" s="131"/>
      <c r="AK364" s="131"/>
    </row>
    <row r="365">
      <c r="A365" s="145" t="str">
        <f>IFERROR(__xludf.DUMMYFUNCTION("""COMPUTED_VALUE"""),"Y")</f>
        <v>Y</v>
      </c>
      <c r="B365" s="146" t="str">
        <f>IFERROR(__xludf.DUMMYFUNCTION("""COMPUTED_VALUE"""),"5")</f>
        <v>5</v>
      </c>
      <c r="C365" s="146"/>
      <c r="D365" s="147">
        <f>IFERROR(__xludf.DUMMYFUNCTION("""COMPUTED_VALUE"""),45721.0)</f>
        <v>45721</v>
      </c>
      <c r="E365" s="147">
        <f>IFERROR(__xludf.DUMMYFUNCTION("""COMPUTED_VALUE"""),45728.0)</f>
        <v>45728</v>
      </c>
      <c r="F365" s="147">
        <f>IFERROR(__xludf.DUMMYFUNCTION("""COMPUTED_VALUE"""),45749.0)</f>
        <v>45749</v>
      </c>
      <c r="G365" s="146" t="str">
        <f>IFERROR(__xludf.DUMMYFUNCTION("""COMPUTED_VALUE"""),"D41-1L")</f>
        <v>D41-1L</v>
      </c>
      <c r="H365" s="148"/>
      <c r="I365" s="148"/>
      <c r="J365" s="146"/>
      <c r="K365" s="146"/>
      <c r="L365" s="146"/>
      <c r="M365" s="146"/>
      <c r="N365" s="146"/>
      <c r="O365" s="146"/>
      <c r="P365" s="146"/>
      <c r="Q365" s="146"/>
      <c r="R365" s="146"/>
      <c r="T365" s="131" t="str">
        <f>IFERROR(__xludf.DUMMYFUNCTION("""COMPUTED_VALUE"""),"N")</f>
        <v>N</v>
      </c>
      <c r="U365" s="131"/>
      <c r="V365" s="131"/>
      <c r="W365" s="144">
        <f>IFERROR(__xludf.DUMMYFUNCTION("""COMPUTED_VALUE"""),45721.0)</f>
        <v>45721</v>
      </c>
      <c r="X365" s="144">
        <f>IFERROR(__xludf.DUMMYFUNCTION("""COMPUTED_VALUE"""),45728.0)</f>
        <v>45728</v>
      </c>
      <c r="Y365" s="144">
        <f>IFERROR(__xludf.DUMMYFUNCTION("""COMPUTED_VALUE"""),45749.0)</f>
        <v>45749</v>
      </c>
      <c r="Z365" s="131" t="str">
        <f>IFERROR(__xludf.DUMMYFUNCTION("""COMPUTED_VALUE"""),"D40-1L")</f>
        <v>D40-1L</v>
      </c>
      <c r="AA365" s="131">
        <f>IFERROR(__xludf.DUMMYFUNCTION("""COMPUTED_VALUE"""),213.0)</f>
        <v>213</v>
      </c>
      <c r="AB365" s="131">
        <f>IFERROR(__xludf.DUMMYFUNCTION("""COMPUTED_VALUE"""),249.0)</f>
        <v>249</v>
      </c>
      <c r="AC365" s="131"/>
      <c r="AD365" s="131"/>
      <c r="AE365" s="131">
        <f>IFERROR(__xludf.DUMMYFUNCTION("""COMPUTED_VALUE"""),252.0)</f>
        <v>252</v>
      </c>
      <c r="AF365" s="131">
        <f>IFERROR(__xludf.DUMMYFUNCTION("""COMPUTED_VALUE"""),252.0)</f>
        <v>252</v>
      </c>
      <c r="AG365" s="131"/>
      <c r="AH365" s="131"/>
      <c r="AI365" s="131">
        <f>IFERROR(__xludf.DUMMYFUNCTION("""COMPUTED_VALUE"""),241.0)</f>
        <v>241</v>
      </c>
      <c r="AJ365" s="131"/>
      <c r="AK365" s="131"/>
    </row>
    <row r="366">
      <c r="A366" s="145" t="str">
        <f>IFERROR(__xludf.DUMMYFUNCTION("""COMPUTED_VALUE"""),"N")</f>
        <v>N</v>
      </c>
      <c r="B366" s="146"/>
      <c r="C366" s="146"/>
      <c r="D366" s="147">
        <f>IFERROR(__xludf.DUMMYFUNCTION("""COMPUTED_VALUE"""),45721.0)</f>
        <v>45721</v>
      </c>
      <c r="E366" s="147">
        <f>IFERROR(__xludf.DUMMYFUNCTION("""COMPUTED_VALUE"""),45728.0)</f>
        <v>45728</v>
      </c>
      <c r="F366" s="147">
        <f>IFERROR(__xludf.DUMMYFUNCTION("""COMPUTED_VALUE"""),45749.0)</f>
        <v>45749</v>
      </c>
      <c r="G366" s="146" t="str">
        <f>IFERROR(__xludf.DUMMYFUNCTION("""COMPUTED_VALUE"""),"D40-1L")</f>
        <v>D40-1L</v>
      </c>
      <c r="H366" s="148">
        <f>IFERROR(__xludf.DUMMYFUNCTION("""COMPUTED_VALUE"""),213.0)</f>
        <v>213</v>
      </c>
      <c r="I366" s="148">
        <f>IFERROR(__xludf.DUMMYFUNCTION("""COMPUTED_VALUE"""),249.0)</f>
        <v>249</v>
      </c>
      <c r="J366" s="146"/>
      <c r="K366" s="146"/>
      <c r="L366" s="146">
        <f>IFERROR(__xludf.DUMMYFUNCTION("""COMPUTED_VALUE"""),252.0)</f>
        <v>252</v>
      </c>
      <c r="M366" s="146">
        <f>IFERROR(__xludf.DUMMYFUNCTION("""COMPUTED_VALUE"""),252.0)</f>
        <v>252</v>
      </c>
      <c r="N366" s="146"/>
      <c r="O366" s="146"/>
      <c r="P366" s="146">
        <f>IFERROR(__xludf.DUMMYFUNCTION("""COMPUTED_VALUE"""),241.0)</f>
        <v>241</v>
      </c>
      <c r="Q366" s="146"/>
      <c r="R366" s="146"/>
      <c r="T366" s="131" t="str">
        <f>IFERROR(__xludf.DUMMYFUNCTION("""COMPUTED_VALUE"""),"N")</f>
        <v>N</v>
      </c>
      <c r="U366" s="131"/>
      <c r="V366" s="131"/>
      <c r="W366" s="144">
        <f>IFERROR(__xludf.DUMMYFUNCTION("""COMPUTED_VALUE"""),45721.0)</f>
        <v>45721</v>
      </c>
      <c r="X366" s="144">
        <f>IFERROR(__xludf.DUMMYFUNCTION("""COMPUTED_VALUE"""),45728.0)</f>
        <v>45728</v>
      </c>
      <c r="Y366" s="144">
        <f>IFERROR(__xludf.DUMMYFUNCTION("""COMPUTED_VALUE"""),45749.0)</f>
        <v>45749</v>
      </c>
      <c r="Z366" s="131" t="str">
        <f>IFERROR(__xludf.DUMMYFUNCTION("""COMPUTED_VALUE"""),"D40-1L")</f>
        <v>D40-1L</v>
      </c>
      <c r="AA366" s="131">
        <f>IFERROR(__xludf.DUMMYFUNCTION("""COMPUTED_VALUE"""),251.0)</f>
        <v>251</v>
      </c>
      <c r="AB366" s="131">
        <f>IFERROR(__xludf.DUMMYFUNCTION("""COMPUTED_VALUE"""),251.0)</f>
        <v>251</v>
      </c>
      <c r="AC366" s="131"/>
      <c r="AD366" s="131"/>
      <c r="AE366" s="131"/>
      <c r="AF366" s="131"/>
      <c r="AG366" s="131"/>
      <c r="AH366" s="131"/>
      <c r="AI366" s="131">
        <f>IFERROR(__xludf.DUMMYFUNCTION("""COMPUTED_VALUE"""),241.0)</f>
        <v>241</v>
      </c>
      <c r="AJ366" s="131"/>
      <c r="AK366" s="131"/>
    </row>
    <row r="367">
      <c r="A367" s="145" t="str">
        <f>IFERROR(__xludf.DUMMYFUNCTION("""COMPUTED_VALUE"""),"N")</f>
        <v>N</v>
      </c>
      <c r="B367" s="146"/>
      <c r="C367" s="146"/>
      <c r="D367" s="147">
        <f>IFERROR(__xludf.DUMMYFUNCTION("""COMPUTED_VALUE"""),45721.0)</f>
        <v>45721</v>
      </c>
      <c r="E367" s="147">
        <f>IFERROR(__xludf.DUMMYFUNCTION("""COMPUTED_VALUE"""),45728.0)</f>
        <v>45728</v>
      </c>
      <c r="F367" s="147">
        <f>IFERROR(__xludf.DUMMYFUNCTION("""COMPUTED_VALUE"""),45749.0)</f>
        <v>45749</v>
      </c>
      <c r="G367" s="146" t="str">
        <f>IFERROR(__xludf.DUMMYFUNCTION("""COMPUTED_VALUE"""),"D40-1L")</f>
        <v>D40-1L</v>
      </c>
      <c r="H367" s="148">
        <f>IFERROR(__xludf.DUMMYFUNCTION("""COMPUTED_VALUE"""),251.0)</f>
        <v>251</v>
      </c>
      <c r="I367" s="148">
        <f>IFERROR(__xludf.DUMMYFUNCTION("""COMPUTED_VALUE"""),251.0)</f>
        <v>251</v>
      </c>
      <c r="J367" s="146"/>
      <c r="K367" s="146"/>
      <c r="L367" s="146"/>
      <c r="M367" s="146"/>
      <c r="N367" s="146"/>
      <c r="O367" s="146"/>
      <c r="P367" s="146">
        <f>IFERROR(__xludf.DUMMYFUNCTION("""COMPUTED_VALUE"""),241.0)</f>
        <v>241</v>
      </c>
      <c r="Q367" s="146"/>
      <c r="R367" s="146"/>
      <c r="T367" s="131" t="str">
        <f>IFERROR(__xludf.DUMMYFUNCTION("""COMPUTED_VALUE"""),"N")</f>
        <v>N</v>
      </c>
      <c r="U367" s="131"/>
      <c r="V367" s="131"/>
      <c r="W367" s="144">
        <f>IFERROR(__xludf.DUMMYFUNCTION("""COMPUTED_VALUE"""),45721.0)</f>
        <v>45721</v>
      </c>
      <c r="X367" s="144">
        <f>IFERROR(__xludf.DUMMYFUNCTION("""COMPUTED_VALUE"""),45728.0)</f>
        <v>45728</v>
      </c>
      <c r="Y367" s="144">
        <f>IFERROR(__xludf.DUMMYFUNCTION("""COMPUTED_VALUE"""),45749.0)</f>
        <v>45749</v>
      </c>
      <c r="Z367" s="131" t="str">
        <f>IFERROR(__xludf.DUMMYFUNCTION("""COMPUTED_VALUE"""),"D41-1L")</f>
        <v>D41-1L</v>
      </c>
      <c r="AA367" s="131">
        <f>IFERROR(__xludf.DUMMYFUNCTION("""COMPUTED_VALUE"""),1.0)</f>
        <v>1</v>
      </c>
      <c r="AB367" s="131">
        <f>IFERROR(__xludf.DUMMYFUNCTION("""COMPUTED_VALUE"""),39.0)</f>
        <v>39</v>
      </c>
      <c r="AC367" s="131"/>
      <c r="AD367" s="131"/>
      <c r="AE367" s="131"/>
      <c r="AF367" s="131"/>
      <c r="AG367" s="131"/>
      <c r="AH367" s="131"/>
      <c r="AI367" s="131">
        <f>IFERROR(__xludf.DUMMYFUNCTION("""COMPUTED_VALUE"""),242.0)</f>
        <v>242</v>
      </c>
      <c r="AJ367" s="131"/>
      <c r="AK367" s="131"/>
    </row>
    <row r="368">
      <c r="A368" s="145" t="str">
        <f>IFERROR(__xludf.DUMMYFUNCTION("""COMPUTED_VALUE"""),"N")</f>
        <v>N</v>
      </c>
      <c r="B368" s="146"/>
      <c r="C368" s="146"/>
      <c r="D368" s="147">
        <f>IFERROR(__xludf.DUMMYFUNCTION("""COMPUTED_VALUE"""),45721.0)</f>
        <v>45721</v>
      </c>
      <c r="E368" s="147">
        <f>IFERROR(__xludf.DUMMYFUNCTION("""COMPUTED_VALUE"""),45728.0)</f>
        <v>45728</v>
      </c>
      <c r="F368" s="147">
        <f>IFERROR(__xludf.DUMMYFUNCTION("""COMPUTED_VALUE"""),45749.0)</f>
        <v>45749</v>
      </c>
      <c r="G368" s="146" t="str">
        <f>IFERROR(__xludf.DUMMYFUNCTION("""COMPUTED_VALUE"""),"D41-1L")</f>
        <v>D41-1L</v>
      </c>
      <c r="H368" s="148">
        <f>IFERROR(__xludf.DUMMYFUNCTION("""COMPUTED_VALUE"""),1.0)</f>
        <v>1</v>
      </c>
      <c r="I368" s="148">
        <f>IFERROR(__xludf.DUMMYFUNCTION("""COMPUTED_VALUE"""),39.0)</f>
        <v>39</v>
      </c>
      <c r="J368" s="146"/>
      <c r="K368" s="146"/>
      <c r="L368" s="146"/>
      <c r="M368" s="146"/>
      <c r="N368" s="146"/>
      <c r="O368" s="146"/>
      <c r="P368" s="146">
        <f>IFERROR(__xludf.DUMMYFUNCTION("""COMPUTED_VALUE"""),242.0)</f>
        <v>242</v>
      </c>
      <c r="Q368" s="146"/>
      <c r="R368" s="146"/>
      <c r="T368" s="131" t="str">
        <f>IFERROR(__xludf.DUMMYFUNCTION("""COMPUTED_VALUE"""),"Y")</f>
        <v>Y</v>
      </c>
      <c r="U368" s="131" t="str">
        <f>IFERROR(__xludf.DUMMYFUNCTION("""COMPUTED_VALUE"""),"5")</f>
        <v>5</v>
      </c>
      <c r="V368" s="131" t="str">
        <f>IFERROR(__xludf.DUMMYFUNCTION("""COMPUTED_VALUE"""),"925-930")</f>
        <v>925-930</v>
      </c>
      <c r="W368" s="144">
        <f>IFERROR(__xludf.DUMMYFUNCTION("""COMPUTED_VALUE"""),45733.0)</f>
        <v>45733</v>
      </c>
      <c r="X368" s="144">
        <f>IFERROR(__xludf.DUMMYFUNCTION("""COMPUTED_VALUE"""),45740.0)</f>
        <v>45740</v>
      </c>
      <c r="Y368" s="144">
        <f>IFERROR(__xludf.DUMMYFUNCTION("""COMPUTED_VALUE"""),45761.0)</f>
        <v>45761</v>
      </c>
      <c r="Z368" s="131" t="str">
        <f>IFERROR(__xludf.DUMMYFUNCTION("""COMPUTED_VALUE"""),"D40-2R")</f>
        <v>D40-2R</v>
      </c>
      <c r="AA368" s="131">
        <f>IFERROR(__xludf.DUMMYFUNCTION("""COMPUTED_VALUE"""),2.0)</f>
        <v>2</v>
      </c>
      <c r="AB368" s="131">
        <f>IFERROR(__xludf.DUMMYFUNCTION("""COMPUTED_VALUE"""),116.0)</f>
        <v>116</v>
      </c>
      <c r="AC368" s="131">
        <f>IFERROR(__xludf.DUMMYFUNCTION("""COMPUTED_VALUE"""),58.0)</f>
        <v>58</v>
      </c>
      <c r="AD368" s="131">
        <f>IFERROR(__xludf.DUMMYFUNCTION("""COMPUTED_VALUE"""),58.0)</f>
        <v>58</v>
      </c>
      <c r="AE368" s="131"/>
      <c r="AF368" s="131"/>
      <c r="AG368" s="131"/>
      <c r="AH368" s="131"/>
      <c r="AI368" s="131">
        <f>IFERROR(__xludf.DUMMYFUNCTION("""COMPUTED_VALUE"""),243.0)</f>
        <v>243</v>
      </c>
      <c r="AJ368" s="131"/>
      <c r="AK368" s="131"/>
    </row>
    <row r="369">
      <c r="A369" s="145" t="str">
        <f>IFERROR(__xludf.DUMMYFUNCTION("""COMPUTED_VALUE"""),"Y")</f>
        <v>Y</v>
      </c>
      <c r="B369" s="146" t="str">
        <f>IFERROR(__xludf.DUMMYFUNCTION("""COMPUTED_VALUE"""),"5")</f>
        <v>5</v>
      </c>
      <c r="C369" s="146" t="str">
        <f>IFERROR(__xludf.DUMMYFUNCTION("""COMPUTED_VALUE"""),"925-930")</f>
        <v>925-930</v>
      </c>
      <c r="D369" s="147">
        <f>IFERROR(__xludf.DUMMYFUNCTION("""COMPUTED_VALUE"""),45733.0)</f>
        <v>45733</v>
      </c>
      <c r="E369" s="147">
        <f>IFERROR(__xludf.DUMMYFUNCTION("""COMPUTED_VALUE"""),45740.0)</f>
        <v>45740</v>
      </c>
      <c r="F369" s="147">
        <f>IFERROR(__xludf.DUMMYFUNCTION("""COMPUTED_VALUE"""),45761.0)</f>
        <v>45761</v>
      </c>
      <c r="G369" s="146" t="str">
        <f>IFERROR(__xludf.DUMMYFUNCTION("""COMPUTED_VALUE"""),"D40-2R")</f>
        <v>D40-2R</v>
      </c>
      <c r="H369" s="148">
        <f>IFERROR(__xludf.DUMMYFUNCTION("""COMPUTED_VALUE"""),2.0)</f>
        <v>2</v>
      </c>
      <c r="I369" s="148">
        <f>IFERROR(__xludf.DUMMYFUNCTION("""COMPUTED_VALUE"""),116.0)</f>
        <v>116</v>
      </c>
      <c r="J369" s="146">
        <f>IFERROR(__xludf.DUMMYFUNCTION("""COMPUTED_VALUE"""),58.0)</f>
        <v>58</v>
      </c>
      <c r="K369" s="146">
        <f>IFERROR(__xludf.DUMMYFUNCTION("""COMPUTED_VALUE"""),58.0)</f>
        <v>58</v>
      </c>
      <c r="L369" s="146"/>
      <c r="M369" s="146"/>
      <c r="N369" s="146"/>
      <c r="O369" s="146"/>
      <c r="P369" s="146">
        <f>IFERROR(__xludf.DUMMYFUNCTION("""COMPUTED_VALUE"""),243.0)</f>
        <v>243</v>
      </c>
      <c r="Q369" s="146"/>
      <c r="R369" s="146"/>
      <c r="T369" s="131" t="str">
        <f>IFERROR(__xludf.DUMMYFUNCTION("""COMPUTED_VALUE"""),"Y")</f>
        <v>Y</v>
      </c>
      <c r="U369" s="131" t="str">
        <f>IFERROR(__xludf.DUMMYFUNCTION("""COMPUTED_VALUE"""),"5")</f>
        <v>5</v>
      </c>
      <c r="V369" s="131"/>
      <c r="W369" s="144">
        <f>IFERROR(__xludf.DUMMYFUNCTION("""COMPUTED_VALUE"""),45733.0)</f>
        <v>45733</v>
      </c>
      <c r="X369" s="144">
        <f>IFERROR(__xludf.DUMMYFUNCTION("""COMPUTED_VALUE"""),45740.0)</f>
        <v>45740</v>
      </c>
      <c r="Y369" s="144">
        <f>IFERROR(__xludf.DUMMYFUNCTION("""COMPUTED_VALUE"""),45761.0)</f>
        <v>45761</v>
      </c>
      <c r="Z369" s="131" t="str">
        <f>IFERROR(__xludf.DUMMYFUNCTION("""COMPUTED_VALUE"""),"D33-2L")</f>
        <v>D33-2L</v>
      </c>
      <c r="AA369" s="131">
        <f>IFERROR(__xludf.DUMMYFUNCTION("""COMPUTED_VALUE"""),3.0)</f>
        <v>3</v>
      </c>
      <c r="AB369" s="131">
        <f>IFERROR(__xludf.DUMMYFUNCTION("""COMPUTED_VALUE"""),3.0)</f>
        <v>3</v>
      </c>
      <c r="AC369" s="131">
        <f>IFERROR(__xludf.DUMMYFUNCTION("""COMPUTED_VALUE"""),1.0)</f>
        <v>1</v>
      </c>
      <c r="AD369" s="131">
        <f>IFERROR(__xludf.DUMMYFUNCTION("""COMPUTED_VALUE"""),1.0)</f>
        <v>1</v>
      </c>
      <c r="AE369" s="131">
        <f>IFERROR(__xludf.DUMMYFUNCTION("""COMPUTED_VALUE"""),172.0)</f>
        <v>172</v>
      </c>
      <c r="AF369" s="131">
        <f>IFERROR(__xludf.DUMMYFUNCTION("""COMPUTED_VALUE"""),300.0)</f>
        <v>300</v>
      </c>
      <c r="AG369" s="131">
        <f>IFERROR(__xludf.DUMMYFUNCTION("""COMPUTED_VALUE"""),65.0)</f>
        <v>65</v>
      </c>
      <c r="AH369" s="131">
        <f>IFERROR(__xludf.DUMMYFUNCTION("""COMPUTED_VALUE"""),65.0)</f>
        <v>65</v>
      </c>
      <c r="AI369" s="131">
        <f>IFERROR(__xludf.DUMMYFUNCTION("""COMPUTED_VALUE"""),245.0)</f>
        <v>245</v>
      </c>
      <c r="AJ369" s="131"/>
      <c r="AK369" s="131"/>
    </row>
    <row r="370">
      <c r="A370" s="145" t="str">
        <f>IFERROR(__xludf.DUMMYFUNCTION("""COMPUTED_VALUE"""),"Y")</f>
        <v>Y</v>
      </c>
      <c r="B370" s="146" t="str">
        <f>IFERROR(__xludf.DUMMYFUNCTION("""COMPUTED_VALUE"""),"5")</f>
        <v>5</v>
      </c>
      <c r="C370" s="146"/>
      <c r="D370" s="147">
        <f>IFERROR(__xludf.DUMMYFUNCTION("""COMPUTED_VALUE"""),45733.0)</f>
        <v>45733</v>
      </c>
      <c r="E370" s="147">
        <f>IFERROR(__xludf.DUMMYFUNCTION("""COMPUTED_VALUE"""),45740.0)</f>
        <v>45740</v>
      </c>
      <c r="F370" s="147">
        <f>IFERROR(__xludf.DUMMYFUNCTION("""COMPUTED_VALUE"""),45761.0)</f>
        <v>45761</v>
      </c>
      <c r="G370" s="146" t="str">
        <f>IFERROR(__xludf.DUMMYFUNCTION("""COMPUTED_VALUE"""),"D33-2L")</f>
        <v>D33-2L</v>
      </c>
      <c r="H370" s="148">
        <f>IFERROR(__xludf.DUMMYFUNCTION("""COMPUTED_VALUE"""),3.0)</f>
        <v>3</v>
      </c>
      <c r="I370" s="148">
        <f>IFERROR(__xludf.DUMMYFUNCTION("""COMPUTED_VALUE"""),3.0)</f>
        <v>3</v>
      </c>
      <c r="J370" s="146">
        <f>IFERROR(__xludf.DUMMYFUNCTION("""COMPUTED_VALUE"""),1.0)</f>
        <v>1</v>
      </c>
      <c r="K370" s="146">
        <f>IFERROR(__xludf.DUMMYFUNCTION("""COMPUTED_VALUE"""),1.0)</f>
        <v>1</v>
      </c>
      <c r="L370" s="146">
        <f>IFERROR(__xludf.DUMMYFUNCTION("""COMPUTED_VALUE"""),172.0)</f>
        <v>172</v>
      </c>
      <c r="M370" s="146">
        <f>IFERROR(__xludf.DUMMYFUNCTION("""COMPUTED_VALUE"""),300.0)</f>
        <v>300</v>
      </c>
      <c r="N370" s="146">
        <f>IFERROR(__xludf.DUMMYFUNCTION("""COMPUTED_VALUE"""),65.0)</f>
        <v>65</v>
      </c>
      <c r="O370" s="146">
        <f>IFERROR(__xludf.DUMMYFUNCTION("""COMPUTED_VALUE"""),65.0)</f>
        <v>65</v>
      </c>
      <c r="P370" s="146">
        <f>IFERROR(__xludf.DUMMYFUNCTION("""COMPUTED_VALUE"""),245.0)</f>
        <v>245</v>
      </c>
      <c r="Q370" s="146"/>
      <c r="R370" s="146"/>
      <c r="T370" s="131" t="str">
        <f>IFERROR(__xludf.DUMMYFUNCTION("""COMPUTED_VALUE"""),"Y")</f>
        <v>Y</v>
      </c>
      <c r="U370" s="131" t="str">
        <f>IFERROR(__xludf.DUMMYFUNCTION("""COMPUTED_VALUE"""),"5")</f>
        <v>5</v>
      </c>
      <c r="V370" s="131"/>
      <c r="W370" s="144">
        <f>IFERROR(__xludf.DUMMYFUNCTION("""COMPUTED_VALUE"""),45733.0)</f>
        <v>45733</v>
      </c>
      <c r="X370" s="144">
        <f>IFERROR(__xludf.DUMMYFUNCTION("""COMPUTED_VALUE"""),45740.0)</f>
        <v>45740</v>
      </c>
      <c r="Y370" s="144">
        <f>IFERROR(__xludf.DUMMYFUNCTION("""COMPUTED_VALUE"""),45761.0)</f>
        <v>45761</v>
      </c>
      <c r="Z370" s="131" t="str">
        <f>IFERROR(__xludf.DUMMYFUNCTION("""COMPUTED_VALUE"""),"D33-2L")</f>
        <v>D33-2L</v>
      </c>
      <c r="AA370" s="131">
        <f>IFERROR(__xludf.DUMMYFUNCTION("""COMPUTED_VALUE"""),7.0)</f>
        <v>7</v>
      </c>
      <c r="AB370" s="131">
        <f>IFERROR(__xludf.DUMMYFUNCTION("""COMPUTED_VALUE"""),53.0)</f>
        <v>53</v>
      </c>
      <c r="AC370" s="131">
        <f>IFERROR(__xludf.DUMMYFUNCTION("""COMPUTED_VALUE"""),24.0)</f>
        <v>24</v>
      </c>
      <c r="AD370" s="131">
        <f>IFERROR(__xludf.DUMMYFUNCTION("""COMPUTED_VALUE"""),24.0)</f>
        <v>24</v>
      </c>
      <c r="AE370" s="131"/>
      <c r="AF370" s="131"/>
      <c r="AG370" s="131"/>
      <c r="AH370" s="131"/>
      <c r="AI370" s="131">
        <f>IFERROR(__xludf.DUMMYFUNCTION("""COMPUTED_VALUE"""),245.0)</f>
        <v>245</v>
      </c>
      <c r="AJ370" s="131"/>
      <c r="AK370" s="131"/>
    </row>
    <row r="371">
      <c r="A371" s="145" t="str">
        <f>IFERROR(__xludf.DUMMYFUNCTION("""COMPUTED_VALUE"""),"Y")</f>
        <v>Y</v>
      </c>
      <c r="B371" s="146" t="str">
        <f>IFERROR(__xludf.DUMMYFUNCTION("""COMPUTED_VALUE"""),"5")</f>
        <v>5</v>
      </c>
      <c r="C371" s="146"/>
      <c r="D371" s="147">
        <f>IFERROR(__xludf.DUMMYFUNCTION("""COMPUTED_VALUE"""),45733.0)</f>
        <v>45733</v>
      </c>
      <c r="E371" s="147">
        <f>IFERROR(__xludf.DUMMYFUNCTION("""COMPUTED_VALUE"""),45740.0)</f>
        <v>45740</v>
      </c>
      <c r="F371" s="147">
        <f>IFERROR(__xludf.DUMMYFUNCTION("""COMPUTED_VALUE"""),45761.0)</f>
        <v>45761</v>
      </c>
      <c r="G371" s="146" t="str">
        <f>IFERROR(__xludf.DUMMYFUNCTION("""COMPUTED_VALUE"""),"D33-2L")</f>
        <v>D33-2L</v>
      </c>
      <c r="H371" s="148">
        <f>IFERROR(__xludf.DUMMYFUNCTION("""COMPUTED_VALUE"""),7.0)</f>
        <v>7</v>
      </c>
      <c r="I371" s="148">
        <f>IFERROR(__xludf.DUMMYFUNCTION("""COMPUTED_VALUE"""),53.0)</f>
        <v>53</v>
      </c>
      <c r="J371" s="146">
        <f>IFERROR(__xludf.DUMMYFUNCTION("""COMPUTED_VALUE"""),24.0)</f>
        <v>24</v>
      </c>
      <c r="K371" s="146">
        <f>IFERROR(__xludf.DUMMYFUNCTION("""COMPUTED_VALUE"""),24.0)</f>
        <v>24</v>
      </c>
      <c r="L371" s="146"/>
      <c r="M371" s="146"/>
      <c r="N371" s="146"/>
      <c r="O371" s="146"/>
      <c r="P371" s="146">
        <f>IFERROR(__xludf.DUMMYFUNCTION("""COMPUTED_VALUE"""),245.0)</f>
        <v>245</v>
      </c>
      <c r="Q371" s="146"/>
      <c r="R371" s="146"/>
      <c r="T371" s="131" t="str">
        <f>IFERROR(__xludf.DUMMYFUNCTION("""COMPUTED_VALUE"""),"Y")</f>
        <v>Y</v>
      </c>
      <c r="U371" s="131" t="str">
        <f>IFERROR(__xludf.DUMMYFUNCTION("""COMPUTED_VALUE"""),"5")</f>
        <v>5</v>
      </c>
      <c r="V371" s="131"/>
      <c r="W371" s="144">
        <f>IFERROR(__xludf.DUMMYFUNCTION("""COMPUTED_VALUE"""),45733.0)</f>
        <v>45733</v>
      </c>
      <c r="X371" s="144">
        <f>IFERROR(__xludf.DUMMYFUNCTION("""COMPUTED_VALUE"""),45740.0)</f>
        <v>45740</v>
      </c>
      <c r="Y371" s="144">
        <f>IFERROR(__xludf.DUMMYFUNCTION("""COMPUTED_VALUE"""),45761.0)</f>
        <v>45761</v>
      </c>
      <c r="Z371" s="131" t="str">
        <f>IFERROR(__xludf.DUMMYFUNCTION("""COMPUTED_VALUE"""),"D33-2L")</f>
        <v>D33-2L</v>
      </c>
      <c r="AA371" s="131">
        <f>IFERROR(__xludf.DUMMYFUNCTION("""COMPUTED_VALUE"""),57.0)</f>
        <v>57</v>
      </c>
      <c r="AB371" s="131">
        <f>IFERROR(__xludf.DUMMYFUNCTION("""COMPUTED_VALUE"""),83.0)</f>
        <v>83</v>
      </c>
      <c r="AC371" s="131">
        <f>IFERROR(__xludf.DUMMYFUNCTION("""COMPUTED_VALUE"""),14.0)</f>
        <v>14</v>
      </c>
      <c r="AD371" s="131">
        <f>IFERROR(__xludf.DUMMYFUNCTION("""COMPUTED_VALUE"""),14.0)</f>
        <v>14</v>
      </c>
      <c r="AE371" s="131"/>
      <c r="AF371" s="131"/>
      <c r="AG371" s="131"/>
      <c r="AH371" s="131"/>
      <c r="AI371" s="131">
        <f>IFERROR(__xludf.DUMMYFUNCTION("""COMPUTED_VALUE"""),245.0)</f>
        <v>245</v>
      </c>
      <c r="AJ371" s="131"/>
      <c r="AK371" s="131"/>
    </row>
    <row r="372">
      <c r="A372" s="145" t="str">
        <f>IFERROR(__xludf.DUMMYFUNCTION("""COMPUTED_VALUE"""),"Y")</f>
        <v>Y</v>
      </c>
      <c r="B372" s="146" t="str">
        <f>IFERROR(__xludf.DUMMYFUNCTION("""COMPUTED_VALUE"""),"5")</f>
        <v>5</v>
      </c>
      <c r="C372" s="146"/>
      <c r="D372" s="147">
        <f>IFERROR(__xludf.DUMMYFUNCTION("""COMPUTED_VALUE"""),45733.0)</f>
        <v>45733</v>
      </c>
      <c r="E372" s="147">
        <f>IFERROR(__xludf.DUMMYFUNCTION("""COMPUTED_VALUE"""),45740.0)</f>
        <v>45740</v>
      </c>
      <c r="F372" s="147">
        <f>IFERROR(__xludf.DUMMYFUNCTION("""COMPUTED_VALUE"""),45761.0)</f>
        <v>45761</v>
      </c>
      <c r="G372" s="146" t="str">
        <f>IFERROR(__xludf.DUMMYFUNCTION("""COMPUTED_VALUE"""),"D33-2L")</f>
        <v>D33-2L</v>
      </c>
      <c r="H372" s="148">
        <f>IFERROR(__xludf.DUMMYFUNCTION("""COMPUTED_VALUE"""),57.0)</f>
        <v>57</v>
      </c>
      <c r="I372" s="148">
        <f>IFERROR(__xludf.DUMMYFUNCTION("""COMPUTED_VALUE"""),83.0)</f>
        <v>83</v>
      </c>
      <c r="J372" s="146">
        <f>IFERROR(__xludf.DUMMYFUNCTION("""COMPUTED_VALUE"""),14.0)</f>
        <v>14</v>
      </c>
      <c r="K372" s="146">
        <f>IFERROR(__xludf.DUMMYFUNCTION("""COMPUTED_VALUE"""),14.0)</f>
        <v>14</v>
      </c>
      <c r="L372" s="146"/>
      <c r="M372" s="146"/>
      <c r="N372" s="146"/>
      <c r="O372" s="146"/>
      <c r="P372" s="146">
        <f>IFERROR(__xludf.DUMMYFUNCTION("""COMPUTED_VALUE"""),245.0)</f>
        <v>245</v>
      </c>
      <c r="Q372" s="146"/>
      <c r="R372" s="146"/>
      <c r="T372" s="131" t="str">
        <f>IFERROR(__xludf.DUMMYFUNCTION("""COMPUTED_VALUE"""),"Y")</f>
        <v>Y</v>
      </c>
      <c r="U372" s="131" t="str">
        <f>IFERROR(__xludf.DUMMYFUNCTION("""COMPUTED_VALUE"""),"5")</f>
        <v>5</v>
      </c>
      <c r="V372" s="131"/>
      <c r="W372" s="144">
        <f>IFERROR(__xludf.DUMMYFUNCTION("""COMPUTED_VALUE"""),45733.0)</f>
        <v>45733</v>
      </c>
      <c r="X372" s="144">
        <f>IFERROR(__xludf.DUMMYFUNCTION("""COMPUTED_VALUE"""),45740.0)</f>
        <v>45740</v>
      </c>
      <c r="Y372" s="144">
        <f>IFERROR(__xludf.DUMMYFUNCTION("""COMPUTED_VALUE"""),45761.0)</f>
        <v>45761</v>
      </c>
      <c r="Z372" s="131" t="str">
        <f>IFERROR(__xludf.DUMMYFUNCTION("""COMPUTED_VALUE"""),"BRG10")</f>
        <v>BRG10</v>
      </c>
      <c r="AA372" s="131">
        <f>IFERROR(__xludf.DUMMYFUNCTION("""COMPUTED_VALUE"""),5.0)</f>
        <v>5</v>
      </c>
      <c r="AB372" s="131">
        <f>IFERROR(__xludf.DUMMYFUNCTION("""COMPUTED_VALUE"""),131.0)</f>
        <v>131</v>
      </c>
      <c r="AC372" s="131">
        <f>IFERROR(__xludf.DUMMYFUNCTION("""COMPUTED_VALUE"""),64.0)</f>
        <v>64</v>
      </c>
      <c r="AD372" s="131">
        <f>IFERROR(__xludf.DUMMYFUNCTION("""COMPUTED_VALUE"""),64.0)</f>
        <v>64</v>
      </c>
      <c r="AE372" s="131"/>
      <c r="AF372" s="131"/>
      <c r="AG372" s="131"/>
      <c r="AH372" s="131"/>
      <c r="AI372" s="131">
        <f>IFERROR(__xludf.DUMMYFUNCTION("""COMPUTED_VALUE"""),244.0)</f>
        <v>244</v>
      </c>
      <c r="AJ372" s="131"/>
      <c r="AK372" s="131"/>
    </row>
    <row r="373">
      <c r="A373" s="145" t="str">
        <f>IFERROR(__xludf.DUMMYFUNCTION("""COMPUTED_VALUE"""),"Y")</f>
        <v>Y</v>
      </c>
      <c r="B373" s="146" t="str">
        <f>IFERROR(__xludf.DUMMYFUNCTION("""COMPUTED_VALUE"""),"5")</f>
        <v>5</v>
      </c>
      <c r="C373" s="146"/>
      <c r="D373" s="147">
        <f>IFERROR(__xludf.DUMMYFUNCTION("""COMPUTED_VALUE"""),45733.0)</f>
        <v>45733</v>
      </c>
      <c r="E373" s="147">
        <f>IFERROR(__xludf.DUMMYFUNCTION("""COMPUTED_VALUE"""),45740.0)</f>
        <v>45740</v>
      </c>
      <c r="F373" s="147">
        <f>IFERROR(__xludf.DUMMYFUNCTION("""COMPUTED_VALUE"""),45761.0)</f>
        <v>45761</v>
      </c>
      <c r="G373" s="146" t="str">
        <f>IFERROR(__xludf.DUMMYFUNCTION("""COMPUTED_VALUE"""),"BRG10")</f>
        <v>BRG10</v>
      </c>
      <c r="H373" s="148">
        <f>IFERROR(__xludf.DUMMYFUNCTION("""COMPUTED_VALUE"""),5.0)</f>
        <v>5</v>
      </c>
      <c r="I373" s="148">
        <f>IFERROR(__xludf.DUMMYFUNCTION("""COMPUTED_VALUE"""),131.0)</f>
        <v>131</v>
      </c>
      <c r="J373" s="146">
        <f>IFERROR(__xludf.DUMMYFUNCTION("""COMPUTED_VALUE"""),64.0)</f>
        <v>64</v>
      </c>
      <c r="K373" s="146">
        <f>IFERROR(__xludf.DUMMYFUNCTION("""COMPUTED_VALUE"""),64.0)</f>
        <v>64</v>
      </c>
      <c r="L373" s="146"/>
      <c r="M373" s="146"/>
      <c r="N373" s="146"/>
      <c r="O373" s="146"/>
      <c r="P373" s="146">
        <f>IFERROR(__xludf.DUMMYFUNCTION("""COMPUTED_VALUE"""),244.0)</f>
        <v>244</v>
      </c>
      <c r="Q373" s="146"/>
      <c r="R373" s="146"/>
      <c r="T373" s="131" t="str">
        <f>IFERROR(__xludf.DUMMYFUNCTION("""COMPUTED_VALUE"""),"Y")</f>
        <v>Y</v>
      </c>
      <c r="U373" s="131" t="str">
        <f>IFERROR(__xludf.DUMMYFUNCTION("""COMPUTED_VALUE"""),"5")</f>
        <v>5</v>
      </c>
      <c r="V373" s="131"/>
      <c r="W373" s="144">
        <f>IFERROR(__xludf.DUMMYFUNCTION("""COMPUTED_VALUE"""),45734.0)</f>
        <v>45734</v>
      </c>
      <c r="X373" s="144">
        <f>IFERROR(__xludf.DUMMYFUNCTION("""COMPUTED_VALUE"""),45741.0)</f>
        <v>45741</v>
      </c>
      <c r="Y373" s="144">
        <f>IFERROR(__xludf.DUMMYFUNCTION("""COMPUTED_VALUE"""),45762.0)</f>
        <v>45762</v>
      </c>
      <c r="Z373" s="131" t="str">
        <f>IFERROR(__xludf.DUMMYFUNCTION("""COMPUTED_VALUE"""),"D33-2L")</f>
        <v>D33-2L</v>
      </c>
      <c r="AA373" s="131">
        <f>IFERROR(__xludf.DUMMYFUNCTION("""COMPUTED_VALUE"""),85.0)</f>
        <v>85</v>
      </c>
      <c r="AB373" s="131">
        <f>IFERROR(__xludf.DUMMYFUNCTION("""COMPUTED_VALUE"""),103.0)</f>
        <v>103</v>
      </c>
      <c r="AC373" s="131">
        <f>IFERROR(__xludf.DUMMYFUNCTION("""COMPUTED_VALUE"""),10.0)</f>
        <v>10</v>
      </c>
      <c r="AD373" s="131">
        <f>IFERROR(__xludf.DUMMYFUNCTION("""COMPUTED_VALUE"""),10.0)</f>
        <v>10</v>
      </c>
      <c r="AE373" s="131">
        <f>IFERROR(__xludf.DUMMYFUNCTION("""COMPUTED_VALUE"""),302.0)</f>
        <v>302</v>
      </c>
      <c r="AF373" s="131">
        <f>IFERROR(__xludf.DUMMYFUNCTION("""COMPUTED_VALUE"""),306.0)</f>
        <v>306</v>
      </c>
      <c r="AG373" s="131">
        <f>IFERROR(__xludf.DUMMYFUNCTION("""COMPUTED_VALUE"""),3.0)</f>
        <v>3</v>
      </c>
      <c r="AH373" s="131">
        <f>IFERROR(__xludf.DUMMYFUNCTION("""COMPUTED_VALUE"""),3.0)</f>
        <v>3</v>
      </c>
      <c r="AI373" s="131">
        <f>IFERROR(__xludf.DUMMYFUNCTION("""COMPUTED_VALUE"""),246.0)</f>
        <v>246</v>
      </c>
      <c r="AJ373" s="131"/>
      <c r="AK373" s="131"/>
    </row>
    <row r="374">
      <c r="A374" s="145" t="str">
        <f>IFERROR(__xludf.DUMMYFUNCTION("""COMPUTED_VALUE"""),"Y")</f>
        <v>Y</v>
      </c>
      <c r="B374" s="146" t="str">
        <f>IFERROR(__xludf.DUMMYFUNCTION("""COMPUTED_VALUE"""),"5")</f>
        <v>5</v>
      </c>
      <c r="C374" s="146"/>
      <c r="D374" s="147">
        <f>IFERROR(__xludf.DUMMYFUNCTION("""COMPUTED_VALUE"""),45734.0)</f>
        <v>45734</v>
      </c>
      <c r="E374" s="147">
        <f>IFERROR(__xludf.DUMMYFUNCTION("""COMPUTED_VALUE"""),45741.0)</f>
        <v>45741</v>
      </c>
      <c r="F374" s="147">
        <f>IFERROR(__xludf.DUMMYFUNCTION("""COMPUTED_VALUE"""),45762.0)</f>
        <v>45762</v>
      </c>
      <c r="G374" s="146" t="str">
        <f>IFERROR(__xludf.DUMMYFUNCTION("""COMPUTED_VALUE"""),"D33-2L")</f>
        <v>D33-2L</v>
      </c>
      <c r="H374" s="148">
        <f>IFERROR(__xludf.DUMMYFUNCTION("""COMPUTED_VALUE"""),85.0)</f>
        <v>85</v>
      </c>
      <c r="I374" s="148">
        <f>IFERROR(__xludf.DUMMYFUNCTION("""COMPUTED_VALUE"""),103.0)</f>
        <v>103</v>
      </c>
      <c r="J374" s="146">
        <f>IFERROR(__xludf.DUMMYFUNCTION("""COMPUTED_VALUE"""),10.0)</f>
        <v>10</v>
      </c>
      <c r="K374" s="146">
        <f>IFERROR(__xludf.DUMMYFUNCTION("""COMPUTED_VALUE"""),10.0)</f>
        <v>10</v>
      </c>
      <c r="L374" s="146">
        <f>IFERROR(__xludf.DUMMYFUNCTION("""COMPUTED_VALUE"""),302.0)</f>
        <v>302</v>
      </c>
      <c r="M374" s="146">
        <f>IFERROR(__xludf.DUMMYFUNCTION("""COMPUTED_VALUE"""),306.0)</f>
        <v>306</v>
      </c>
      <c r="N374" s="146">
        <f>IFERROR(__xludf.DUMMYFUNCTION("""COMPUTED_VALUE"""),3.0)</f>
        <v>3</v>
      </c>
      <c r="O374" s="146">
        <f>IFERROR(__xludf.DUMMYFUNCTION("""COMPUTED_VALUE"""),3.0)</f>
        <v>3</v>
      </c>
      <c r="P374" s="146">
        <f>IFERROR(__xludf.DUMMYFUNCTION("""COMPUTED_VALUE"""),246.0)</f>
        <v>246</v>
      </c>
      <c r="Q374" s="146"/>
      <c r="R374" s="146"/>
      <c r="T374" s="131" t="str">
        <f>IFERROR(__xludf.DUMMYFUNCTION("""COMPUTED_VALUE"""),"Y")</f>
        <v>Y</v>
      </c>
      <c r="U374" s="131" t="str">
        <f>IFERROR(__xludf.DUMMYFUNCTION("""COMPUTED_VALUE"""),"5")</f>
        <v>5</v>
      </c>
      <c r="V374" s="131"/>
      <c r="W374" s="144">
        <f>IFERROR(__xludf.DUMMYFUNCTION("""COMPUTED_VALUE"""),45734.0)</f>
        <v>45734</v>
      </c>
      <c r="X374" s="144">
        <f>IFERROR(__xludf.DUMMYFUNCTION("""COMPUTED_VALUE"""),45741.0)</f>
        <v>45741</v>
      </c>
      <c r="Y374" s="144">
        <f>IFERROR(__xludf.DUMMYFUNCTION("""COMPUTED_VALUE"""),45762.0)</f>
        <v>45762</v>
      </c>
      <c r="Z374" s="131" t="str">
        <f>IFERROR(__xludf.DUMMYFUNCTION("""COMPUTED_VALUE"""),"D33-2L")</f>
        <v>D33-2L</v>
      </c>
      <c r="AA374" s="131">
        <f>IFERROR(__xludf.DUMMYFUNCTION("""COMPUTED_VALUE"""),107.0)</f>
        <v>107</v>
      </c>
      <c r="AB374" s="131">
        <f>IFERROR(__xludf.DUMMYFUNCTION("""COMPUTED_VALUE"""),153.0)</f>
        <v>153</v>
      </c>
      <c r="AC374" s="131">
        <f>IFERROR(__xludf.DUMMYFUNCTION("""COMPUTED_VALUE"""),24.0)</f>
        <v>24</v>
      </c>
      <c r="AD374" s="131">
        <f>IFERROR(__xludf.DUMMYFUNCTION("""COMPUTED_VALUE"""),24.0)</f>
        <v>24</v>
      </c>
      <c r="AE374" s="131"/>
      <c r="AF374" s="131"/>
      <c r="AG374" s="131"/>
      <c r="AH374" s="131"/>
      <c r="AI374" s="131">
        <f>IFERROR(__xludf.DUMMYFUNCTION("""COMPUTED_VALUE"""),246.0)</f>
        <v>246</v>
      </c>
      <c r="AJ374" s="131"/>
      <c r="AK374" s="131"/>
    </row>
    <row r="375">
      <c r="A375" s="145" t="str">
        <f>IFERROR(__xludf.DUMMYFUNCTION("""COMPUTED_VALUE"""),"Y")</f>
        <v>Y</v>
      </c>
      <c r="B375" s="146" t="str">
        <f>IFERROR(__xludf.DUMMYFUNCTION("""COMPUTED_VALUE"""),"5")</f>
        <v>5</v>
      </c>
      <c r="C375" s="146"/>
      <c r="D375" s="147">
        <f>IFERROR(__xludf.DUMMYFUNCTION("""COMPUTED_VALUE"""),45734.0)</f>
        <v>45734</v>
      </c>
      <c r="E375" s="147">
        <f>IFERROR(__xludf.DUMMYFUNCTION("""COMPUTED_VALUE"""),45741.0)</f>
        <v>45741</v>
      </c>
      <c r="F375" s="147">
        <f>IFERROR(__xludf.DUMMYFUNCTION("""COMPUTED_VALUE"""),45762.0)</f>
        <v>45762</v>
      </c>
      <c r="G375" s="146" t="str">
        <f>IFERROR(__xludf.DUMMYFUNCTION("""COMPUTED_VALUE"""),"D33-2L")</f>
        <v>D33-2L</v>
      </c>
      <c r="H375" s="148">
        <f>IFERROR(__xludf.DUMMYFUNCTION("""COMPUTED_VALUE"""),107.0)</f>
        <v>107</v>
      </c>
      <c r="I375" s="148">
        <f>IFERROR(__xludf.DUMMYFUNCTION("""COMPUTED_VALUE"""),153.0)</f>
        <v>153</v>
      </c>
      <c r="J375" s="146">
        <f>IFERROR(__xludf.DUMMYFUNCTION("""COMPUTED_VALUE"""),24.0)</f>
        <v>24</v>
      </c>
      <c r="K375" s="146">
        <f>IFERROR(__xludf.DUMMYFUNCTION("""COMPUTED_VALUE"""),24.0)</f>
        <v>24</v>
      </c>
      <c r="L375" s="146"/>
      <c r="M375" s="146"/>
      <c r="N375" s="146"/>
      <c r="O375" s="146"/>
      <c r="P375" s="146">
        <f>IFERROR(__xludf.DUMMYFUNCTION("""COMPUTED_VALUE"""),246.0)</f>
        <v>246</v>
      </c>
      <c r="Q375" s="146"/>
      <c r="R375" s="146"/>
      <c r="T375" s="131" t="str">
        <f>IFERROR(__xludf.DUMMYFUNCTION("""COMPUTED_VALUE"""),"Y")</f>
        <v>Y</v>
      </c>
      <c r="U375" s="131" t="str">
        <f>IFERROR(__xludf.DUMMYFUNCTION("""COMPUTED_VALUE"""),"5")</f>
        <v>5</v>
      </c>
      <c r="V375" s="131"/>
      <c r="W375" s="144">
        <f>IFERROR(__xludf.DUMMYFUNCTION("""COMPUTED_VALUE"""),45734.0)</f>
        <v>45734</v>
      </c>
      <c r="X375" s="144">
        <f>IFERROR(__xludf.DUMMYFUNCTION("""COMPUTED_VALUE"""),45741.0)</f>
        <v>45741</v>
      </c>
      <c r="Y375" s="144">
        <f>IFERROR(__xludf.DUMMYFUNCTION("""COMPUTED_VALUE"""),45762.0)</f>
        <v>45762</v>
      </c>
      <c r="Z375" s="131" t="str">
        <f>IFERROR(__xludf.DUMMYFUNCTION("""COMPUTED_VALUE"""),"D33-2L")</f>
        <v>D33-2L</v>
      </c>
      <c r="AA375" s="131">
        <f>IFERROR(__xludf.DUMMYFUNCTION("""COMPUTED_VALUE"""),157.0)</f>
        <v>157</v>
      </c>
      <c r="AB375" s="131">
        <f>IFERROR(__xludf.DUMMYFUNCTION("""COMPUTED_VALUE"""),299.0)</f>
        <v>299</v>
      </c>
      <c r="AC375" s="131">
        <f>IFERROR(__xludf.DUMMYFUNCTION("""COMPUTED_VALUE"""),72.0)</f>
        <v>72</v>
      </c>
      <c r="AD375" s="131">
        <f>IFERROR(__xludf.DUMMYFUNCTION("""COMPUTED_VALUE"""),72.0)</f>
        <v>72</v>
      </c>
      <c r="AE375" s="131"/>
      <c r="AF375" s="131"/>
      <c r="AG375" s="131"/>
      <c r="AH375" s="131"/>
      <c r="AI375" s="131">
        <f>IFERROR(__xludf.DUMMYFUNCTION("""COMPUTED_VALUE"""),246.0)</f>
        <v>246</v>
      </c>
      <c r="AJ375" s="131"/>
      <c r="AK375" s="131"/>
    </row>
    <row r="376">
      <c r="A376" s="145" t="str">
        <f>IFERROR(__xludf.DUMMYFUNCTION("""COMPUTED_VALUE"""),"Y")</f>
        <v>Y</v>
      </c>
      <c r="B376" s="146" t="str">
        <f>IFERROR(__xludf.DUMMYFUNCTION("""COMPUTED_VALUE"""),"5")</f>
        <v>5</v>
      </c>
      <c r="C376" s="146"/>
      <c r="D376" s="147">
        <f>IFERROR(__xludf.DUMMYFUNCTION("""COMPUTED_VALUE"""),45734.0)</f>
        <v>45734</v>
      </c>
      <c r="E376" s="147">
        <f>IFERROR(__xludf.DUMMYFUNCTION("""COMPUTED_VALUE"""),45741.0)</f>
        <v>45741</v>
      </c>
      <c r="F376" s="147">
        <f>IFERROR(__xludf.DUMMYFUNCTION("""COMPUTED_VALUE"""),45762.0)</f>
        <v>45762</v>
      </c>
      <c r="G376" s="146" t="str">
        <f>IFERROR(__xludf.DUMMYFUNCTION("""COMPUTED_VALUE"""),"D33-2L")</f>
        <v>D33-2L</v>
      </c>
      <c r="H376" s="148">
        <f>IFERROR(__xludf.DUMMYFUNCTION("""COMPUTED_VALUE"""),157.0)</f>
        <v>157</v>
      </c>
      <c r="I376" s="148">
        <f>IFERROR(__xludf.DUMMYFUNCTION("""COMPUTED_VALUE"""),299.0)</f>
        <v>299</v>
      </c>
      <c r="J376" s="146">
        <f>IFERROR(__xludf.DUMMYFUNCTION("""COMPUTED_VALUE"""),72.0)</f>
        <v>72</v>
      </c>
      <c r="K376" s="146">
        <f>IFERROR(__xludf.DUMMYFUNCTION("""COMPUTED_VALUE"""),72.0)</f>
        <v>72</v>
      </c>
      <c r="L376" s="146"/>
      <c r="M376" s="146"/>
      <c r="N376" s="146"/>
      <c r="O376" s="146"/>
      <c r="P376" s="146">
        <f>IFERROR(__xludf.DUMMYFUNCTION("""COMPUTED_VALUE"""),246.0)</f>
        <v>246</v>
      </c>
      <c r="Q376" s="146"/>
      <c r="R376" s="146"/>
      <c r="T376" s="131" t="str">
        <f>IFERROR(__xludf.DUMMYFUNCTION("""COMPUTED_VALUE"""),"Y")</f>
        <v>Y</v>
      </c>
      <c r="U376" s="131" t="str">
        <f>IFERROR(__xludf.DUMMYFUNCTION("""COMPUTED_VALUE"""),"5")</f>
        <v>5</v>
      </c>
      <c r="V376" s="131"/>
      <c r="W376" s="144">
        <f>IFERROR(__xludf.DUMMYFUNCTION("""COMPUTED_VALUE"""),45734.0)</f>
        <v>45734</v>
      </c>
      <c r="X376" s="144">
        <f>IFERROR(__xludf.DUMMYFUNCTION("""COMPUTED_VALUE"""),45741.0)</f>
        <v>45741</v>
      </c>
      <c r="Y376" s="144">
        <f>IFERROR(__xludf.DUMMYFUNCTION("""COMPUTED_VALUE"""),45762.0)</f>
        <v>45762</v>
      </c>
      <c r="Z376" s="131" t="str">
        <f>IFERROR(__xludf.DUMMYFUNCTION("""COMPUTED_VALUE"""),"D40-2L")</f>
        <v>D40-2L</v>
      </c>
      <c r="AA376" s="131">
        <f>IFERROR(__xludf.DUMMYFUNCTION("""COMPUTED_VALUE"""),21.0)</f>
        <v>21</v>
      </c>
      <c r="AB376" s="131">
        <f>IFERROR(__xludf.DUMMYFUNCTION("""COMPUTED_VALUE"""),45.0)</f>
        <v>45</v>
      </c>
      <c r="AC376" s="131">
        <f>IFERROR(__xludf.DUMMYFUNCTION("""COMPUTED_VALUE"""),13.0)</f>
        <v>13</v>
      </c>
      <c r="AD376" s="131">
        <f>IFERROR(__xludf.DUMMYFUNCTION("""COMPUTED_VALUE"""),13.0)</f>
        <v>13</v>
      </c>
      <c r="AE376" s="131">
        <f>IFERROR(__xludf.DUMMYFUNCTION("""COMPUTED_VALUE"""),2.0)</f>
        <v>2</v>
      </c>
      <c r="AF376" s="131">
        <f>IFERROR(__xludf.DUMMYFUNCTION("""COMPUTED_VALUE"""),18.0)</f>
        <v>18</v>
      </c>
      <c r="AG376" s="131">
        <f>IFERROR(__xludf.DUMMYFUNCTION("""COMPUTED_VALUE"""),9.0)</f>
        <v>9</v>
      </c>
      <c r="AH376" s="131">
        <f>IFERROR(__xludf.DUMMYFUNCTION("""COMPUTED_VALUE"""),9.0)</f>
        <v>9</v>
      </c>
      <c r="AI376" s="131">
        <f>IFERROR(__xludf.DUMMYFUNCTION("""COMPUTED_VALUE"""),249.0)</f>
        <v>249</v>
      </c>
      <c r="AJ376" s="131"/>
      <c r="AK376" s="131"/>
    </row>
    <row r="377">
      <c r="A377" s="145" t="str">
        <f>IFERROR(__xludf.DUMMYFUNCTION("""COMPUTED_VALUE"""),"Y")</f>
        <v>Y</v>
      </c>
      <c r="B377" s="146" t="str">
        <f>IFERROR(__xludf.DUMMYFUNCTION("""COMPUTED_VALUE"""),"5")</f>
        <v>5</v>
      </c>
      <c r="C377" s="146"/>
      <c r="D377" s="147">
        <f>IFERROR(__xludf.DUMMYFUNCTION("""COMPUTED_VALUE"""),45734.0)</f>
        <v>45734</v>
      </c>
      <c r="E377" s="147">
        <f>IFERROR(__xludf.DUMMYFUNCTION("""COMPUTED_VALUE"""),45741.0)</f>
        <v>45741</v>
      </c>
      <c r="F377" s="147">
        <f>IFERROR(__xludf.DUMMYFUNCTION("""COMPUTED_VALUE"""),45762.0)</f>
        <v>45762</v>
      </c>
      <c r="G377" s="146" t="str">
        <f>IFERROR(__xludf.DUMMYFUNCTION("""COMPUTED_VALUE"""),"D40-2L")</f>
        <v>D40-2L</v>
      </c>
      <c r="H377" s="148">
        <f>IFERROR(__xludf.DUMMYFUNCTION("""COMPUTED_VALUE"""),21.0)</f>
        <v>21</v>
      </c>
      <c r="I377" s="148">
        <f>IFERROR(__xludf.DUMMYFUNCTION("""COMPUTED_VALUE"""),45.0)</f>
        <v>45</v>
      </c>
      <c r="J377" s="146">
        <f>IFERROR(__xludf.DUMMYFUNCTION("""COMPUTED_VALUE"""),13.0)</f>
        <v>13</v>
      </c>
      <c r="K377" s="146">
        <f>IFERROR(__xludf.DUMMYFUNCTION("""COMPUTED_VALUE"""),13.0)</f>
        <v>13</v>
      </c>
      <c r="L377" s="146">
        <f>IFERROR(__xludf.DUMMYFUNCTION("""COMPUTED_VALUE"""),2.0)</f>
        <v>2</v>
      </c>
      <c r="M377" s="146">
        <f>IFERROR(__xludf.DUMMYFUNCTION("""COMPUTED_VALUE"""),18.0)</f>
        <v>18</v>
      </c>
      <c r="N377" s="146">
        <f>IFERROR(__xludf.DUMMYFUNCTION("""COMPUTED_VALUE"""),9.0)</f>
        <v>9</v>
      </c>
      <c r="O377" s="146">
        <f>IFERROR(__xludf.DUMMYFUNCTION("""COMPUTED_VALUE"""),9.0)</f>
        <v>9</v>
      </c>
      <c r="P377" s="146">
        <f>IFERROR(__xludf.DUMMYFUNCTION("""COMPUTED_VALUE"""),249.0)</f>
        <v>249</v>
      </c>
      <c r="Q377" s="146"/>
      <c r="R377" s="146"/>
      <c r="T377" s="131" t="str">
        <f>IFERROR(__xludf.DUMMYFUNCTION("""COMPUTED_VALUE"""),"Y")</f>
        <v>Y</v>
      </c>
      <c r="U377" s="131" t="str">
        <f>IFERROR(__xludf.DUMMYFUNCTION("""COMPUTED_VALUE"""),"5")</f>
        <v>5</v>
      </c>
      <c r="V377" s="131"/>
      <c r="W377" s="144">
        <f>IFERROR(__xludf.DUMMYFUNCTION("""COMPUTED_VALUE"""),45734.0)</f>
        <v>45734</v>
      </c>
      <c r="X377" s="144">
        <f>IFERROR(__xludf.DUMMYFUNCTION("""COMPUTED_VALUE"""),45741.0)</f>
        <v>45741</v>
      </c>
      <c r="Y377" s="144">
        <f>IFERROR(__xludf.DUMMYFUNCTION("""COMPUTED_VALUE"""),45762.0)</f>
        <v>45762</v>
      </c>
      <c r="Z377" s="131" t="str">
        <f>IFERROR(__xludf.DUMMYFUNCTION("""COMPUTED_VALUE"""),"D40-2L")</f>
        <v>D40-2L</v>
      </c>
      <c r="AA377" s="131">
        <f>IFERROR(__xludf.DUMMYFUNCTION("""COMPUTED_VALUE"""),47.0)</f>
        <v>47</v>
      </c>
      <c r="AB377" s="131">
        <f>IFERROR(__xludf.DUMMYFUNCTION("""COMPUTED_VALUE"""),213.0)</f>
        <v>213</v>
      </c>
      <c r="AC377" s="131">
        <f>IFERROR(__xludf.DUMMYFUNCTION("""COMPUTED_VALUE"""),84.0)</f>
        <v>84</v>
      </c>
      <c r="AD377" s="131">
        <f>IFERROR(__xludf.DUMMYFUNCTION("""COMPUTED_VALUE"""),84.0)</f>
        <v>84</v>
      </c>
      <c r="AE377" s="131"/>
      <c r="AF377" s="131"/>
      <c r="AG377" s="131"/>
      <c r="AH377" s="131"/>
      <c r="AI377" s="131">
        <f>IFERROR(__xludf.DUMMYFUNCTION("""COMPUTED_VALUE"""),249.0)</f>
        <v>249</v>
      </c>
      <c r="AJ377" s="131"/>
      <c r="AK377" s="131"/>
    </row>
    <row r="378">
      <c r="A378" s="145" t="str">
        <f>IFERROR(__xludf.DUMMYFUNCTION("""COMPUTED_VALUE"""),"Y")</f>
        <v>Y</v>
      </c>
      <c r="B378" s="146" t="str">
        <f>IFERROR(__xludf.DUMMYFUNCTION("""COMPUTED_VALUE"""),"5")</f>
        <v>5</v>
      </c>
      <c r="C378" s="146"/>
      <c r="D378" s="147">
        <f>IFERROR(__xludf.DUMMYFUNCTION("""COMPUTED_VALUE"""),45734.0)</f>
        <v>45734</v>
      </c>
      <c r="E378" s="147">
        <f>IFERROR(__xludf.DUMMYFUNCTION("""COMPUTED_VALUE"""),45741.0)</f>
        <v>45741</v>
      </c>
      <c r="F378" s="147">
        <f>IFERROR(__xludf.DUMMYFUNCTION("""COMPUTED_VALUE"""),45762.0)</f>
        <v>45762</v>
      </c>
      <c r="G378" s="146" t="str">
        <f>IFERROR(__xludf.DUMMYFUNCTION("""COMPUTED_VALUE"""),"D40-2L")</f>
        <v>D40-2L</v>
      </c>
      <c r="H378" s="148">
        <f>IFERROR(__xludf.DUMMYFUNCTION("""COMPUTED_VALUE"""),47.0)</f>
        <v>47</v>
      </c>
      <c r="I378" s="148">
        <f>IFERROR(__xludf.DUMMYFUNCTION("""COMPUTED_VALUE"""),213.0)</f>
        <v>213</v>
      </c>
      <c r="J378" s="146">
        <f>IFERROR(__xludf.DUMMYFUNCTION("""COMPUTED_VALUE"""),84.0)</f>
        <v>84</v>
      </c>
      <c r="K378" s="146">
        <f>IFERROR(__xludf.DUMMYFUNCTION("""COMPUTED_VALUE"""),84.0)</f>
        <v>84</v>
      </c>
      <c r="L378" s="146"/>
      <c r="M378" s="146"/>
      <c r="N378" s="146"/>
      <c r="O378" s="146"/>
      <c r="P378" s="146">
        <f>IFERROR(__xludf.DUMMYFUNCTION("""COMPUTED_VALUE"""),249.0)</f>
        <v>249</v>
      </c>
      <c r="Q378" s="146"/>
      <c r="R378" s="146"/>
      <c r="T378" s="131" t="str">
        <f>IFERROR(__xludf.DUMMYFUNCTION("""COMPUTED_VALUE"""),"Y")</f>
        <v>Y</v>
      </c>
      <c r="U378" s="131" t="str">
        <f>IFERROR(__xludf.DUMMYFUNCTION("""COMPUTED_VALUE"""),"5")</f>
        <v>5</v>
      </c>
      <c r="V378" s="131"/>
      <c r="W378" s="144">
        <f>IFERROR(__xludf.DUMMYFUNCTION("""COMPUTED_VALUE"""),45734.0)</f>
        <v>45734</v>
      </c>
      <c r="X378" s="144">
        <f>IFERROR(__xludf.DUMMYFUNCTION("""COMPUTED_VALUE"""),45741.0)</f>
        <v>45741</v>
      </c>
      <c r="Y378" s="144">
        <f>IFERROR(__xludf.DUMMYFUNCTION("""COMPUTED_VALUE"""),45762.0)</f>
        <v>45762</v>
      </c>
      <c r="Z378" s="131" t="str">
        <f>IFERROR(__xludf.DUMMYFUNCTION("""COMPUTED_VALUE"""),"BRG10")</f>
        <v>BRG10</v>
      </c>
      <c r="AA378" s="131">
        <f>IFERROR(__xludf.DUMMYFUNCTION("""COMPUTED_VALUE"""),133.0)</f>
        <v>133</v>
      </c>
      <c r="AB378" s="131">
        <f>IFERROR(__xludf.DUMMYFUNCTION("""COMPUTED_VALUE"""),259.0)</f>
        <v>259</v>
      </c>
      <c r="AC378" s="131">
        <f>IFERROR(__xludf.DUMMYFUNCTION("""COMPUTED_VALUE"""),64.0)</f>
        <v>64</v>
      </c>
      <c r="AD378" s="131">
        <f>IFERROR(__xludf.DUMMYFUNCTION("""COMPUTED_VALUE"""),64.0)</f>
        <v>64</v>
      </c>
      <c r="AE378" s="131"/>
      <c r="AF378" s="131"/>
      <c r="AG378" s="131"/>
      <c r="AH378" s="131"/>
      <c r="AI378" s="131">
        <f>IFERROR(__xludf.DUMMYFUNCTION("""COMPUTED_VALUE"""),247.0)</f>
        <v>247</v>
      </c>
      <c r="AJ378" s="131"/>
      <c r="AK378" s="131"/>
    </row>
    <row r="379">
      <c r="A379" s="145" t="str">
        <f>IFERROR(__xludf.DUMMYFUNCTION("""COMPUTED_VALUE"""),"Y")</f>
        <v>Y</v>
      </c>
      <c r="B379" s="146" t="str">
        <f>IFERROR(__xludf.DUMMYFUNCTION("""COMPUTED_VALUE"""),"5")</f>
        <v>5</v>
      </c>
      <c r="C379" s="146"/>
      <c r="D379" s="147">
        <f>IFERROR(__xludf.DUMMYFUNCTION("""COMPUTED_VALUE"""),45734.0)</f>
        <v>45734</v>
      </c>
      <c r="E379" s="147">
        <f>IFERROR(__xludf.DUMMYFUNCTION("""COMPUTED_VALUE"""),45741.0)</f>
        <v>45741</v>
      </c>
      <c r="F379" s="147">
        <f>IFERROR(__xludf.DUMMYFUNCTION("""COMPUTED_VALUE"""),45762.0)</f>
        <v>45762</v>
      </c>
      <c r="G379" s="146" t="str">
        <f>IFERROR(__xludf.DUMMYFUNCTION("""COMPUTED_VALUE"""),"BRG10")</f>
        <v>BRG10</v>
      </c>
      <c r="H379" s="148">
        <f>IFERROR(__xludf.DUMMYFUNCTION("""COMPUTED_VALUE"""),133.0)</f>
        <v>133</v>
      </c>
      <c r="I379" s="148">
        <f>IFERROR(__xludf.DUMMYFUNCTION("""COMPUTED_VALUE"""),259.0)</f>
        <v>259</v>
      </c>
      <c r="J379" s="146">
        <f>IFERROR(__xludf.DUMMYFUNCTION("""COMPUTED_VALUE"""),64.0)</f>
        <v>64</v>
      </c>
      <c r="K379" s="146">
        <f>IFERROR(__xludf.DUMMYFUNCTION("""COMPUTED_VALUE"""),64.0)</f>
        <v>64</v>
      </c>
      <c r="L379" s="146"/>
      <c r="M379" s="146"/>
      <c r="N379" s="146"/>
      <c r="O379" s="146"/>
      <c r="P379" s="146">
        <f>IFERROR(__xludf.DUMMYFUNCTION("""COMPUTED_VALUE"""),247.0)</f>
        <v>247</v>
      </c>
      <c r="Q379" s="146"/>
      <c r="R379" s="146"/>
      <c r="T379" s="131" t="str">
        <f>IFERROR(__xludf.DUMMYFUNCTION("""COMPUTED_VALUE"""),"Y")</f>
        <v>Y</v>
      </c>
      <c r="U379" s="131" t="str">
        <f>IFERROR(__xludf.DUMMYFUNCTION("""COMPUTED_VALUE"""),"6")</f>
        <v>6</v>
      </c>
      <c r="V379" s="131" t="str">
        <f>IFERROR(__xludf.DUMMYFUNCTION("""COMPUTED_VALUE"""),"967-972")</f>
        <v>967-972</v>
      </c>
      <c r="W379" s="144">
        <f>IFERROR(__xludf.DUMMYFUNCTION("""COMPUTED_VALUE"""),45735.0)</f>
        <v>45735</v>
      </c>
      <c r="X379" s="144">
        <f>IFERROR(__xludf.DUMMYFUNCTION("""COMPUTED_VALUE"""),45742.0)</f>
        <v>45742</v>
      </c>
      <c r="Y379" s="144">
        <f>IFERROR(__xludf.DUMMYFUNCTION("""COMPUTED_VALUE"""),45763.0)</f>
        <v>45763</v>
      </c>
      <c r="Z379" s="131" t="str">
        <f>IFERROR(__xludf.DUMMYFUNCTION("""COMPUTED_VALUE"""),"D40-2L")</f>
        <v>D40-2L</v>
      </c>
      <c r="AA379" s="131">
        <f>IFERROR(__xludf.DUMMYFUNCTION("""COMPUTED_VALUE"""),215.0)</f>
        <v>215</v>
      </c>
      <c r="AB379" s="131">
        <f>IFERROR(__xludf.DUMMYFUNCTION("""COMPUTED_VALUE"""),223.0)</f>
        <v>223</v>
      </c>
      <c r="AC379" s="131">
        <f>IFERROR(__xludf.DUMMYFUNCTION("""COMPUTED_VALUE"""),5.0)</f>
        <v>5</v>
      </c>
      <c r="AD379" s="131">
        <f>IFERROR(__xludf.DUMMYFUNCTION("""COMPUTED_VALUE"""),5.0)</f>
        <v>5</v>
      </c>
      <c r="AE379" s="131">
        <f>IFERROR(__xludf.DUMMYFUNCTION("""COMPUTED_VALUE"""),50.0)</f>
        <v>50</v>
      </c>
      <c r="AF379" s="131">
        <f>IFERROR(__xludf.DUMMYFUNCTION("""COMPUTED_VALUE"""),52.0)</f>
        <v>52</v>
      </c>
      <c r="AG379" s="131">
        <f>IFERROR(__xludf.DUMMYFUNCTION("""COMPUTED_VALUE"""),2.0)</f>
        <v>2</v>
      </c>
      <c r="AH379" s="131">
        <f>IFERROR(__xludf.DUMMYFUNCTION("""COMPUTED_VALUE"""),2.0)</f>
        <v>2</v>
      </c>
      <c r="AI379" s="131">
        <f>IFERROR(__xludf.DUMMYFUNCTION("""COMPUTED_VALUE"""),250.0)</f>
        <v>250</v>
      </c>
      <c r="AJ379" s="131"/>
      <c r="AK379" s="131"/>
    </row>
    <row r="380">
      <c r="A380" s="145" t="str">
        <f>IFERROR(__xludf.DUMMYFUNCTION("""COMPUTED_VALUE"""),"Y")</f>
        <v>Y</v>
      </c>
      <c r="B380" s="146" t="str">
        <f>IFERROR(__xludf.DUMMYFUNCTION("""COMPUTED_VALUE"""),"6")</f>
        <v>6</v>
      </c>
      <c r="C380" s="146" t="str">
        <f>IFERROR(__xludf.DUMMYFUNCTION("""COMPUTED_VALUE"""),"967-972")</f>
        <v>967-972</v>
      </c>
      <c r="D380" s="147">
        <f>IFERROR(__xludf.DUMMYFUNCTION("""COMPUTED_VALUE"""),45735.0)</f>
        <v>45735</v>
      </c>
      <c r="E380" s="147">
        <f>IFERROR(__xludf.DUMMYFUNCTION("""COMPUTED_VALUE"""),45742.0)</f>
        <v>45742</v>
      </c>
      <c r="F380" s="147">
        <f>IFERROR(__xludf.DUMMYFUNCTION("""COMPUTED_VALUE"""),45763.0)</f>
        <v>45763</v>
      </c>
      <c r="G380" s="146" t="str">
        <f>IFERROR(__xludf.DUMMYFUNCTION("""COMPUTED_VALUE"""),"D40-2L")</f>
        <v>D40-2L</v>
      </c>
      <c r="H380" s="148">
        <f>IFERROR(__xludf.DUMMYFUNCTION("""COMPUTED_VALUE"""),215.0)</f>
        <v>215</v>
      </c>
      <c r="I380" s="148">
        <f>IFERROR(__xludf.DUMMYFUNCTION("""COMPUTED_VALUE"""),223.0)</f>
        <v>223</v>
      </c>
      <c r="J380" s="146">
        <f>IFERROR(__xludf.DUMMYFUNCTION("""COMPUTED_VALUE"""),5.0)</f>
        <v>5</v>
      </c>
      <c r="K380" s="146">
        <f>IFERROR(__xludf.DUMMYFUNCTION("""COMPUTED_VALUE"""),5.0)</f>
        <v>5</v>
      </c>
      <c r="L380" s="146">
        <f>IFERROR(__xludf.DUMMYFUNCTION("""COMPUTED_VALUE"""),50.0)</f>
        <v>50</v>
      </c>
      <c r="M380" s="146">
        <f>IFERROR(__xludf.DUMMYFUNCTION("""COMPUTED_VALUE"""),52.0)</f>
        <v>52</v>
      </c>
      <c r="N380" s="146">
        <f>IFERROR(__xludf.DUMMYFUNCTION("""COMPUTED_VALUE"""),2.0)</f>
        <v>2</v>
      </c>
      <c r="O380" s="146">
        <f>IFERROR(__xludf.DUMMYFUNCTION("""COMPUTED_VALUE"""),2.0)</f>
        <v>2</v>
      </c>
      <c r="P380" s="146">
        <f>IFERROR(__xludf.DUMMYFUNCTION("""COMPUTED_VALUE"""),250.0)</f>
        <v>250</v>
      </c>
      <c r="Q380" s="146"/>
      <c r="R380" s="146"/>
      <c r="T380" s="131" t="str">
        <f>IFERROR(__xludf.DUMMYFUNCTION("""COMPUTED_VALUE"""),"Y")</f>
        <v>Y</v>
      </c>
      <c r="U380" s="131" t="str">
        <f>IFERROR(__xludf.DUMMYFUNCTION("""COMPUTED_VALUE"""),"6")</f>
        <v>6</v>
      </c>
      <c r="V380" s="131" t="str">
        <f>IFERROR(__xludf.DUMMYFUNCTION("""COMPUTED_VALUE"""),"967-972")</f>
        <v>967-972</v>
      </c>
      <c r="W380" s="144">
        <f>IFERROR(__xludf.DUMMYFUNCTION("""COMPUTED_VALUE"""),45735.0)</f>
        <v>45735</v>
      </c>
      <c r="X380" s="144">
        <f>IFERROR(__xludf.DUMMYFUNCTION("""COMPUTED_VALUE"""),45742.0)</f>
        <v>45742</v>
      </c>
      <c r="Y380" s="144">
        <f>IFERROR(__xludf.DUMMYFUNCTION("""COMPUTED_VALUE"""),45763.0)</f>
        <v>45763</v>
      </c>
      <c r="Z380" s="131" t="str">
        <f>IFERROR(__xludf.DUMMYFUNCTION("""COMPUTED_VALUE"""),"D40-2L")</f>
        <v>D40-2L</v>
      </c>
      <c r="AA380" s="131"/>
      <c r="AB380" s="131"/>
      <c r="AC380" s="131"/>
      <c r="AD380" s="131"/>
      <c r="AE380" s="131">
        <f>IFERROR(__xludf.DUMMYFUNCTION("""COMPUTED_VALUE"""),54.0)</f>
        <v>54</v>
      </c>
      <c r="AF380" s="131">
        <f>IFERROR(__xludf.DUMMYFUNCTION("""COMPUTED_VALUE"""),102.0)</f>
        <v>102</v>
      </c>
      <c r="AG380" s="131">
        <f>IFERROR(__xludf.DUMMYFUNCTION("""COMPUTED_VALUE"""),25.0)</f>
        <v>25</v>
      </c>
      <c r="AH380" s="131">
        <f>IFERROR(__xludf.DUMMYFUNCTION("""COMPUTED_VALUE"""),25.0)</f>
        <v>25</v>
      </c>
      <c r="AI380" s="131">
        <f>IFERROR(__xludf.DUMMYFUNCTION("""COMPUTED_VALUE"""),250.0)</f>
        <v>250</v>
      </c>
      <c r="AJ380" s="131"/>
      <c r="AK380" s="131"/>
    </row>
    <row r="381">
      <c r="A381" s="145" t="str">
        <f>IFERROR(__xludf.DUMMYFUNCTION("""COMPUTED_VALUE"""),"Y")</f>
        <v>Y</v>
      </c>
      <c r="B381" s="146" t="str">
        <f>IFERROR(__xludf.DUMMYFUNCTION("""COMPUTED_VALUE"""),"6")</f>
        <v>6</v>
      </c>
      <c r="C381" s="146" t="str">
        <f>IFERROR(__xludf.DUMMYFUNCTION("""COMPUTED_VALUE"""),"967-972")</f>
        <v>967-972</v>
      </c>
      <c r="D381" s="147">
        <f>IFERROR(__xludf.DUMMYFUNCTION("""COMPUTED_VALUE"""),45735.0)</f>
        <v>45735</v>
      </c>
      <c r="E381" s="147">
        <f>IFERROR(__xludf.DUMMYFUNCTION("""COMPUTED_VALUE"""),45742.0)</f>
        <v>45742</v>
      </c>
      <c r="F381" s="147">
        <f>IFERROR(__xludf.DUMMYFUNCTION("""COMPUTED_VALUE"""),45763.0)</f>
        <v>45763</v>
      </c>
      <c r="G381" s="146" t="str">
        <f>IFERROR(__xludf.DUMMYFUNCTION("""COMPUTED_VALUE"""),"D40-2L")</f>
        <v>D40-2L</v>
      </c>
      <c r="H381" s="148"/>
      <c r="I381" s="148"/>
      <c r="J381" s="146"/>
      <c r="K381" s="146"/>
      <c r="L381" s="146">
        <f>IFERROR(__xludf.DUMMYFUNCTION("""COMPUTED_VALUE"""),54.0)</f>
        <v>54</v>
      </c>
      <c r="M381" s="146">
        <f>IFERROR(__xludf.DUMMYFUNCTION("""COMPUTED_VALUE"""),102.0)</f>
        <v>102</v>
      </c>
      <c r="N381" s="146">
        <f>IFERROR(__xludf.DUMMYFUNCTION("""COMPUTED_VALUE"""),25.0)</f>
        <v>25</v>
      </c>
      <c r="O381" s="146">
        <f>IFERROR(__xludf.DUMMYFUNCTION("""COMPUTED_VALUE"""),25.0)</f>
        <v>25</v>
      </c>
      <c r="P381" s="146">
        <f>IFERROR(__xludf.DUMMYFUNCTION("""COMPUTED_VALUE"""),250.0)</f>
        <v>250</v>
      </c>
      <c r="Q381" s="146"/>
      <c r="R381" s="146"/>
      <c r="T381" s="131" t="str">
        <f>IFERROR(__xludf.DUMMYFUNCTION("""COMPUTED_VALUE"""),"Y")</f>
        <v>Y</v>
      </c>
      <c r="U381" s="131" t="str">
        <f>IFERROR(__xludf.DUMMYFUNCTION("""COMPUTED_VALUE"""),"6")</f>
        <v>6</v>
      </c>
      <c r="V381" s="131" t="str">
        <f>IFERROR(__xludf.DUMMYFUNCTION("""COMPUTED_VALUE"""),"967-972")</f>
        <v>967-972</v>
      </c>
      <c r="W381" s="144">
        <f>IFERROR(__xludf.DUMMYFUNCTION("""COMPUTED_VALUE"""),45735.0)</f>
        <v>45735</v>
      </c>
      <c r="X381" s="144">
        <f>IFERROR(__xludf.DUMMYFUNCTION("""COMPUTED_VALUE"""),45742.0)</f>
        <v>45742</v>
      </c>
      <c r="Y381" s="144">
        <f>IFERROR(__xludf.DUMMYFUNCTION("""COMPUTED_VALUE"""),45763.0)</f>
        <v>45763</v>
      </c>
      <c r="Z381" s="131" t="str">
        <f>IFERROR(__xludf.DUMMYFUNCTION("""COMPUTED_VALUE"""),"D40-2L")</f>
        <v>D40-2L</v>
      </c>
      <c r="AA381" s="131"/>
      <c r="AB381" s="131"/>
      <c r="AC381" s="131"/>
      <c r="AD381" s="131"/>
      <c r="AE381" s="131">
        <f>IFERROR(__xludf.DUMMYFUNCTION("""COMPUTED_VALUE"""),106.0)</f>
        <v>106</v>
      </c>
      <c r="AF381" s="131">
        <f>IFERROR(__xludf.DUMMYFUNCTION("""COMPUTED_VALUE"""),152.0)</f>
        <v>152</v>
      </c>
      <c r="AG381" s="131">
        <f>IFERROR(__xludf.DUMMYFUNCTION("""COMPUTED_VALUE"""),24.0)</f>
        <v>24</v>
      </c>
      <c r="AH381" s="131">
        <f>IFERROR(__xludf.DUMMYFUNCTION("""COMPUTED_VALUE"""),24.0)</f>
        <v>24</v>
      </c>
      <c r="AI381" s="131">
        <f>IFERROR(__xludf.DUMMYFUNCTION("""COMPUTED_VALUE"""),250.0)</f>
        <v>250</v>
      </c>
      <c r="AJ381" s="131"/>
      <c r="AK381" s="131"/>
    </row>
    <row r="382">
      <c r="A382" s="145" t="str">
        <f>IFERROR(__xludf.DUMMYFUNCTION("""COMPUTED_VALUE"""),"Y")</f>
        <v>Y</v>
      </c>
      <c r="B382" s="146" t="str">
        <f>IFERROR(__xludf.DUMMYFUNCTION("""COMPUTED_VALUE"""),"6")</f>
        <v>6</v>
      </c>
      <c r="C382" s="146" t="str">
        <f>IFERROR(__xludf.DUMMYFUNCTION("""COMPUTED_VALUE"""),"967-972")</f>
        <v>967-972</v>
      </c>
      <c r="D382" s="147">
        <f>IFERROR(__xludf.DUMMYFUNCTION("""COMPUTED_VALUE"""),45735.0)</f>
        <v>45735</v>
      </c>
      <c r="E382" s="147">
        <f>IFERROR(__xludf.DUMMYFUNCTION("""COMPUTED_VALUE"""),45742.0)</f>
        <v>45742</v>
      </c>
      <c r="F382" s="147">
        <f>IFERROR(__xludf.DUMMYFUNCTION("""COMPUTED_VALUE"""),45763.0)</f>
        <v>45763</v>
      </c>
      <c r="G382" s="146" t="str">
        <f>IFERROR(__xludf.DUMMYFUNCTION("""COMPUTED_VALUE"""),"D40-2L")</f>
        <v>D40-2L</v>
      </c>
      <c r="H382" s="148"/>
      <c r="I382" s="148"/>
      <c r="J382" s="146"/>
      <c r="K382" s="146"/>
      <c r="L382" s="146">
        <f>IFERROR(__xludf.DUMMYFUNCTION("""COMPUTED_VALUE"""),106.0)</f>
        <v>106</v>
      </c>
      <c r="M382" s="146">
        <f>IFERROR(__xludf.DUMMYFUNCTION("""COMPUTED_VALUE"""),152.0)</f>
        <v>152</v>
      </c>
      <c r="N382" s="146">
        <f>IFERROR(__xludf.DUMMYFUNCTION("""COMPUTED_VALUE"""),24.0)</f>
        <v>24</v>
      </c>
      <c r="O382" s="146">
        <f>IFERROR(__xludf.DUMMYFUNCTION("""COMPUTED_VALUE"""),24.0)</f>
        <v>24</v>
      </c>
      <c r="P382" s="146">
        <f>IFERROR(__xludf.DUMMYFUNCTION("""COMPUTED_VALUE"""),250.0)</f>
        <v>250</v>
      </c>
      <c r="Q382" s="146"/>
      <c r="R382" s="146"/>
      <c r="T382" s="131" t="str">
        <f>IFERROR(__xludf.DUMMYFUNCTION("""COMPUTED_VALUE"""),"Y")</f>
        <v>Y</v>
      </c>
      <c r="U382" s="131" t="str">
        <f>IFERROR(__xludf.DUMMYFUNCTION("""COMPUTED_VALUE"""),"6")</f>
        <v>6</v>
      </c>
      <c r="V382" s="131" t="str">
        <f>IFERROR(__xludf.DUMMYFUNCTION("""COMPUTED_VALUE"""),"967-972")</f>
        <v>967-972</v>
      </c>
      <c r="W382" s="144">
        <f>IFERROR(__xludf.DUMMYFUNCTION("""COMPUTED_VALUE"""),45735.0)</f>
        <v>45735</v>
      </c>
      <c r="X382" s="144">
        <f>IFERROR(__xludf.DUMMYFUNCTION("""COMPUTED_VALUE"""),45742.0)</f>
        <v>45742</v>
      </c>
      <c r="Y382" s="144">
        <f>IFERROR(__xludf.DUMMYFUNCTION("""COMPUTED_VALUE"""),45763.0)</f>
        <v>45763</v>
      </c>
      <c r="Z382" s="131" t="str">
        <f>IFERROR(__xludf.DUMMYFUNCTION("""COMPUTED_VALUE"""),"D40-2L")</f>
        <v>D40-2L</v>
      </c>
      <c r="AA382" s="131"/>
      <c r="AB382" s="131"/>
      <c r="AC382" s="131"/>
      <c r="AD382" s="131"/>
      <c r="AE382" s="131">
        <f>IFERROR(__xludf.DUMMYFUNCTION("""COMPUTED_VALUE"""),156.0)</f>
        <v>156</v>
      </c>
      <c r="AF382" s="131">
        <f>IFERROR(__xludf.DUMMYFUNCTION("""COMPUTED_VALUE"""),204.0)</f>
        <v>204</v>
      </c>
      <c r="AG382" s="131">
        <f>IFERROR(__xludf.DUMMYFUNCTION("""COMPUTED_VALUE"""),25.0)</f>
        <v>25</v>
      </c>
      <c r="AH382" s="131">
        <f>IFERROR(__xludf.DUMMYFUNCTION("""COMPUTED_VALUE"""),25.0)</f>
        <v>25</v>
      </c>
      <c r="AI382" s="131">
        <f>IFERROR(__xludf.DUMMYFUNCTION("""COMPUTED_VALUE"""),250.0)</f>
        <v>250</v>
      </c>
      <c r="AJ382" s="131"/>
      <c r="AK382" s="131"/>
    </row>
    <row r="383">
      <c r="A383" s="145" t="str">
        <f>IFERROR(__xludf.DUMMYFUNCTION("""COMPUTED_VALUE"""),"Y")</f>
        <v>Y</v>
      </c>
      <c r="B383" s="146" t="str">
        <f>IFERROR(__xludf.DUMMYFUNCTION("""COMPUTED_VALUE"""),"6")</f>
        <v>6</v>
      </c>
      <c r="C383" s="146" t="str">
        <f>IFERROR(__xludf.DUMMYFUNCTION("""COMPUTED_VALUE"""),"967-972")</f>
        <v>967-972</v>
      </c>
      <c r="D383" s="147">
        <f>IFERROR(__xludf.DUMMYFUNCTION("""COMPUTED_VALUE"""),45735.0)</f>
        <v>45735</v>
      </c>
      <c r="E383" s="147">
        <f>IFERROR(__xludf.DUMMYFUNCTION("""COMPUTED_VALUE"""),45742.0)</f>
        <v>45742</v>
      </c>
      <c r="F383" s="147">
        <f>IFERROR(__xludf.DUMMYFUNCTION("""COMPUTED_VALUE"""),45763.0)</f>
        <v>45763</v>
      </c>
      <c r="G383" s="146" t="str">
        <f>IFERROR(__xludf.DUMMYFUNCTION("""COMPUTED_VALUE"""),"D40-2L")</f>
        <v>D40-2L</v>
      </c>
      <c r="H383" s="148"/>
      <c r="I383" s="148"/>
      <c r="J383" s="146"/>
      <c r="K383" s="146"/>
      <c r="L383" s="146">
        <f>IFERROR(__xludf.DUMMYFUNCTION("""COMPUTED_VALUE"""),156.0)</f>
        <v>156</v>
      </c>
      <c r="M383" s="146">
        <f>IFERROR(__xludf.DUMMYFUNCTION("""COMPUTED_VALUE"""),204.0)</f>
        <v>204</v>
      </c>
      <c r="N383" s="146">
        <f>IFERROR(__xludf.DUMMYFUNCTION("""COMPUTED_VALUE"""),25.0)</f>
        <v>25</v>
      </c>
      <c r="O383" s="146">
        <f>IFERROR(__xludf.DUMMYFUNCTION("""COMPUTED_VALUE"""),25.0)</f>
        <v>25</v>
      </c>
      <c r="P383" s="146">
        <f>IFERROR(__xludf.DUMMYFUNCTION("""COMPUTED_VALUE"""),250.0)</f>
        <v>250</v>
      </c>
      <c r="Q383" s="146"/>
      <c r="R383" s="146"/>
      <c r="T383" s="131" t="str">
        <f>IFERROR(__xludf.DUMMYFUNCTION("""COMPUTED_VALUE"""),"Y")</f>
        <v>Y</v>
      </c>
      <c r="U383" s="131" t="str">
        <f>IFERROR(__xludf.DUMMYFUNCTION("""COMPUTED_VALUE"""),"6")</f>
        <v>6</v>
      </c>
      <c r="V383" s="131" t="str">
        <f>IFERROR(__xludf.DUMMYFUNCTION("""COMPUTED_VALUE"""),"967-972")</f>
        <v>967-972</v>
      </c>
      <c r="W383" s="144">
        <f>IFERROR(__xludf.DUMMYFUNCTION("""COMPUTED_VALUE"""),45735.0)</f>
        <v>45735</v>
      </c>
      <c r="X383" s="144">
        <f>IFERROR(__xludf.DUMMYFUNCTION("""COMPUTED_VALUE"""),45742.0)</f>
        <v>45742</v>
      </c>
      <c r="Y383" s="144">
        <f>IFERROR(__xludf.DUMMYFUNCTION("""COMPUTED_VALUE"""),45763.0)</f>
        <v>45763</v>
      </c>
      <c r="Z383" s="131" t="str">
        <f>IFERROR(__xludf.DUMMYFUNCTION("""COMPUTED_VALUE"""),"D40-2L")</f>
        <v>D40-2L</v>
      </c>
      <c r="AA383" s="131"/>
      <c r="AB383" s="131"/>
      <c r="AC383" s="131"/>
      <c r="AD383" s="131"/>
      <c r="AE383" s="131">
        <f>IFERROR(__xludf.DUMMYFUNCTION("""COMPUTED_VALUE"""),208.0)</f>
        <v>208</v>
      </c>
      <c r="AF383" s="131">
        <f>IFERROR(__xludf.DUMMYFUNCTION("""COMPUTED_VALUE"""),212.0)</f>
        <v>212</v>
      </c>
      <c r="AG383" s="131">
        <f>IFERROR(__xludf.DUMMYFUNCTION("""COMPUTED_VALUE"""),3.0)</f>
        <v>3</v>
      </c>
      <c r="AH383" s="131">
        <f>IFERROR(__xludf.DUMMYFUNCTION("""COMPUTED_VALUE"""),3.0)</f>
        <v>3</v>
      </c>
      <c r="AI383" s="131">
        <f>IFERROR(__xludf.DUMMYFUNCTION("""COMPUTED_VALUE"""),250.0)</f>
        <v>250</v>
      </c>
      <c r="AJ383" s="131"/>
      <c r="AK383" s="131"/>
    </row>
    <row r="384">
      <c r="A384" s="145" t="str">
        <f>IFERROR(__xludf.DUMMYFUNCTION("""COMPUTED_VALUE"""),"Y")</f>
        <v>Y</v>
      </c>
      <c r="B384" s="146" t="str">
        <f>IFERROR(__xludf.DUMMYFUNCTION("""COMPUTED_VALUE"""),"6")</f>
        <v>6</v>
      </c>
      <c r="C384" s="146" t="str">
        <f>IFERROR(__xludf.DUMMYFUNCTION("""COMPUTED_VALUE"""),"967-972")</f>
        <v>967-972</v>
      </c>
      <c r="D384" s="147">
        <f>IFERROR(__xludf.DUMMYFUNCTION("""COMPUTED_VALUE"""),45735.0)</f>
        <v>45735</v>
      </c>
      <c r="E384" s="147">
        <f>IFERROR(__xludf.DUMMYFUNCTION("""COMPUTED_VALUE"""),45742.0)</f>
        <v>45742</v>
      </c>
      <c r="F384" s="147">
        <f>IFERROR(__xludf.DUMMYFUNCTION("""COMPUTED_VALUE"""),45763.0)</f>
        <v>45763</v>
      </c>
      <c r="G384" s="146" t="str">
        <f>IFERROR(__xludf.DUMMYFUNCTION("""COMPUTED_VALUE"""),"D40-2L")</f>
        <v>D40-2L</v>
      </c>
      <c r="H384" s="148"/>
      <c r="I384" s="148"/>
      <c r="J384" s="146"/>
      <c r="K384" s="146"/>
      <c r="L384" s="146">
        <f>IFERROR(__xludf.DUMMYFUNCTION("""COMPUTED_VALUE"""),208.0)</f>
        <v>208</v>
      </c>
      <c r="M384" s="146">
        <f>IFERROR(__xludf.DUMMYFUNCTION("""COMPUTED_VALUE"""),212.0)</f>
        <v>212</v>
      </c>
      <c r="N384" s="146">
        <f>IFERROR(__xludf.DUMMYFUNCTION("""COMPUTED_VALUE"""),3.0)</f>
        <v>3</v>
      </c>
      <c r="O384" s="146">
        <f>IFERROR(__xludf.DUMMYFUNCTION("""COMPUTED_VALUE"""),3.0)</f>
        <v>3</v>
      </c>
      <c r="P384" s="146">
        <f>IFERROR(__xludf.DUMMYFUNCTION("""COMPUTED_VALUE"""),250.0)</f>
        <v>250</v>
      </c>
      <c r="Q384" s="146"/>
      <c r="R384" s="146"/>
      <c r="T384" s="131" t="str">
        <f>IFERROR(__xludf.DUMMYFUNCTION("""COMPUTED_VALUE"""),"Y")</f>
        <v>Y</v>
      </c>
      <c r="U384" s="131" t="str">
        <f>IFERROR(__xludf.DUMMYFUNCTION("""COMPUTED_VALUE"""),"6")</f>
        <v>6</v>
      </c>
      <c r="V384" s="131" t="str">
        <f>IFERROR(__xludf.DUMMYFUNCTION("""COMPUTED_VALUE"""),"961-966")</f>
        <v>961-966</v>
      </c>
      <c r="W384" s="144">
        <f>IFERROR(__xludf.DUMMYFUNCTION("""COMPUTED_VALUE"""),45735.0)</f>
        <v>45735</v>
      </c>
      <c r="X384" s="144">
        <f>IFERROR(__xludf.DUMMYFUNCTION("""COMPUTED_VALUE"""),45742.0)</f>
        <v>45742</v>
      </c>
      <c r="Y384" s="144">
        <f>IFERROR(__xludf.DUMMYFUNCTION("""COMPUTED_VALUE"""),45763.0)</f>
        <v>45763</v>
      </c>
      <c r="Z384" s="131" t="str">
        <f>IFERROR(__xludf.DUMMYFUNCTION("""COMPUTED_VALUE"""),"D33-3L")</f>
        <v>D33-3L</v>
      </c>
      <c r="AA384" s="131">
        <f>IFERROR(__xludf.DUMMYFUNCTION("""COMPUTED_VALUE"""),153.0)</f>
        <v>153</v>
      </c>
      <c r="AB384" s="131">
        <f>IFERROR(__xludf.DUMMYFUNCTION("""COMPUTED_VALUE"""),215.0)</f>
        <v>215</v>
      </c>
      <c r="AC384" s="131">
        <f>IFERROR(__xludf.DUMMYFUNCTION("""COMPUTED_VALUE"""),32.0)</f>
        <v>32</v>
      </c>
      <c r="AD384" s="131">
        <f>IFERROR(__xludf.DUMMYFUNCTION("""COMPUTED_VALUE"""),32.0)</f>
        <v>32</v>
      </c>
      <c r="AE384" s="131">
        <f>IFERROR(__xludf.DUMMYFUNCTION("""COMPUTED_VALUE"""),2.0)</f>
        <v>2</v>
      </c>
      <c r="AF384" s="131">
        <f>IFERROR(__xludf.DUMMYFUNCTION("""COMPUTED_VALUE"""),150.0)</f>
        <v>150</v>
      </c>
      <c r="AG384" s="131">
        <f>IFERROR(__xludf.DUMMYFUNCTION("""COMPUTED_VALUE"""),75.0)</f>
        <v>75</v>
      </c>
      <c r="AH384" s="131">
        <f>IFERROR(__xludf.DUMMYFUNCTION("""COMPUTED_VALUE"""),75.0)</f>
        <v>75</v>
      </c>
      <c r="AI384" s="131">
        <f>IFERROR(__xludf.DUMMYFUNCTION("""COMPUTED_VALUE"""),251.0)</f>
        <v>251</v>
      </c>
      <c r="AJ384" s="131"/>
      <c r="AK384" s="131"/>
    </row>
    <row r="385">
      <c r="A385" s="145" t="str">
        <f>IFERROR(__xludf.DUMMYFUNCTION("""COMPUTED_VALUE"""),"Y")</f>
        <v>Y</v>
      </c>
      <c r="B385" s="146" t="str">
        <f>IFERROR(__xludf.DUMMYFUNCTION("""COMPUTED_VALUE"""),"6")</f>
        <v>6</v>
      </c>
      <c r="C385" s="146" t="str">
        <f>IFERROR(__xludf.DUMMYFUNCTION("""COMPUTED_VALUE"""),"961-966")</f>
        <v>961-966</v>
      </c>
      <c r="D385" s="147">
        <f>IFERROR(__xludf.DUMMYFUNCTION("""COMPUTED_VALUE"""),45735.0)</f>
        <v>45735</v>
      </c>
      <c r="E385" s="147">
        <f>IFERROR(__xludf.DUMMYFUNCTION("""COMPUTED_VALUE"""),45742.0)</f>
        <v>45742</v>
      </c>
      <c r="F385" s="147">
        <f>IFERROR(__xludf.DUMMYFUNCTION("""COMPUTED_VALUE"""),45763.0)</f>
        <v>45763</v>
      </c>
      <c r="G385" s="146" t="str">
        <f>IFERROR(__xludf.DUMMYFUNCTION("""COMPUTED_VALUE"""),"D33-3L")</f>
        <v>D33-3L</v>
      </c>
      <c r="H385" s="148">
        <f>IFERROR(__xludf.DUMMYFUNCTION("""COMPUTED_VALUE"""),153.0)</f>
        <v>153</v>
      </c>
      <c r="I385" s="148">
        <f>IFERROR(__xludf.DUMMYFUNCTION("""COMPUTED_VALUE"""),215.0)</f>
        <v>215</v>
      </c>
      <c r="J385" s="146">
        <f>IFERROR(__xludf.DUMMYFUNCTION("""COMPUTED_VALUE"""),32.0)</f>
        <v>32</v>
      </c>
      <c r="K385" s="146">
        <f>IFERROR(__xludf.DUMMYFUNCTION("""COMPUTED_VALUE"""),32.0)</f>
        <v>32</v>
      </c>
      <c r="L385" s="146">
        <f>IFERROR(__xludf.DUMMYFUNCTION("""COMPUTED_VALUE"""),2.0)</f>
        <v>2</v>
      </c>
      <c r="M385" s="146">
        <f>IFERROR(__xludf.DUMMYFUNCTION("""COMPUTED_VALUE"""),150.0)</f>
        <v>150</v>
      </c>
      <c r="N385" s="146">
        <f>IFERROR(__xludf.DUMMYFUNCTION("""COMPUTED_VALUE"""),75.0)</f>
        <v>75</v>
      </c>
      <c r="O385" s="146">
        <f>IFERROR(__xludf.DUMMYFUNCTION("""COMPUTED_VALUE"""),75.0)</f>
        <v>75</v>
      </c>
      <c r="P385" s="146">
        <f>IFERROR(__xludf.DUMMYFUNCTION("""COMPUTED_VALUE"""),251.0)</f>
        <v>251</v>
      </c>
      <c r="Q385" s="146"/>
      <c r="R385" s="146"/>
      <c r="T385" s="131" t="str">
        <f>IFERROR(__xludf.DUMMYFUNCTION("""COMPUTED_VALUE"""),"Y")</f>
        <v>Y</v>
      </c>
      <c r="U385" s="131" t="str">
        <f>IFERROR(__xludf.DUMMYFUNCTION("""COMPUTED_VALUE"""),"6")</f>
        <v>6</v>
      </c>
      <c r="V385" s="131" t="str">
        <f>IFERROR(__xludf.DUMMYFUNCTION("""COMPUTED_VALUE"""),"973-978")</f>
        <v>973-978</v>
      </c>
      <c r="W385" s="144">
        <f>IFERROR(__xludf.DUMMYFUNCTION("""COMPUTED_VALUE"""),45735.0)</f>
        <v>45735</v>
      </c>
      <c r="X385" s="144">
        <f>IFERROR(__xludf.DUMMYFUNCTION("""COMPUTED_VALUE"""),45742.0)</f>
        <v>45742</v>
      </c>
      <c r="Y385" s="144">
        <f>IFERROR(__xludf.DUMMYFUNCTION("""COMPUTED_VALUE"""),45763.0)</f>
        <v>45763</v>
      </c>
      <c r="Z385" s="131" t="str">
        <f>IFERROR(__xludf.DUMMYFUNCTION("""COMPUTED_VALUE"""),"BRG10")</f>
        <v>BRG10</v>
      </c>
      <c r="AA385" s="131">
        <f>IFERROR(__xludf.DUMMYFUNCTION("""COMPUTED_VALUE"""),261.0)</f>
        <v>261</v>
      </c>
      <c r="AB385" s="131">
        <f>IFERROR(__xludf.DUMMYFUNCTION("""COMPUTED_VALUE"""),273.0)</f>
        <v>273</v>
      </c>
      <c r="AC385" s="131">
        <f>IFERROR(__xludf.DUMMYFUNCTION("""COMPUTED_VALUE"""),7.0)</f>
        <v>7</v>
      </c>
      <c r="AD385" s="131">
        <f>IFERROR(__xludf.DUMMYFUNCTION("""COMPUTED_VALUE"""),7.0)</f>
        <v>7</v>
      </c>
      <c r="AE385" s="131">
        <f>IFERROR(__xludf.DUMMYFUNCTION("""COMPUTED_VALUE"""),6.0)</f>
        <v>6</v>
      </c>
      <c r="AF385" s="131">
        <f>IFERROR(__xludf.DUMMYFUNCTION("""COMPUTED_VALUE"""),136.0)</f>
        <v>136</v>
      </c>
      <c r="AG385" s="131">
        <f>IFERROR(__xludf.DUMMYFUNCTION("""COMPUTED_VALUE"""),66.0)</f>
        <v>66</v>
      </c>
      <c r="AH385" s="131">
        <f>IFERROR(__xludf.DUMMYFUNCTION("""COMPUTED_VALUE"""),66.0)</f>
        <v>66</v>
      </c>
      <c r="AI385" s="131">
        <f>IFERROR(__xludf.DUMMYFUNCTION("""COMPUTED_VALUE"""),252.0)</f>
        <v>252</v>
      </c>
      <c r="AJ385" s="131"/>
      <c r="AK385" s="131"/>
    </row>
    <row r="386">
      <c r="A386" s="145" t="str">
        <f>IFERROR(__xludf.DUMMYFUNCTION("""COMPUTED_VALUE"""),"Y")</f>
        <v>Y</v>
      </c>
      <c r="B386" s="146" t="str">
        <f>IFERROR(__xludf.DUMMYFUNCTION("""COMPUTED_VALUE"""),"6")</f>
        <v>6</v>
      </c>
      <c r="C386" s="146" t="str">
        <f>IFERROR(__xludf.DUMMYFUNCTION("""COMPUTED_VALUE"""),"973-978")</f>
        <v>973-978</v>
      </c>
      <c r="D386" s="147">
        <f>IFERROR(__xludf.DUMMYFUNCTION("""COMPUTED_VALUE"""),45735.0)</f>
        <v>45735</v>
      </c>
      <c r="E386" s="147">
        <f>IFERROR(__xludf.DUMMYFUNCTION("""COMPUTED_VALUE"""),45742.0)</f>
        <v>45742</v>
      </c>
      <c r="F386" s="147">
        <f>IFERROR(__xludf.DUMMYFUNCTION("""COMPUTED_VALUE"""),45763.0)</f>
        <v>45763</v>
      </c>
      <c r="G386" s="146" t="str">
        <f>IFERROR(__xludf.DUMMYFUNCTION("""COMPUTED_VALUE"""),"BRG10")</f>
        <v>BRG10</v>
      </c>
      <c r="H386" s="148">
        <f>IFERROR(__xludf.DUMMYFUNCTION("""COMPUTED_VALUE"""),261.0)</f>
        <v>261</v>
      </c>
      <c r="I386" s="148">
        <f>IFERROR(__xludf.DUMMYFUNCTION("""COMPUTED_VALUE"""),273.0)</f>
        <v>273</v>
      </c>
      <c r="J386" s="146">
        <f>IFERROR(__xludf.DUMMYFUNCTION("""COMPUTED_VALUE"""),7.0)</f>
        <v>7</v>
      </c>
      <c r="K386" s="146">
        <f>IFERROR(__xludf.DUMMYFUNCTION("""COMPUTED_VALUE"""),7.0)</f>
        <v>7</v>
      </c>
      <c r="L386" s="146">
        <f>IFERROR(__xludf.DUMMYFUNCTION("""COMPUTED_VALUE"""),6.0)</f>
        <v>6</v>
      </c>
      <c r="M386" s="146">
        <f>IFERROR(__xludf.DUMMYFUNCTION("""COMPUTED_VALUE"""),136.0)</f>
        <v>136</v>
      </c>
      <c r="N386" s="146">
        <f>IFERROR(__xludf.DUMMYFUNCTION("""COMPUTED_VALUE"""),66.0)</f>
        <v>66</v>
      </c>
      <c r="O386" s="146">
        <f>IFERROR(__xludf.DUMMYFUNCTION("""COMPUTED_VALUE"""),66.0)</f>
        <v>66</v>
      </c>
      <c r="P386" s="146">
        <f>IFERROR(__xludf.DUMMYFUNCTION("""COMPUTED_VALUE"""),252.0)</f>
        <v>252</v>
      </c>
      <c r="Q386" s="146"/>
      <c r="R386" s="146"/>
      <c r="T386" s="131" t="str">
        <f>IFERROR(__xludf.DUMMYFUNCTION("""COMPUTED_VALUE"""),"Y")</f>
        <v>Y</v>
      </c>
      <c r="U386" s="131" t="str">
        <f>IFERROR(__xludf.DUMMYFUNCTION("""COMPUTED_VALUE"""),"6")</f>
        <v>6</v>
      </c>
      <c r="V386" s="131" t="str">
        <f>IFERROR(__xludf.DUMMYFUNCTION("""COMPUTED_VALUE"""),"979-984")</f>
        <v>979-984</v>
      </c>
      <c r="W386" s="144">
        <f>IFERROR(__xludf.DUMMYFUNCTION("""COMPUTED_VALUE"""),45736.0)</f>
        <v>45736</v>
      </c>
      <c r="X386" s="144">
        <f>IFERROR(__xludf.DUMMYFUNCTION("""COMPUTED_VALUE"""),45743.0)</f>
        <v>45743</v>
      </c>
      <c r="Y386" s="144">
        <f>IFERROR(__xludf.DUMMYFUNCTION("""COMPUTED_VALUE"""),45764.0)</f>
        <v>45764</v>
      </c>
      <c r="Z386" s="131" t="str">
        <f>IFERROR(__xludf.DUMMYFUNCTION("""COMPUTED_VALUE"""),"D33-3L")</f>
        <v>D33-3L</v>
      </c>
      <c r="AA386" s="131">
        <f>IFERROR(__xludf.DUMMYFUNCTION("""COMPUTED_VALUE"""),3.0)</f>
        <v>3</v>
      </c>
      <c r="AB386" s="131">
        <f>IFERROR(__xludf.DUMMYFUNCTION("""COMPUTED_VALUE"""),3.0)</f>
        <v>3</v>
      </c>
      <c r="AC386" s="131">
        <f>IFERROR(__xludf.DUMMYFUNCTION("""COMPUTED_VALUE"""),1.0)</f>
        <v>1</v>
      </c>
      <c r="AD386" s="131">
        <f>IFERROR(__xludf.DUMMYFUNCTION("""COMPUTED_VALUE"""),1.0)</f>
        <v>1</v>
      </c>
      <c r="AE386" s="131"/>
      <c r="AF386" s="131"/>
      <c r="AG386" s="131"/>
      <c r="AH386" s="131"/>
      <c r="AI386" s="131">
        <f>IFERROR(__xludf.DUMMYFUNCTION("""COMPUTED_VALUE"""),254.0)</f>
        <v>254</v>
      </c>
      <c r="AJ386" s="131"/>
      <c r="AK386" s="131"/>
    </row>
    <row r="387">
      <c r="A387" s="145" t="str">
        <f>IFERROR(__xludf.DUMMYFUNCTION("""COMPUTED_VALUE"""),"Y")</f>
        <v>Y</v>
      </c>
      <c r="B387" s="146" t="str">
        <f>IFERROR(__xludf.DUMMYFUNCTION("""COMPUTED_VALUE"""),"6")</f>
        <v>6</v>
      </c>
      <c r="C387" s="146" t="str">
        <f>IFERROR(__xludf.DUMMYFUNCTION("""COMPUTED_VALUE"""),"979-984")</f>
        <v>979-984</v>
      </c>
      <c r="D387" s="147">
        <f>IFERROR(__xludf.DUMMYFUNCTION("""COMPUTED_VALUE"""),45736.0)</f>
        <v>45736</v>
      </c>
      <c r="E387" s="147">
        <f>IFERROR(__xludf.DUMMYFUNCTION("""COMPUTED_VALUE"""),45743.0)</f>
        <v>45743</v>
      </c>
      <c r="F387" s="147">
        <f>IFERROR(__xludf.DUMMYFUNCTION("""COMPUTED_VALUE"""),45764.0)</f>
        <v>45764</v>
      </c>
      <c r="G387" s="146" t="str">
        <f>IFERROR(__xludf.DUMMYFUNCTION("""COMPUTED_VALUE"""),"D33-3L")</f>
        <v>D33-3L</v>
      </c>
      <c r="H387" s="148">
        <f>IFERROR(__xludf.DUMMYFUNCTION("""COMPUTED_VALUE"""),3.0)</f>
        <v>3</v>
      </c>
      <c r="I387" s="148">
        <f>IFERROR(__xludf.DUMMYFUNCTION("""COMPUTED_VALUE"""),3.0)</f>
        <v>3</v>
      </c>
      <c r="J387" s="146">
        <f>IFERROR(__xludf.DUMMYFUNCTION("""COMPUTED_VALUE"""),1.0)</f>
        <v>1</v>
      </c>
      <c r="K387" s="146">
        <f>IFERROR(__xludf.DUMMYFUNCTION("""COMPUTED_VALUE"""),1.0)</f>
        <v>1</v>
      </c>
      <c r="L387" s="146"/>
      <c r="M387" s="146"/>
      <c r="N387" s="146"/>
      <c r="O387" s="146"/>
      <c r="P387" s="146">
        <f>IFERROR(__xludf.DUMMYFUNCTION("""COMPUTED_VALUE"""),254.0)</f>
        <v>254</v>
      </c>
      <c r="Q387" s="146"/>
      <c r="R387" s="146"/>
      <c r="T387" s="131" t="str">
        <f>IFERROR(__xludf.DUMMYFUNCTION("""COMPUTED_VALUE"""),"Y")</f>
        <v>Y</v>
      </c>
      <c r="U387" s="131" t="str">
        <f>IFERROR(__xludf.DUMMYFUNCTION("""COMPUTED_VALUE"""),"6")</f>
        <v>6</v>
      </c>
      <c r="V387" s="131" t="str">
        <f>IFERROR(__xludf.DUMMYFUNCTION("""COMPUTED_VALUE"""),"979-984")</f>
        <v>979-984</v>
      </c>
      <c r="W387" s="144">
        <f>IFERROR(__xludf.DUMMYFUNCTION("""COMPUTED_VALUE"""),45736.0)</f>
        <v>45736</v>
      </c>
      <c r="X387" s="144">
        <f>IFERROR(__xludf.DUMMYFUNCTION("""COMPUTED_VALUE"""),45743.0)</f>
        <v>45743</v>
      </c>
      <c r="Y387" s="144">
        <f>IFERROR(__xludf.DUMMYFUNCTION("""COMPUTED_VALUE"""),45764.0)</f>
        <v>45764</v>
      </c>
      <c r="Z387" s="131" t="str">
        <f>IFERROR(__xludf.DUMMYFUNCTION("""COMPUTED_VALUE"""),"D33-3L")</f>
        <v>D33-3L</v>
      </c>
      <c r="AA387" s="131">
        <f>IFERROR(__xludf.DUMMYFUNCTION("""COMPUTED_VALUE"""),7.0)</f>
        <v>7</v>
      </c>
      <c r="AB387" s="131">
        <f>IFERROR(__xludf.DUMMYFUNCTION("""COMPUTED_VALUE"""),53.0)</f>
        <v>53</v>
      </c>
      <c r="AC387" s="131">
        <f>IFERROR(__xludf.DUMMYFUNCTION("""COMPUTED_VALUE"""),24.0)</f>
        <v>24</v>
      </c>
      <c r="AD387" s="131">
        <f>IFERROR(__xludf.DUMMYFUNCTION("""COMPUTED_VALUE"""),24.0)</f>
        <v>24</v>
      </c>
      <c r="AE387" s="131">
        <f>IFERROR(__xludf.DUMMYFUNCTION("""COMPUTED_VALUE"""),154.0)</f>
        <v>154</v>
      </c>
      <c r="AF387" s="131">
        <f>IFERROR(__xludf.DUMMYFUNCTION("""COMPUTED_VALUE"""),156.0)</f>
        <v>156</v>
      </c>
      <c r="AG387" s="131">
        <f>IFERROR(__xludf.DUMMYFUNCTION("""COMPUTED_VALUE"""),2.0)</f>
        <v>2</v>
      </c>
      <c r="AH387" s="131">
        <f>IFERROR(__xludf.DUMMYFUNCTION("""COMPUTED_VALUE"""),2.0)</f>
        <v>2</v>
      </c>
      <c r="AI387" s="131">
        <f>IFERROR(__xludf.DUMMYFUNCTION("""COMPUTED_VALUE"""),254.0)</f>
        <v>254</v>
      </c>
      <c r="AJ387" s="131"/>
      <c r="AK387" s="131"/>
    </row>
    <row r="388">
      <c r="A388" s="145" t="str">
        <f>IFERROR(__xludf.DUMMYFUNCTION("""COMPUTED_VALUE"""),"Y")</f>
        <v>Y</v>
      </c>
      <c r="B388" s="146" t="str">
        <f>IFERROR(__xludf.DUMMYFUNCTION("""COMPUTED_VALUE"""),"6")</f>
        <v>6</v>
      </c>
      <c r="C388" s="146" t="str">
        <f>IFERROR(__xludf.DUMMYFUNCTION("""COMPUTED_VALUE"""),"979-984")</f>
        <v>979-984</v>
      </c>
      <c r="D388" s="147">
        <f>IFERROR(__xludf.DUMMYFUNCTION("""COMPUTED_VALUE"""),45736.0)</f>
        <v>45736</v>
      </c>
      <c r="E388" s="147">
        <f>IFERROR(__xludf.DUMMYFUNCTION("""COMPUTED_VALUE"""),45743.0)</f>
        <v>45743</v>
      </c>
      <c r="F388" s="147">
        <f>IFERROR(__xludf.DUMMYFUNCTION("""COMPUTED_VALUE"""),45764.0)</f>
        <v>45764</v>
      </c>
      <c r="G388" s="146" t="str">
        <f>IFERROR(__xludf.DUMMYFUNCTION("""COMPUTED_VALUE"""),"D33-3L")</f>
        <v>D33-3L</v>
      </c>
      <c r="H388" s="148">
        <f>IFERROR(__xludf.DUMMYFUNCTION("""COMPUTED_VALUE"""),7.0)</f>
        <v>7</v>
      </c>
      <c r="I388" s="148">
        <f>IFERROR(__xludf.DUMMYFUNCTION("""COMPUTED_VALUE"""),53.0)</f>
        <v>53</v>
      </c>
      <c r="J388" s="146">
        <f>IFERROR(__xludf.DUMMYFUNCTION("""COMPUTED_VALUE"""),24.0)</f>
        <v>24</v>
      </c>
      <c r="K388" s="146">
        <f>IFERROR(__xludf.DUMMYFUNCTION("""COMPUTED_VALUE"""),24.0)</f>
        <v>24</v>
      </c>
      <c r="L388" s="146">
        <f>IFERROR(__xludf.DUMMYFUNCTION("""COMPUTED_VALUE"""),154.0)</f>
        <v>154</v>
      </c>
      <c r="M388" s="146">
        <f>IFERROR(__xludf.DUMMYFUNCTION("""COMPUTED_VALUE"""),156.0)</f>
        <v>156</v>
      </c>
      <c r="N388" s="146">
        <f>IFERROR(__xludf.DUMMYFUNCTION("""COMPUTED_VALUE"""),2.0)</f>
        <v>2</v>
      </c>
      <c r="O388" s="146">
        <f>IFERROR(__xludf.DUMMYFUNCTION("""COMPUTED_VALUE"""),2.0)</f>
        <v>2</v>
      </c>
      <c r="P388" s="146">
        <f>IFERROR(__xludf.DUMMYFUNCTION("""COMPUTED_VALUE"""),254.0)</f>
        <v>254</v>
      </c>
      <c r="Q388" s="146"/>
      <c r="R388" s="146"/>
      <c r="T388" s="131" t="str">
        <f>IFERROR(__xludf.DUMMYFUNCTION("""COMPUTED_VALUE"""),"Y")</f>
        <v>Y</v>
      </c>
      <c r="U388" s="131" t="str">
        <f>IFERROR(__xludf.DUMMYFUNCTION("""COMPUTED_VALUE"""),"6")</f>
        <v>6</v>
      </c>
      <c r="V388" s="131" t="str">
        <f>IFERROR(__xludf.DUMMYFUNCTION("""COMPUTED_VALUE"""),"979-984")</f>
        <v>979-984</v>
      </c>
      <c r="W388" s="144">
        <f>IFERROR(__xludf.DUMMYFUNCTION("""COMPUTED_VALUE"""),45736.0)</f>
        <v>45736</v>
      </c>
      <c r="X388" s="144">
        <f>IFERROR(__xludf.DUMMYFUNCTION("""COMPUTED_VALUE"""),45743.0)</f>
        <v>45743</v>
      </c>
      <c r="Y388" s="144">
        <f>IFERROR(__xludf.DUMMYFUNCTION("""COMPUTED_VALUE"""),45764.0)</f>
        <v>45764</v>
      </c>
      <c r="Z388" s="131" t="str">
        <f>IFERROR(__xludf.DUMMYFUNCTION("""COMPUTED_VALUE"""),"D33-3L")</f>
        <v>D33-3L</v>
      </c>
      <c r="AA388" s="131">
        <f>IFERROR(__xludf.DUMMYFUNCTION("""COMPUTED_VALUE"""),57.0)</f>
        <v>57</v>
      </c>
      <c r="AB388" s="131">
        <f>IFERROR(__xludf.DUMMYFUNCTION("""COMPUTED_VALUE"""),107.0)</f>
        <v>107</v>
      </c>
      <c r="AC388" s="131">
        <f>IFERROR(__xludf.DUMMYFUNCTION("""COMPUTED_VALUE"""),26.0)</f>
        <v>26</v>
      </c>
      <c r="AD388" s="131">
        <f>IFERROR(__xludf.DUMMYFUNCTION("""COMPUTED_VALUE"""),26.0)</f>
        <v>26</v>
      </c>
      <c r="AE388" s="131"/>
      <c r="AF388" s="131"/>
      <c r="AG388" s="131"/>
      <c r="AH388" s="131"/>
      <c r="AI388" s="131">
        <f>IFERROR(__xludf.DUMMYFUNCTION("""COMPUTED_VALUE"""),254.0)</f>
        <v>254</v>
      </c>
      <c r="AJ388" s="131"/>
      <c r="AK388" s="131"/>
    </row>
    <row r="389">
      <c r="A389" s="145" t="str">
        <f>IFERROR(__xludf.DUMMYFUNCTION("""COMPUTED_VALUE"""),"Y")</f>
        <v>Y</v>
      </c>
      <c r="B389" s="146" t="str">
        <f>IFERROR(__xludf.DUMMYFUNCTION("""COMPUTED_VALUE"""),"6")</f>
        <v>6</v>
      </c>
      <c r="C389" s="146" t="str">
        <f>IFERROR(__xludf.DUMMYFUNCTION("""COMPUTED_VALUE"""),"979-984")</f>
        <v>979-984</v>
      </c>
      <c r="D389" s="147">
        <f>IFERROR(__xludf.DUMMYFUNCTION("""COMPUTED_VALUE"""),45736.0)</f>
        <v>45736</v>
      </c>
      <c r="E389" s="147">
        <f>IFERROR(__xludf.DUMMYFUNCTION("""COMPUTED_VALUE"""),45743.0)</f>
        <v>45743</v>
      </c>
      <c r="F389" s="147">
        <f>IFERROR(__xludf.DUMMYFUNCTION("""COMPUTED_VALUE"""),45764.0)</f>
        <v>45764</v>
      </c>
      <c r="G389" s="146" t="str">
        <f>IFERROR(__xludf.DUMMYFUNCTION("""COMPUTED_VALUE"""),"D33-3L")</f>
        <v>D33-3L</v>
      </c>
      <c r="H389" s="148">
        <f>IFERROR(__xludf.DUMMYFUNCTION("""COMPUTED_VALUE"""),57.0)</f>
        <v>57</v>
      </c>
      <c r="I389" s="148">
        <f>IFERROR(__xludf.DUMMYFUNCTION("""COMPUTED_VALUE"""),107.0)</f>
        <v>107</v>
      </c>
      <c r="J389" s="146">
        <f>IFERROR(__xludf.DUMMYFUNCTION("""COMPUTED_VALUE"""),26.0)</f>
        <v>26</v>
      </c>
      <c r="K389" s="146">
        <f>IFERROR(__xludf.DUMMYFUNCTION("""COMPUTED_VALUE"""),26.0)</f>
        <v>26</v>
      </c>
      <c r="L389" s="146"/>
      <c r="M389" s="146"/>
      <c r="N389" s="146"/>
      <c r="O389" s="146"/>
      <c r="P389" s="146">
        <f>IFERROR(__xludf.DUMMYFUNCTION("""COMPUTED_VALUE"""),254.0)</f>
        <v>254</v>
      </c>
      <c r="Q389" s="146"/>
      <c r="R389" s="146"/>
      <c r="T389" s="131" t="str">
        <f>IFERROR(__xludf.DUMMYFUNCTION("""COMPUTED_VALUE"""),"Y")</f>
        <v>Y</v>
      </c>
      <c r="U389" s="131" t="str">
        <f>IFERROR(__xludf.DUMMYFUNCTION("""COMPUTED_VALUE"""),"6")</f>
        <v>6</v>
      </c>
      <c r="V389" s="131" t="str">
        <f>IFERROR(__xludf.DUMMYFUNCTION("""COMPUTED_VALUE"""),"979-984")</f>
        <v>979-984</v>
      </c>
      <c r="W389" s="144">
        <f>IFERROR(__xludf.DUMMYFUNCTION("""COMPUTED_VALUE"""),45736.0)</f>
        <v>45736</v>
      </c>
      <c r="X389" s="144">
        <f>IFERROR(__xludf.DUMMYFUNCTION("""COMPUTED_VALUE"""),45743.0)</f>
        <v>45743</v>
      </c>
      <c r="Y389" s="144">
        <f>IFERROR(__xludf.DUMMYFUNCTION("""COMPUTED_VALUE"""),45764.0)</f>
        <v>45764</v>
      </c>
      <c r="Z389" s="131" t="str">
        <f>IFERROR(__xludf.DUMMYFUNCTION("""COMPUTED_VALUE"""),"D33-3L")</f>
        <v>D33-3L</v>
      </c>
      <c r="AA389" s="131">
        <f>IFERROR(__xludf.DUMMYFUNCTION("""COMPUTED_VALUE"""),111.0)</f>
        <v>111</v>
      </c>
      <c r="AB389" s="131">
        <f>IFERROR(__xludf.DUMMYFUNCTION("""COMPUTED_VALUE"""),151.0)</f>
        <v>151</v>
      </c>
      <c r="AC389" s="131">
        <f>IFERROR(__xludf.DUMMYFUNCTION("""COMPUTED_VALUE"""),21.0)</f>
        <v>21</v>
      </c>
      <c r="AD389" s="131">
        <f>IFERROR(__xludf.DUMMYFUNCTION("""COMPUTED_VALUE"""),21.0)</f>
        <v>21</v>
      </c>
      <c r="AE389" s="131"/>
      <c r="AF389" s="131"/>
      <c r="AG389" s="131"/>
      <c r="AH389" s="131"/>
      <c r="AI389" s="131">
        <f>IFERROR(__xludf.DUMMYFUNCTION("""COMPUTED_VALUE"""),254.0)</f>
        <v>254</v>
      </c>
      <c r="AJ389" s="131"/>
      <c r="AK389" s="131"/>
    </row>
    <row r="390">
      <c r="A390" s="145" t="str">
        <f>IFERROR(__xludf.DUMMYFUNCTION("""COMPUTED_VALUE"""),"Y")</f>
        <v>Y</v>
      </c>
      <c r="B390" s="146" t="str">
        <f>IFERROR(__xludf.DUMMYFUNCTION("""COMPUTED_VALUE"""),"6")</f>
        <v>6</v>
      </c>
      <c r="C390" s="146" t="str">
        <f>IFERROR(__xludf.DUMMYFUNCTION("""COMPUTED_VALUE"""),"979-984")</f>
        <v>979-984</v>
      </c>
      <c r="D390" s="147">
        <f>IFERROR(__xludf.DUMMYFUNCTION("""COMPUTED_VALUE"""),45736.0)</f>
        <v>45736</v>
      </c>
      <c r="E390" s="147">
        <f>IFERROR(__xludf.DUMMYFUNCTION("""COMPUTED_VALUE"""),45743.0)</f>
        <v>45743</v>
      </c>
      <c r="F390" s="147">
        <f>IFERROR(__xludf.DUMMYFUNCTION("""COMPUTED_VALUE"""),45764.0)</f>
        <v>45764</v>
      </c>
      <c r="G390" s="146" t="str">
        <f>IFERROR(__xludf.DUMMYFUNCTION("""COMPUTED_VALUE"""),"D33-3L")</f>
        <v>D33-3L</v>
      </c>
      <c r="H390" s="148">
        <f>IFERROR(__xludf.DUMMYFUNCTION("""COMPUTED_VALUE"""),111.0)</f>
        <v>111</v>
      </c>
      <c r="I390" s="148">
        <f>IFERROR(__xludf.DUMMYFUNCTION("""COMPUTED_VALUE"""),151.0)</f>
        <v>151</v>
      </c>
      <c r="J390" s="146">
        <f>IFERROR(__xludf.DUMMYFUNCTION("""COMPUTED_VALUE"""),21.0)</f>
        <v>21</v>
      </c>
      <c r="K390" s="146">
        <f>IFERROR(__xludf.DUMMYFUNCTION("""COMPUTED_VALUE"""),21.0)</f>
        <v>21</v>
      </c>
      <c r="L390" s="146"/>
      <c r="M390" s="146"/>
      <c r="N390" s="146"/>
      <c r="O390" s="146"/>
      <c r="P390" s="146">
        <f>IFERROR(__xludf.DUMMYFUNCTION("""COMPUTED_VALUE"""),254.0)</f>
        <v>254</v>
      </c>
      <c r="Q390" s="146"/>
      <c r="R390" s="146"/>
      <c r="T390" s="131" t="str">
        <f>IFERROR(__xludf.DUMMYFUNCTION("""COMPUTED_VALUE"""),"Y")</f>
        <v>Y</v>
      </c>
      <c r="U390" s="131" t="str">
        <f>IFERROR(__xludf.DUMMYFUNCTION("""COMPUTED_VALUE"""),"6")</f>
        <v>6</v>
      </c>
      <c r="V390" s="131" t="str">
        <f>IFERROR(__xludf.DUMMYFUNCTION("""COMPUTED_VALUE"""),"979-984")</f>
        <v>979-984</v>
      </c>
      <c r="W390" s="144">
        <f>IFERROR(__xludf.DUMMYFUNCTION("""COMPUTED_VALUE"""),45736.0)</f>
        <v>45736</v>
      </c>
      <c r="X390" s="144">
        <f>IFERROR(__xludf.DUMMYFUNCTION("""COMPUTED_VALUE"""),45743.0)</f>
        <v>45743</v>
      </c>
      <c r="Y390" s="144">
        <f>IFERROR(__xludf.DUMMYFUNCTION("""COMPUTED_VALUE"""),45764.0)</f>
        <v>45764</v>
      </c>
      <c r="Z390" s="131" t="str">
        <f>IFERROR(__xludf.DUMMYFUNCTION("""COMPUTED_VALUE"""),"D33-3L")</f>
        <v>D33-3L</v>
      </c>
      <c r="AA390" s="131">
        <f>IFERROR(__xludf.DUMMYFUNCTION("""COMPUTED_VALUE"""),217.0)</f>
        <v>217</v>
      </c>
      <c r="AB390" s="131">
        <f>IFERROR(__xludf.DUMMYFUNCTION("""COMPUTED_VALUE"""),303.0)</f>
        <v>303</v>
      </c>
      <c r="AC390" s="131">
        <f>IFERROR(__xludf.DUMMYFUNCTION("""COMPUTED_VALUE"""),44.0)</f>
        <v>44</v>
      </c>
      <c r="AD390" s="131">
        <f>IFERROR(__xludf.DUMMYFUNCTION("""COMPUTED_VALUE"""),44.0)</f>
        <v>44</v>
      </c>
      <c r="AE390" s="131"/>
      <c r="AF390" s="131"/>
      <c r="AG390" s="131"/>
      <c r="AH390" s="131"/>
      <c r="AI390" s="131">
        <f>IFERROR(__xludf.DUMMYFUNCTION("""COMPUTED_VALUE"""),254.0)</f>
        <v>254</v>
      </c>
      <c r="AJ390" s="131"/>
      <c r="AK390" s="131"/>
    </row>
    <row r="391">
      <c r="A391" s="145" t="str">
        <f>IFERROR(__xludf.DUMMYFUNCTION("""COMPUTED_VALUE"""),"Y")</f>
        <v>Y</v>
      </c>
      <c r="B391" s="146" t="str">
        <f>IFERROR(__xludf.DUMMYFUNCTION("""COMPUTED_VALUE"""),"6")</f>
        <v>6</v>
      </c>
      <c r="C391" s="146" t="str">
        <f>IFERROR(__xludf.DUMMYFUNCTION("""COMPUTED_VALUE"""),"979-984")</f>
        <v>979-984</v>
      </c>
      <c r="D391" s="147">
        <f>IFERROR(__xludf.DUMMYFUNCTION("""COMPUTED_VALUE"""),45736.0)</f>
        <v>45736</v>
      </c>
      <c r="E391" s="147">
        <f>IFERROR(__xludf.DUMMYFUNCTION("""COMPUTED_VALUE"""),45743.0)</f>
        <v>45743</v>
      </c>
      <c r="F391" s="147">
        <f>IFERROR(__xludf.DUMMYFUNCTION("""COMPUTED_VALUE"""),45764.0)</f>
        <v>45764</v>
      </c>
      <c r="G391" s="146" t="str">
        <f>IFERROR(__xludf.DUMMYFUNCTION("""COMPUTED_VALUE"""),"D33-3L")</f>
        <v>D33-3L</v>
      </c>
      <c r="H391" s="148">
        <f>IFERROR(__xludf.DUMMYFUNCTION("""COMPUTED_VALUE"""),217.0)</f>
        <v>217</v>
      </c>
      <c r="I391" s="148">
        <f>IFERROR(__xludf.DUMMYFUNCTION("""COMPUTED_VALUE"""),303.0)</f>
        <v>303</v>
      </c>
      <c r="J391" s="146">
        <f>IFERROR(__xludf.DUMMYFUNCTION("""COMPUTED_VALUE"""),44.0)</f>
        <v>44</v>
      </c>
      <c r="K391" s="146">
        <f>IFERROR(__xludf.DUMMYFUNCTION("""COMPUTED_VALUE"""),44.0)</f>
        <v>44</v>
      </c>
      <c r="L391" s="146"/>
      <c r="M391" s="146"/>
      <c r="N391" s="146"/>
      <c r="O391" s="146"/>
      <c r="P391" s="146">
        <f>IFERROR(__xludf.DUMMYFUNCTION("""COMPUTED_VALUE"""),254.0)</f>
        <v>254</v>
      </c>
      <c r="Q391" s="146"/>
      <c r="R391" s="146"/>
      <c r="T391" s="131" t="str">
        <f>IFERROR(__xludf.DUMMYFUNCTION("""COMPUTED_VALUE"""),"Y")</f>
        <v>Y</v>
      </c>
      <c r="U391" s="131" t="str">
        <f>IFERROR(__xludf.DUMMYFUNCTION("""COMPUTED_VALUE"""),"6")</f>
        <v>6</v>
      </c>
      <c r="V391" s="131" t="str">
        <f>IFERROR(__xludf.DUMMYFUNCTION("""COMPUTED_VALUE"""),"985-990")</f>
        <v>985-990</v>
      </c>
      <c r="W391" s="144">
        <f>IFERROR(__xludf.DUMMYFUNCTION("""COMPUTED_VALUE"""),45736.0)</f>
        <v>45736</v>
      </c>
      <c r="X391" s="144">
        <f>IFERROR(__xludf.DUMMYFUNCTION("""COMPUTED_VALUE"""),45743.0)</f>
        <v>45743</v>
      </c>
      <c r="Y391" s="144">
        <f>IFERROR(__xludf.DUMMYFUNCTION("""COMPUTED_VALUE"""),45764.0)</f>
        <v>45764</v>
      </c>
      <c r="Z391" s="131" t="str">
        <f>IFERROR(__xludf.DUMMYFUNCTION("""COMPUTED_VALUE"""),"D40-2R")</f>
        <v>D40-2R</v>
      </c>
      <c r="AA391" s="131">
        <f>IFERROR(__xludf.DUMMYFUNCTION("""COMPUTED_VALUE"""),3.0)</f>
        <v>3</v>
      </c>
      <c r="AB391" s="131">
        <f>IFERROR(__xludf.DUMMYFUNCTION("""COMPUTED_VALUE"""),3.0)</f>
        <v>3</v>
      </c>
      <c r="AC391" s="131">
        <f>IFERROR(__xludf.DUMMYFUNCTION("""COMPUTED_VALUE"""),1.0)</f>
        <v>1</v>
      </c>
      <c r="AD391" s="131">
        <f>IFERROR(__xludf.DUMMYFUNCTION("""COMPUTED_VALUE"""),1.0)</f>
        <v>1</v>
      </c>
      <c r="AE391" s="131"/>
      <c r="AF391" s="131"/>
      <c r="AG391" s="131"/>
      <c r="AH391" s="131"/>
      <c r="AI391" s="131">
        <f>IFERROR(__xludf.DUMMYFUNCTION("""COMPUTED_VALUE"""),255.0)</f>
        <v>255</v>
      </c>
      <c r="AJ391" s="131"/>
      <c r="AK391" s="131"/>
    </row>
    <row r="392">
      <c r="A392" s="145" t="str">
        <f>IFERROR(__xludf.DUMMYFUNCTION("""COMPUTED_VALUE"""),"Y")</f>
        <v>Y</v>
      </c>
      <c r="B392" s="146" t="str">
        <f>IFERROR(__xludf.DUMMYFUNCTION("""COMPUTED_VALUE"""),"6")</f>
        <v>6</v>
      </c>
      <c r="C392" s="146" t="str">
        <f>IFERROR(__xludf.DUMMYFUNCTION("""COMPUTED_VALUE"""),"985-990")</f>
        <v>985-990</v>
      </c>
      <c r="D392" s="147">
        <f>IFERROR(__xludf.DUMMYFUNCTION("""COMPUTED_VALUE"""),45736.0)</f>
        <v>45736</v>
      </c>
      <c r="E392" s="147">
        <f>IFERROR(__xludf.DUMMYFUNCTION("""COMPUTED_VALUE"""),45743.0)</f>
        <v>45743</v>
      </c>
      <c r="F392" s="147">
        <f>IFERROR(__xludf.DUMMYFUNCTION("""COMPUTED_VALUE"""),45764.0)</f>
        <v>45764</v>
      </c>
      <c r="G392" s="146" t="str">
        <f>IFERROR(__xludf.DUMMYFUNCTION("""COMPUTED_VALUE"""),"D40-2R")</f>
        <v>D40-2R</v>
      </c>
      <c r="H392" s="148">
        <f>IFERROR(__xludf.DUMMYFUNCTION("""COMPUTED_VALUE"""),3.0)</f>
        <v>3</v>
      </c>
      <c r="I392" s="148">
        <f>IFERROR(__xludf.DUMMYFUNCTION("""COMPUTED_VALUE"""),3.0)</f>
        <v>3</v>
      </c>
      <c r="J392" s="146">
        <f>IFERROR(__xludf.DUMMYFUNCTION("""COMPUTED_VALUE"""),1.0)</f>
        <v>1</v>
      </c>
      <c r="K392" s="146">
        <f>IFERROR(__xludf.DUMMYFUNCTION("""COMPUTED_VALUE"""),1.0)</f>
        <v>1</v>
      </c>
      <c r="L392" s="146"/>
      <c r="M392" s="146"/>
      <c r="N392" s="146"/>
      <c r="O392" s="146"/>
      <c r="P392" s="146">
        <f>IFERROR(__xludf.DUMMYFUNCTION("""COMPUTED_VALUE"""),255.0)</f>
        <v>255</v>
      </c>
      <c r="Q392" s="146"/>
      <c r="R392" s="146"/>
      <c r="T392" s="131" t="str">
        <f>IFERROR(__xludf.DUMMYFUNCTION("""COMPUTED_VALUE"""),"Y")</f>
        <v>Y</v>
      </c>
      <c r="U392" s="131" t="str">
        <f>IFERROR(__xludf.DUMMYFUNCTION("""COMPUTED_VALUE"""),"6")</f>
        <v>6</v>
      </c>
      <c r="V392" s="131" t="str">
        <f>IFERROR(__xludf.DUMMYFUNCTION("""COMPUTED_VALUE"""),"985-990")</f>
        <v>985-990</v>
      </c>
      <c r="W392" s="144">
        <f>IFERROR(__xludf.DUMMYFUNCTION("""COMPUTED_VALUE"""),45736.0)</f>
        <v>45736</v>
      </c>
      <c r="X392" s="144">
        <f>IFERROR(__xludf.DUMMYFUNCTION("""COMPUTED_VALUE"""),45743.0)</f>
        <v>45743</v>
      </c>
      <c r="Y392" s="144">
        <f>IFERROR(__xludf.DUMMYFUNCTION("""COMPUTED_VALUE"""),45764.0)</f>
        <v>45764</v>
      </c>
      <c r="Z392" s="131" t="str">
        <f>IFERROR(__xludf.DUMMYFUNCTION("""COMPUTED_VALUE"""),"D40-2R")</f>
        <v>D40-2R</v>
      </c>
      <c r="AA392" s="131">
        <f>IFERROR(__xludf.DUMMYFUNCTION("""COMPUTED_VALUE"""),7.0)</f>
        <v>7</v>
      </c>
      <c r="AB392" s="131">
        <f>IFERROR(__xludf.DUMMYFUNCTION("""COMPUTED_VALUE"""),53.0)</f>
        <v>53</v>
      </c>
      <c r="AC392" s="131">
        <f>IFERROR(__xludf.DUMMYFUNCTION("""COMPUTED_VALUE"""),24.0)</f>
        <v>24</v>
      </c>
      <c r="AD392" s="131">
        <f>IFERROR(__xludf.DUMMYFUNCTION("""COMPUTED_VALUE"""),24.0)</f>
        <v>24</v>
      </c>
      <c r="AE392" s="131"/>
      <c r="AF392" s="131"/>
      <c r="AG392" s="131"/>
      <c r="AH392" s="131"/>
      <c r="AI392" s="131">
        <f>IFERROR(__xludf.DUMMYFUNCTION("""COMPUTED_VALUE"""),255.0)</f>
        <v>255</v>
      </c>
      <c r="AJ392" s="131"/>
      <c r="AK392" s="131"/>
    </row>
    <row r="393">
      <c r="A393" s="145" t="str">
        <f>IFERROR(__xludf.DUMMYFUNCTION("""COMPUTED_VALUE"""),"Y")</f>
        <v>Y</v>
      </c>
      <c r="B393" s="146" t="str">
        <f>IFERROR(__xludf.DUMMYFUNCTION("""COMPUTED_VALUE"""),"6")</f>
        <v>6</v>
      </c>
      <c r="C393" s="146" t="str">
        <f>IFERROR(__xludf.DUMMYFUNCTION("""COMPUTED_VALUE"""),"985-990")</f>
        <v>985-990</v>
      </c>
      <c r="D393" s="147">
        <f>IFERROR(__xludf.DUMMYFUNCTION("""COMPUTED_VALUE"""),45736.0)</f>
        <v>45736</v>
      </c>
      <c r="E393" s="147">
        <f>IFERROR(__xludf.DUMMYFUNCTION("""COMPUTED_VALUE"""),45743.0)</f>
        <v>45743</v>
      </c>
      <c r="F393" s="147">
        <f>IFERROR(__xludf.DUMMYFUNCTION("""COMPUTED_VALUE"""),45764.0)</f>
        <v>45764</v>
      </c>
      <c r="G393" s="146" t="str">
        <f>IFERROR(__xludf.DUMMYFUNCTION("""COMPUTED_VALUE"""),"D40-2R")</f>
        <v>D40-2R</v>
      </c>
      <c r="H393" s="148">
        <f>IFERROR(__xludf.DUMMYFUNCTION("""COMPUTED_VALUE"""),7.0)</f>
        <v>7</v>
      </c>
      <c r="I393" s="148">
        <f>IFERROR(__xludf.DUMMYFUNCTION("""COMPUTED_VALUE"""),53.0)</f>
        <v>53</v>
      </c>
      <c r="J393" s="146">
        <f>IFERROR(__xludf.DUMMYFUNCTION("""COMPUTED_VALUE"""),24.0)</f>
        <v>24</v>
      </c>
      <c r="K393" s="146">
        <f>IFERROR(__xludf.DUMMYFUNCTION("""COMPUTED_VALUE"""),24.0)</f>
        <v>24</v>
      </c>
      <c r="L393" s="146"/>
      <c r="M393" s="146"/>
      <c r="N393" s="146"/>
      <c r="O393" s="146"/>
      <c r="P393" s="146">
        <f>IFERROR(__xludf.DUMMYFUNCTION("""COMPUTED_VALUE"""),255.0)</f>
        <v>255</v>
      </c>
      <c r="Q393" s="146"/>
      <c r="R393" s="146"/>
      <c r="T393" s="131" t="str">
        <f>IFERROR(__xludf.DUMMYFUNCTION("""COMPUTED_VALUE"""),"Y")</f>
        <v>Y</v>
      </c>
      <c r="U393" s="131" t="str">
        <f>IFERROR(__xludf.DUMMYFUNCTION("""COMPUTED_VALUE"""),"6")</f>
        <v>6</v>
      </c>
      <c r="V393" s="131" t="str">
        <f>IFERROR(__xludf.DUMMYFUNCTION("""COMPUTED_VALUE"""),"985-990")</f>
        <v>985-990</v>
      </c>
      <c r="W393" s="144">
        <f>IFERROR(__xludf.DUMMYFUNCTION("""COMPUTED_VALUE"""),45736.0)</f>
        <v>45736</v>
      </c>
      <c r="X393" s="144">
        <f>IFERROR(__xludf.DUMMYFUNCTION("""COMPUTED_VALUE"""),45743.0)</f>
        <v>45743</v>
      </c>
      <c r="Y393" s="144">
        <f>IFERROR(__xludf.DUMMYFUNCTION("""COMPUTED_VALUE"""),45764.0)</f>
        <v>45764</v>
      </c>
      <c r="Z393" s="131" t="str">
        <f>IFERROR(__xludf.DUMMYFUNCTION("""COMPUTED_VALUE"""),"D40-2R")</f>
        <v>D40-2R</v>
      </c>
      <c r="AA393" s="131">
        <f>IFERROR(__xludf.DUMMYFUNCTION("""COMPUTED_VALUE"""),57.0)</f>
        <v>57</v>
      </c>
      <c r="AB393" s="131">
        <f>IFERROR(__xludf.DUMMYFUNCTION("""COMPUTED_VALUE"""),103.0)</f>
        <v>103</v>
      </c>
      <c r="AC393" s="131">
        <f>IFERROR(__xludf.DUMMYFUNCTION("""COMPUTED_VALUE"""),24.0)</f>
        <v>24</v>
      </c>
      <c r="AD393" s="131">
        <f>IFERROR(__xludf.DUMMYFUNCTION("""COMPUTED_VALUE"""),24.0)</f>
        <v>24</v>
      </c>
      <c r="AE393" s="131"/>
      <c r="AF393" s="131"/>
      <c r="AG393" s="131"/>
      <c r="AH393" s="131"/>
      <c r="AI393" s="131">
        <f>IFERROR(__xludf.DUMMYFUNCTION("""COMPUTED_VALUE"""),255.0)</f>
        <v>255</v>
      </c>
      <c r="AJ393" s="131"/>
      <c r="AK393" s="131"/>
    </row>
    <row r="394">
      <c r="A394" s="145" t="str">
        <f>IFERROR(__xludf.DUMMYFUNCTION("""COMPUTED_VALUE"""),"Y")</f>
        <v>Y</v>
      </c>
      <c r="B394" s="146" t="str">
        <f>IFERROR(__xludf.DUMMYFUNCTION("""COMPUTED_VALUE"""),"6")</f>
        <v>6</v>
      </c>
      <c r="C394" s="146" t="str">
        <f>IFERROR(__xludf.DUMMYFUNCTION("""COMPUTED_VALUE"""),"985-990")</f>
        <v>985-990</v>
      </c>
      <c r="D394" s="147">
        <f>IFERROR(__xludf.DUMMYFUNCTION("""COMPUTED_VALUE"""),45736.0)</f>
        <v>45736</v>
      </c>
      <c r="E394" s="147">
        <f>IFERROR(__xludf.DUMMYFUNCTION("""COMPUTED_VALUE"""),45743.0)</f>
        <v>45743</v>
      </c>
      <c r="F394" s="147">
        <f>IFERROR(__xludf.DUMMYFUNCTION("""COMPUTED_VALUE"""),45764.0)</f>
        <v>45764</v>
      </c>
      <c r="G394" s="146" t="str">
        <f>IFERROR(__xludf.DUMMYFUNCTION("""COMPUTED_VALUE"""),"D40-2R")</f>
        <v>D40-2R</v>
      </c>
      <c r="H394" s="148">
        <f>IFERROR(__xludf.DUMMYFUNCTION("""COMPUTED_VALUE"""),57.0)</f>
        <v>57</v>
      </c>
      <c r="I394" s="148">
        <f>IFERROR(__xludf.DUMMYFUNCTION("""COMPUTED_VALUE"""),103.0)</f>
        <v>103</v>
      </c>
      <c r="J394" s="146">
        <f>IFERROR(__xludf.DUMMYFUNCTION("""COMPUTED_VALUE"""),24.0)</f>
        <v>24</v>
      </c>
      <c r="K394" s="146">
        <f>IFERROR(__xludf.DUMMYFUNCTION("""COMPUTED_VALUE"""),24.0)</f>
        <v>24</v>
      </c>
      <c r="L394" s="146"/>
      <c r="M394" s="146"/>
      <c r="N394" s="146"/>
      <c r="O394" s="146"/>
      <c r="P394" s="146">
        <f>IFERROR(__xludf.DUMMYFUNCTION("""COMPUTED_VALUE"""),255.0)</f>
        <v>255</v>
      </c>
      <c r="Q394" s="146"/>
      <c r="R394" s="146"/>
      <c r="T394" s="131" t="str">
        <f>IFERROR(__xludf.DUMMYFUNCTION("""COMPUTED_VALUE"""),"Y")</f>
        <v>Y</v>
      </c>
      <c r="U394" s="131" t="str">
        <f>IFERROR(__xludf.DUMMYFUNCTION("""COMPUTED_VALUE"""),"6")</f>
        <v>6</v>
      </c>
      <c r="V394" s="131" t="str">
        <f>IFERROR(__xludf.DUMMYFUNCTION("""COMPUTED_VALUE"""),"985-990")</f>
        <v>985-990</v>
      </c>
      <c r="W394" s="144">
        <f>IFERROR(__xludf.DUMMYFUNCTION("""COMPUTED_VALUE"""),45736.0)</f>
        <v>45736</v>
      </c>
      <c r="X394" s="144">
        <f>IFERROR(__xludf.DUMMYFUNCTION("""COMPUTED_VALUE"""),45743.0)</f>
        <v>45743</v>
      </c>
      <c r="Y394" s="144">
        <f>IFERROR(__xludf.DUMMYFUNCTION("""COMPUTED_VALUE"""),45764.0)</f>
        <v>45764</v>
      </c>
      <c r="Z394" s="131" t="str">
        <f>IFERROR(__xludf.DUMMYFUNCTION("""COMPUTED_VALUE"""),"D40-2R")</f>
        <v>D40-2R</v>
      </c>
      <c r="AA394" s="131">
        <f>IFERROR(__xludf.DUMMYFUNCTION("""COMPUTED_VALUE"""),107.0)</f>
        <v>107</v>
      </c>
      <c r="AB394" s="131">
        <f>IFERROR(__xludf.DUMMYFUNCTION("""COMPUTED_VALUE"""),115.0)</f>
        <v>115</v>
      </c>
      <c r="AC394" s="131">
        <f>IFERROR(__xludf.DUMMYFUNCTION("""COMPUTED_VALUE"""),5.0)</f>
        <v>5</v>
      </c>
      <c r="AD394" s="131">
        <f>IFERROR(__xludf.DUMMYFUNCTION("""COMPUTED_VALUE"""),5.0)</f>
        <v>5</v>
      </c>
      <c r="AE394" s="131"/>
      <c r="AF394" s="131"/>
      <c r="AG394" s="131"/>
      <c r="AH394" s="131"/>
      <c r="AI394" s="131">
        <f>IFERROR(__xludf.DUMMYFUNCTION("""COMPUTED_VALUE"""),255.0)</f>
        <v>255</v>
      </c>
      <c r="AJ394" s="131"/>
      <c r="AK394" s="131"/>
    </row>
    <row r="395">
      <c r="A395" s="145" t="str">
        <f>IFERROR(__xludf.DUMMYFUNCTION("""COMPUTED_VALUE"""),"Y")</f>
        <v>Y</v>
      </c>
      <c r="B395" s="146" t="str">
        <f>IFERROR(__xludf.DUMMYFUNCTION("""COMPUTED_VALUE"""),"6")</f>
        <v>6</v>
      </c>
      <c r="C395" s="146" t="str">
        <f>IFERROR(__xludf.DUMMYFUNCTION("""COMPUTED_VALUE"""),"985-990")</f>
        <v>985-990</v>
      </c>
      <c r="D395" s="147">
        <f>IFERROR(__xludf.DUMMYFUNCTION("""COMPUTED_VALUE"""),45736.0)</f>
        <v>45736</v>
      </c>
      <c r="E395" s="147">
        <f>IFERROR(__xludf.DUMMYFUNCTION("""COMPUTED_VALUE"""),45743.0)</f>
        <v>45743</v>
      </c>
      <c r="F395" s="147">
        <f>IFERROR(__xludf.DUMMYFUNCTION("""COMPUTED_VALUE"""),45764.0)</f>
        <v>45764</v>
      </c>
      <c r="G395" s="146" t="str">
        <f>IFERROR(__xludf.DUMMYFUNCTION("""COMPUTED_VALUE"""),"D40-2R")</f>
        <v>D40-2R</v>
      </c>
      <c r="H395" s="148">
        <f>IFERROR(__xludf.DUMMYFUNCTION("""COMPUTED_VALUE"""),107.0)</f>
        <v>107</v>
      </c>
      <c r="I395" s="148">
        <f>IFERROR(__xludf.DUMMYFUNCTION("""COMPUTED_VALUE"""),115.0)</f>
        <v>115</v>
      </c>
      <c r="J395" s="146">
        <f>IFERROR(__xludf.DUMMYFUNCTION("""COMPUTED_VALUE"""),5.0)</f>
        <v>5</v>
      </c>
      <c r="K395" s="146">
        <f>IFERROR(__xludf.DUMMYFUNCTION("""COMPUTED_VALUE"""),5.0)</f>
        <v>5</v>
      </c>
      <c r="L395" s="146"/>
      <c r="M395" s="146"/>
      <c r="N395" s="146"/>
      <c r="O395" s="146"/>
      <c r="P395" s="146">
        <f>IFERROR(__xludf.DUMMYFUNCTION("""COMPUTED_VALUE"""),255.0)</f>
        <v>255</v>
      </c>
      <c r="Q395" s="146"/>
      <c r="R395" s="146"/>
      <c r="T395" s="131" t="str">
        <f>IFERROR(__xludf.DUMMYFUNCTION("""COMPUTED_VALUE"""),"Y")</f>
        <v>Y</v>
      </c>
      <c r="U395" s="131" t="str">
        <f>IFERROR(__xludf.DUMMYFUNCTION("""COMPUTED_VALUE"""),"6")</f>
        <v>6</v>
      </c>
      <c r="V395" s="131" t="str">
        <f>IFERROR(__xludf.DUMMYFUNCTION("""COMPUTED_VALUE"""),"985-990")</f>
        <v>985-990</v>
      </c>
      <c r="W395" s="144">
        <f>IFERROR(__xludf.DUMMYFUNCTION("""COMPUTED_VALUE"""),45736.0)</f>
        <v>45736</v>
      </c>
      <c r="X395" s="144">
        <f>IFERROR(__xludf.DUMMYFUNCTION("""COMPUTED_VALUE"""),45743.0)</f>
        <v>45743</v>
      </c>
      <c r="Y395" s="144">
        <f>IFERROR(__xludf.DUMMYFUNCTION("""COMPUTED_VALUE"""),45764.0)</f>
        <v>45764</v>
      </c>
      <c r="Z395" s="131" t="str">
        <f>IFERROR(__xludf.DUMMYFUNCTION("""COMPUTED_VALUE"""),"D40-2L")</f>
        <v>D40-2L</v>
      </c>
      <c r="AA395" s="131">
        <f>IFERROR(__xludf.DUMMYFUNCTION("""COMPUTED_VALUE"""),1.0)</f>
        <v>1</v>
      </c>
      <c r="AB395" s="131">
        <f>IFERROR(__xludf.DUMMYFUNCTION("""COMPUTED_VALUE"""),3.0)</f>
        <v>3</v>
      </c>
      <c r="AC395" s="131">
        <f>IFERROR(__xludf.DUMMYFUNCTION("""COMPUTED_VALUE"""),2.0)</f>
        <v>2</v>
      </c>
      <c r="AD395" s="131">
        <f>IFERROR(__xludf.DUMMYFUNCTION("""COMPUTED_VALUE"""),2.0)</f>
        <v>2</v>
      </c>
      <c r="AE395" s="131">
        <f>IFERROR(__xludf.DUMMYFUNCTION("""COMPUTED_VALUE"""),20.0)</f>
        <v>20</v>
      </c>
      <c r="AF395" s="131">
        <f>IFERROR(__xludf.DUMMYFUNCTION("""COMPUTED_VALUE"""),48.0)</f>
        <v>48</v>
      </c>
      <c r="AG395" s="131">
        <f>IFERROR(__xludf.DUMMYFUNCTION("""COMPUTED_VALUE"""),15.0)</f>
        <v>15</v>
      </c>
      <c r="AH395" s="131">
        <f>IFERROR(__xludf.DUMMYFUNCTION("""COMPUTED_VALUE"""),15.0)</f>
        <v>15</v>
      </c>
      <c r="AI395" s="131">
        <f>IFERROR(__xludf.DUMMYFUNCTION("""COMPUTED_VALUE"""),255.0)</f>
        <v>255</v>
      </c>
      <c r="AJ395" s="131"/>
      <c r="AK395" s="131"/>
    </row>
    <row r="396">
      <c r="A396" s="145" t="str">
        <f>IFERROR(__xludf.DUMMYFUNCTION("""COMPUTED_VALUE"""),"Y")</f>
        <v>Y</v>
      </c>
      <c r="B396" s="146" t="str">
        <f>IFERROR(__xludf.DUMMYFUNCTION("""COMPUTED_VALUE"""),"6")</f>
        <v>6</v>
      </c>
      <c r="C396" s="146" t="str">
        <f>IFERROR(__xludf.DUMMYFUNCTION("""COMPUTED_VALUE"""),"985-990")</f>
        <v>985-990</v>
      </c>
      <c r="D396" s="147">
        <f>IFERROR(__xludf.DUMMYFUNCTION("""COMPUTED_VALUE"""),45736.0)</f>
        <v>45736</v>
      </c>
      <c r="E396" s="147">
        <f>IFERROR(__xludf.DUMMYFUNCTION("""COMPUTED_VALUE"""),45743.0)</f>
        <v>45743</v>
      </c>
      <c r="F396" s="147">
        <f>IFERROR(__xludf.DUMMYFUNCTION("""COMPUTED_VALUE"""),45764.0)</f>
        <v>45764</v>
      </c>
      <c r="G396" s="146" t="str">
        <f>IFERROR(__xludf.DUMMYFUNCTION("""COMPUTED_VALUE"""),"D40-2L")</f>
        <v>D40-2L</v>
      </c>
      <c r="H396" s="148">
        <f>IFERROR(__xludf.DUMMYFUNCTION("""COMPUTED_VALUE"""),1.0)</f>
        <v>1</v>
      </c>
      <c r="I396" s="148">
        <f>IFERROR(__xludf.DUMMYFUNCTION("""COMPUTED_VALUE"""),3.0)</f>
        <v>3</v>
      </c>
      <c r="J396" s="146">
        <f>IFERROR(__xludf.DUMMYFUNCTION("""COMPUTED_VALUE"""),2.0)</f>
        <v>2</v>
      </c>
      <c r="K396" s="146">
        <f>IFERROR(__xludf.DUMMYFUNCTION("""COMPUTED_VALUE"""),2.0)</f>
        <v>2</v>
      </c>
      <c r="L396" s="146">
        <f>IFERROR(__xludf.DUMMYFUNCTION("""COMPUTED_VALUE"""),20.0)</f>
        <v>20</v>
      </c>
      <c r="M396" s="146">
        <f>IFERROR(__xludf.DUMMYFUNCTION("""COMPUTED_VALUE"""),48.0)</f>
        <v>48</v>
      </c>
      <c r="N396" s="146">
        <f>IFERROR(__xludf.DUMMYFUNCTION("""COMPUTED_VALUE"""),15.0)</f>
        <v>15</v>
      </c>
      <c r="O396" s="146">
        <f>IFERROR(__xludf.DUMMYFUNCTION("""COMPUTED_VALUE"""),15.0)</f>
        <v>15</v>
      </c>
      <c r="P396" s="146">
        <f>IFERROR(__xludf.DUMMYFUNCTION("""COMPUTED_VALUE"""),255.0)</f>
        <v>255</v>
      </c>
      <c r="Q396" s="146"/>
      <c r="R396" s="146"/>
      <c r="T396" s="131" t="str">
        <f>IFERROR(__xludf.DUMMYFUNCTION("""COMPUTED_VALUE"""),"Y")</f>
        <v>Y</v>
      </c>
      <c r="U396" s="131" t="str">
        <f>IFERROR(__xludf.DUMMYFUNCTION("""COMPUTED_VALUE"""),"6")</f>
        <v>6</v>
      </c>
      <c r="V396" s="131" t="str">
        <f>IFERROR(__xludf.DUMMYFUNCTION("""COMPUTED_VALUE"""),"985-990")</f>
        <v>985-990</v>
      </c>
      <c r="W396" s="144">
        <f>IFERROR(__xludf.DUMMYFUNCTION("""COMPUTED_VALUE"""),45736.0)</f>
        <v>45736</v>
      </c>
      <c r="X396" s="144">
        <f>IFERROR(__xludf.DUMMYFUNCTION("""COMPUTED_VALUE"""),45743.0)</f>
        <v>45743</v>
      </c>
      <c r="Y396" s="144">
        <f>IFERROR(__xludf.DUMMYFUNCTION("""COMPUTED_VALUE"""),45764.0)</f>
        <v>45764</v>
      </c>
      <c r="Z396" s="131" t="str">
        <f>IFERROR(__xludf.DUMMYFUNCTION("""COMPUTED_VALUE"""),"D40-2L")</f>
        <v>D40-2L</v>
      </c>
      <c r="AA396" s="131">
        <f>IFERROR(__xludf.DUMMYFUNCTION("""COMPUTED_VALUE"""),7.0)</f>
        <v>7</v>
      </c>
      <c r="AB396" s="131">
        <f>IFERROR(__xludf.DUMMYFUNCTION("""COMPUTED_VALUE"""),19.0)</f>
        <v>19</v>
      </c>
      <c r="AC396" s="131">
        <f>IFERROR(__xludf.DUMMYFUNCTION("""COMPUTED_VALUE"""),7.0)</f>
        <v>7</v>
      </c>
      <c r="AD396" s="131">
        <f>IFERROR(__xludf.DUMMYFUNCTION("""COMPUTED_VALUE"""),7.0)</f>
        <v>7</v>
      </c>
      <c r="AE396" s="131">
        <f>IFERROR(__xludf.DUMMYFUNCTION("""COMPUTED_VALUE"""),214.0)</f>
        <v>214</v>
      </c>
      <c r="AF396" s="131">
        <f>IFERROR(__xludf.DUMMYFUNCTION("""COMPUTED_VALUE"""),222.0)</f>
        <v>222</v>
      </c>
      <c r="AG396" s="131">
        <f>IFERROR(__xludf.DUMMYFUNCTION("""COMPUTED_VALUE"""),5.0)</f>
        <v>5</v>
      </c>
      <c r="AH396" s="131">
        <f>IFERROR(__xludf.DUMMYFUNCTION("""COMPUTED_VALUE"""),5.0)</f>
        <v>5</v>
      </c>
      <c r="AI396" s="131">
        <f>IFERROR(__xludf.DUMMYFUNCTION("""COMPUTED_VALUE"""),255.0)</f>
        <v>255</v>
      </c>
      <c r="AJ396" s="131"/>
      <c r="AK396" s="131"/>
    </row>
    <row r="397">
      <c r="A397" s="145" t="str">
        <f>IFERROR(__xludf.DUMMYFUNCTION("""COMPUTED_VALUE"""),"Y")</f>
        <v>Y</v>
      </c>
      <c r="B397" s="146" t="str">
        <f>IFERROR(__xludf.DUMMYFUNCTION("""COMPUTED_VALUE"""),"6")</f>
        <v>6</v>
      </c>
      <c r="C397" s="146" t="str">
        <f>IFERROR(__xludf.DUMMYFUNCTION("""COMPUTED_VALUE"""),"985-990")</f>
        <v>985-990</v>
      </c>
      <c r="D397" s="147">
        <f>IFERROR(__xludf.DUMMYFUNCTION("""COMPUTED_VALUE"""),45736.0)</f>
        <v>45736</v>
      </c>
      <c r="E397" s="147">
        <f>IFERROR(__xludf.DUMMYFUNCTION("""COMPUTED_VALUE"""),45743.0)</f>
        <v>45743</v>
      </c>
      <c r="F397" s="147">
        <f>IFERROR(__xludf.DUMMYFUNCTION("""COMPUTED_VALUE"""),45764.0)</f>
        <v>45764</v>
      </c>
      <c r="G397" s="146" t="str">
        <f>IFERROR(__xludf.DUMMYFUNCTION("""COMPUTED_VALUE"""),"D40-2L")</f>
        <v>D40-2L</v>
      </c>
      <c r="H397" s="148">
        <f>IFERROR(__xludf.DUMMYFUNCTION("""COMPUTED_VALUE"""),7.0)</f>
        <v>7</v>
      </c>
      <c r="I397" s="148">
        <f>IFERROR(__xludf.DUMMYFUNCTION("""COMPUTED_VALUE"""),19.0)</f>
        <v>19</v>
      </c>
      <c r="J397" s="146">
        <f>IFERROR(__xludf.DUMMYFUNCTION("""COMPUTED_VALUE"""),7.0)</f>
        <v>7</v>
      </c>
      <c r="K397" s="146">
        <f>IFERROR(__xludf.DUMMYFUNCTION("""COMPUTED_VALUE"""),7.0)</f>
        <v>7</v>
      </c>
      <c r="L397" s="146">
        <f>IFERROR(__xludf.DUMMYFUNCTION("""COMPUTED_VALUE"""),214.0)</f>
        <v>214</v>
      </c>
      <c r="M397" s="146">
        <f>IFERROR(__xludf.DUMMYFUNCTION("""COMPUTED_VALUE"""),222.0)</f>
        <v>222</v>
      </c>
      <c r="N397" s="146">
        <f>IFERROR(__xludf.DUMMYFUNCTION("""COMPUTED_VALUE"""),5.0)</f>
        <v>5</v>
      </c>
      <c r="O397" s="146">
        <f>IFERROR(__xludf.DUMMYFUNCTION("""COMPUTED_VALUE"""),5.0)</f>
        <v>5</v>
      </c>
      <c r="P397" s="146">
        <f>IFERROR(__xludf.DUMMYFUNCTION("""COMPUTED_VALUE"""),255.0)</f>
        <v>255</v>
      </c>
      <c r="Q397" s="146"/>
      <c r="R397" s="146"/>
      <c r="T397" s="131" t="str">
        <f>IFERROR(__xludf.DUMMYFUNCTION("""COMPUTED_VALUE"""),"Y")</f>
        <v>Y</v>
      </c>
      <c r="U397" s="131" t="str">
        <f>IFERROR(__xludf.DUMMYFUNCTION("""COMPUTED_VALUE"""),"6")</f>
        <v>6</v>
      </c>
      <c r="V397" s="131" t="str">
        <f>IFERROR(__xludf.DUMMYFUNCTION("""COMPUTED_VALUE"""),"991-996")</f>
        <v>991-996</v>
      </c>
      <c r="W397" s="144">
        <f>IFERROR(__xludf.DUMMYFUNCTION("""COMPUTED_VALUE"""),45736.0)</f>
        <v>45736</v>
      </c>
      <c r="X397" s="144">
        <f>IFERROR(__xludf.DUMMYFUNCTION("""COMPUTED_VALUE"""),45743.0)</f>
        <v>45743</v>
      </c>
      <c r="Y397" s="144">
        <f>IFERROR(__xludf.DUMMYFUNCTION("""COMPUTED_VALUE"""),45764.0)</f>
        <v>45764</v>
      </c>
      <c r="Z397" s="131" t="str">
        <f>IFERROR(__xludf.DUMMYFUNCTION("""COMPUTED_VALUE"""),"BRG10")</f>
        <v>BRG10</v>
      </c>
      <c r="AA397" s="131"/>
      <c r="AB397" s="131"/>
      <c r="AC397" s="131"/>
      <c r="AD397" s="131"/>
      <c r="AE397" s="131">
        <f>IFERROR(__xludf.DUMMYFUNCTION("""COMPUTED_VALUE"""),138.0)</f>
        <v>138</v>
      </c>
      <c r="AF397" s="131">
        <f>IFERROR(__xludf.DUMMYFUNCTION("""COMPUTED_VALUE"""),272.0)</f>
        <v>272</v>
      </c>
      <c r="AG397" s="131">
        <f>IFERROR(__xludf.DUMMYFUNCTION("""COMPUTED_VALUE"""),68.0)</f>
        <v>68</v>
      </c>
      <c r="AH397" s="131">
        <f>IFERROR(__xludf.DUMMYFUNCTION("""COMPUTED_VALUE"""),68.0)</f>
        <v>68</v>
      </c>
      <c r="AI397" s="131">
        <f>IFERROR(__xludf.DUMMYFUNCTION("""COMPUTED_VALUE"""),253.0)</f>
        <v>253</v>
      </c>
      <c r="AJ397" s="131"/>
      <c r="AK397" s="131"/>
    </row>
    <row r="398">
      <c r="A398" s="145" t="str">
        <f>IFERROR(__xludf.DUMMYFUNCTION("""COMPUTED_VALUE"""),"Y")</f>
        <v>Y</v>
      </c>
      <c r="B398" s="146" t="str">
        <f>IFERROR(__xludf.DUMMYFUNCTION("""COMPUTED_VALUE"""),"6")</f>
        <v>6</v>
      </c>
      <c r="C398" s="146" t="str">
        <f>IFERROR(__xludf.DUMMYFUNCTION("""COMPUTED_VALUE"""),"991-996")</f>
        <v>991-996</v>
      </c>
      <c r="D398" s="147">
        <f>IFERROR(__xludf.DUMMYFUNCTION("""COMPUTED_VALUE"""),45736.0)</f>
        <v>45736</v>
      </c>
      <c r="E398" s="147">
        <f>IFERROR(__xludf.DUMMYFUNCTION("""COMPUTED_VALUE"""),45743.0)</f>
        <v>45743</v>
      </c>
      <c r="F398" s="147">
        <f>IFERROR(__xludf.DUMMYFUNCTION("""COMPUTED_VALUE"""),45764.0)</f>
        <v>45764</v>
      </c>
      <c r="G398" s="146" t="str">
        <f>IFERROR(__xludf.DUMMYFUNCTION("""COMPUTED_VALUE"""),"BRG10")</f>
        <v>BRG10</v>
      </c>
      <c r="H398" s="148"/>
      <c r="I398" s="148"/>
      <c r="J398" s="146"/>
      <c r="K398" s="146"/>
      <c r="L398" s="146">
        <f>IFERROR(__xludf.DUMMYFUNCTION("""COMPUTED_VALUE"""),138.0)</f>
        <v>138</v>
      </c>
      <c r="M398" s="146">
        <f>IFERROR(__xludf.DUMMYFUNCTION("""COMPUTED_VALUE"""),272.0)</f>
        <v>272</v>
      </c>
      <c r="N398" s="146">
        <f>IFERROR(__xludf.DUMMYFUNCTION("""COMPUTED_VALUE"""),68.0)</f>
        <v>68</v>
      </c>
      <c r="O398" s="146">
        <f>IFERROR(__xludf.DUMMYFUNCTION("""COMPUTED_VALUE"""),68.0)</f>
        <v>68</v>
      </c>
      <c r="P398" s="146">
        <f>IFERROR(__xludf.DUMMYFUNCTION("""COMPUTED_VALUE"""),253.0)</f>
        <v>253</v>
      </c>
      <c r="Q398" s="146"/>
      <c r="R398" s="146"/>
      <c r="T398" s="131" t="str">
        <f>IFERROR(__xludf.DUMMYFUNCTION("""COMPUTED_VALUE"""),"Y")</f>
        <v>Y</v>
      </c>
      <c r="U398" s="131" t="str">
        <f>IFERROR(__xludf.DUMMYFUNCTION("""COMPUTED_VALUE"""),"6")</f>
        <v>6</v>
      </c>
      <c r="V398" s="131" t="str">
        <f>IFERROR(__xludf.DUMMYFUNCTION("""COMPUTED_VALUE"""),"1009-1014")</f>
        <v>1009-1014</v>
      </c>
      <c r="W398" s="144">
        <f>IFERROR(__xludf.DUMMYFUNCTION("""COMPUTED_VALUE"""),45739.0)</f>
        <v>45739</v>
      </c>
      <c r="X398" s="144">
        <f>IFERROR(__xludf.DUMMYFUNCTION("""COMPUTED_VALUE"""),45746.0)</f>
        <v>45746</v>
      </c>
      <c r="Y398" s="144">
        <f>IFERROR(__xludf.DUMMYFUNCTION("""COMPUTED_VALUE"""),45767.0)</f>
        <v>45767</v>
      </c>
      <c r="Z398" s="131" t="str">
        <f>IFERROR(__xludf.DUMMYFUNCTION("""COMPUTED_VALUE"""),"D33-3L")</f>
        <v>D33-3L</v>
      </c>
      <c r="AA398" s="131"/>
      <c r="AB398" s="131"/>
      <c r="AC398" s="131"/>
      <c r="AD398" s="131"/>
      <c r="AE398" s="131">
        <f>IFERROR(__xludf.DUMMYFUNCTION("""COMPUTED_VALUE"""),152.0)</f>
        <v>152</v>
      </c>
      <c r="AF398" s="131">
        <f>IFERROR(__xludf.DUMMYFUNCTION("""COMPUTED_VALUE"""),152.0)</f>
        <v>152</v>
      </c>
      <c r="AG398" s="131">
        <f>IFERROR(__xludf.DUMMYFUNCTION("""COMPUTED_VALUE"""),1.0)</f>
        <v>1</v>
      </c>
      <c r="AH398" s="131">
        <f>IFERROR(__xludf.DUMMYFUNCTION("""COMPUTED_VALUE"""),1.0)</f>
        <v>1</v>
      </c>
      <c r="AI398" s="131">
        <f>IFERROR(__xludf.DUMMYFUNCTION("""COMPUTED_VALUE"""),256.0)</f>
        <v>256</v>
      </c>
      <c r="AJ398" s="131"/>
      <c r="AK398" s="131"/>
    </row>
    <row r="399">
      <c r="A399" s="145" t="str">
        <f>IFERROR(__xludf.DUMMYFUNCTION("""COMPUTED_VALUE"""),"Y")</f>
        <v>Y</v>
      </c>
      <c r="B399" s="146" t="str">
        <f>IFERROR(__xludf.DUMMYFUNCTION("""COMPUTED_VALUE"""),"6")</f>
        <v>6</v>
      </c>
      <c r="C399" s="146" t="str">
        <f>IFERROR(__xludf.DUMMYFUNCTION("""COMPUTED_VALUE"""),"1009-1014")</f>
        <v>1009-1014</v>
      </c>
      <c r="D399" s="147">
        <f>IFERROR(__xludf.DUMMYFUNCTION("""COMPUTED_VALUE"""),45739.0)</f>
        <v>45739</v>
      </c>
      <c r="E399" s="147">
        <f>IFERROR(__xludf.DUMMYFUNCTION("""COMPUTED_VALUE"""),45746.0)</f>
        <v>45746</v>
      </c>
      <c r="F399" s="147">
        <f>IFERROR(__xludf.DUMMYFUNCTION("""COMPUTED_VALUE"""),45767.0)</f>
        <v>45767</v>
      </c>
      <c r="G399" s="146" t="str">
        <f>IFERROR(__xludf.DUMMYFUNCTION("""COMPUTED_VALUE"""),"D33-3L")</f>
        <v>D33-3L</v>
      </c>
      <c r="H399" s="148"/>
      <c r="I399" s="148"/>
      <c r="J399" s="146"/>
      <c r="K399" s="146"/>
      <c r="L399" s="146">
        <f>IFERROR(__xludf.DUMMYFUNCTION("""COMPUTED_VALUE"""),152.0)</f>
        <v>152</v>
      </c>
      <c r="M399" s="146">
        <f>IFERROR(__xludf.DUMMYFUNCTION("""COMPUTED_VALUE"""),152.0)</f>
        <v>152</v>
      </c>
      <c r="N399" s="146">
        <f>IFERROR(__xludf.DUMMYFUNCTION("""COMPUTED_VALUE"""),1.0)</f>
        <v>1</v>
      </c>
      <c r="O399" s="146">
        <f>IFERROR(__xludf.DUMMYFUNCTION("""COMPUTED_VALUE"""),1.0)</f>
        <v>1</v>
      </c>
      <c r="P399" s="146">
        <f>IFERROR(__xludf.DUMMYFUNCTION("""COMPUTED_VALUE"""),256.0)</f>
        <v>256</v>
      </c>
      <c r="Q399" s="146"/>
      <c r="R399" s="146"/>
      <c r="T399" s="131" t="str">
        <f>IFERROR(__xludf.DUMMYFUNCTION("""COMPUTED_VALUE"""),"Y")</f>
        <v>Y</v>
      </c>
      <c r="U399" s="131" t="str">
        <f>IFERROR(__xludf.DUMMYFUNCTION("""COMPUTED_VALUE"""),"6")</f>
        <v>6</v>
      </c>
      <c r="V399" s="131" t="str">
        <f>IFERROR(__xludf.DUMMYFUNCTION("""COMPUTED_VALUE"""),"1009-1014")</f>
        <v>1009-1014</v>
      </c>
      <c r="W399" s="144">
        <f>IFERROR(__xludf.DUMMYFUNCTION("""COMPUTED_VALUE"""),45739.0)</f>
        <v>45739</v>
      </c>
      <c r="X399" s="144">
        <f>IFERROR(__xludf.DUMMYFUNCTION("""COMPUTED_VALUE"""),45746.0)</f>
        <v>45746</v>
      </c>
      <c r="Y399" s="144">
        <f>IFERROR(__xludf.DUMMYFUNCTION("""COMPUTED_VALUE"""),45767.0)</f>
        <v>45767</v>
      </c>
      <c r="Z399" s="131" t="str">
        <f>IFERROR(__xludf.DUMMYFUNCTION("""COMPUTED_VALUE"""),"D33-3L")</f>
        <v>D33-3L</v>
      </c>
      <c r="AA399" s="131"/>
      <c r="AB399" s="131"/>
      <c r="AC399" s="131"/>
      <c r="AD399" s="131"/>
      <c r="AE399" s="131">
        <f>IFERROR(__xludf.DUMMYFUNCTION("""COMPUTED_VALUE"""),160.0)</f>
        <v>160</v>
      </c>
      <c r="AF399" s="131">
        <f>IFERROR(__xludf.DUMMYFUNCTION("""COMPUTED_VALUE"""),208.0)</f>
        <v>208</v>
      </c>
      <c r="AG399" s="131">
        <f>IFERROR(__xludf.DUMMYFUNCTION("""COMPUTED_VALUE"""),25.0)</f>
        <v>25</v>
      </c>
      <c r="AH399" s="131">
        <f>IFERROR(__xludf.DUMMYFUNCTION("""COMPUTED_VALUE"""),25.0)</f>
        <v>25</v>
      </c>
      <c r="AI399" s="131">
        <f>IFERROR(__xludf.DUMMYFUNCTION("""COMPUTED_VALUE"""),256.0)</f>
        <v>256</v>
      </c>
      <c r="AJ399" s="131"/>
      <c r="AK399" s="131"/>
    </row>
    <row r="400">
      <c r="A400" s="145" t="str">
        <f>IFERROR(__xludf.DUMMYFUNCTION("""COMPUTED_VALUE"""),"Y")</f>
        <v>Y</v>
      </c>
      <c r="B400" s="146" t="str">
        <f>IFERROR(__xludf.DUMMYFUNCTION("""COMPUTED_VALUE"""),"6")</f>
        <v>6</v>
      </c>
      <c r="C400" s="146" t="str">
        <f>IFERROR(__xludf.DUMMYFUNCTION("""COMPUTED_VALUE"""),"1009-1014")</f>
        <v>1009-1014</v>
      </c>
      <c r="D400" s="147">
        <f>IFERROR(__xludf.DUMMYFUNCTION("""COMPUTED_VALUE"""),45739.0)</f>
        <v>45739</v>
      </c>
      <c r="E400" s="147">
        <f>IFERROR(__xludf.DUMMYFUNCTION("""COMPUTED_VALUE"""),45746.0)</f>
        <v>45746</v>
      </c>
      <c r="F400" s="147">
        <f>IFERROR(__xludf.DUMMYFUNCTION("""COMPUTED_VALUE"""),45767.0)</f>
        <v>45767</v>
      </c>
      <c r="G400" s="146" t="str">
        <f>IFERROR(__xludf.DUMMYFUNCTION("""COMPUTED_VALUE"""),"D33-3L")</f>
        <v>D33-3L</v>
      </c>
      <c r="H400" s="148"/>
      <c r="I400" s="148"/>
      <c r="J400" s="146"/>
      <c r="K400" s="146"/>
      <c r="L400" s="146">
        <f>IFERROR(__xludf.DUMMYFUNCTION("""COMPUTED_VALUE"""),160.0)</f>
        <v>160</v>
      </c>
      <c r="M400" s="146">
        <f>IFERROR(__xludf.DUMMYFUNCTION("""COMPUTED_VALUE"""),208.0)</f>
        <v>208</v>
      </c>
      <c r="N400" s="146">
        <f>IFERROR(__xludf.DUMMYFUNCTION("""COMPUTED_VALUE"""),25.0)</f>
        <v>25</v>
      </c>
      <c r="O400" s="146">
        <f>IFERROR(__xludf.DUMMYFUNCTION("""COMPUTED_VALUE"""),25.0)</f>
        <v>25</v>
      </c>
      <c r="P400" s="146">
        <f>IFERROR(__xludf.DUMMYFUNCTION("""COMPUTED_VALUE"""),256.0)</f>
        <v>256</v>
      </c>
      <c r="Q400" s="146"/>
      <c r="R400" s="146"/>
      <c r="T400" s="131" t="str">
        <f>IFERROR(__xludf.DUMMYFUNCTION("""COMPUTED_VALUE"""),"Y")</f>
        <v>Y</v>
      </c>
      <c r="U400" s="131" t="str">
        <f>IFERROR(__xludf.DUMMYFUNCTION("""COMPUTED_VALUE"""),"6")</f>
        <v>6</v>
      </c>
      <c r="V400" s="131" t="str">
        <f>IFERROR(__xludf.DUMMYFUNCTION("""COMPUTED_VALUE"""),"1009-1014")</f>
        <v>1009-1014</v>
      </c>
      <c r="W400" s="144">
        <f>IFERROR(__xludf.DUMMYFUNCTION("""COMPUTED_VALUE"""),45739.0)</f>
        <v>45739</v>
      </c>
      <c r="X400" s="144">
        <f>IFERROR(__xludf.DUMMYFUNCTION("""COMPUTED_VALUE"""),45746.0)</f>
        <v>45746</v>
      </c>
      <c r="Y400" s="144">
        <f>IFERROR(__xludf.DUMMYFUNCTION("""COMPUTED_VALUE"""),45767.0)</f>
        <v>45767</v>
      </c>
      <c r="Z400" s="131" t="str">
        <f>IFERROR(__xludf.DUMMYFUNCTION("""COMPUTED_VALUE"""),"D33-3L")</f>
        <v>D33-3L</v>
      </c>
      <c r="AA400" s="131"/>
      <c r="AB400" s="131"/>
      <c r="AC400" s="131"/>
      <c r="AD400" s="131"/>
      <c r="AE400" s="131">
        <f>IFERROR(__xludf.DUMMYFUNCTION("""COMPUTED_VALUE"""),212.0)</f>
        <v>212</v>
      </c>
      <c r="AF400" s="131">
        <f>IFERROR(__xludf.DUMMYFUNCTION("""COMPUTED_VALUE"""),256.0)</f>
        <v>256</v>
      </c>
      <c r="AG400" s="131">
        <f>IFERROR(__xludf.DUMMYFUNCTION("""COMPUTED_VALUE"""),23.0)</f>
        <v>23</v>
      </c>
      <c r="AH400" s="131">
        <f>IFERROR(__xludf.DUMMYFUNCTION("""COMPUTED_VALUE"""),23.0)</f>
        <v>23</v>
      </c>
      <c r="AI400" s="131">
        <f>IFERROR(__xludf.DUMMYFUNCTION("""COMPUTED_VALUE"""),256.0)</f>
        <v>256</v>
      </c>
      <c r="AJ400" s="131"/>
      <c r="AK400" s="131"/>
    </row>
    <row r="401">
      <c r="A401" s="145" t="str">
        <f>IFERROR(__xludf.DUMMYFUNCTION("""COMPUTED_VALUE"""),"Y")</f>
        <v>Y</v>
      </c>
      <c r="B401" s="146" t="str">
        <f>IFERROR(__xludf.DUMMYFUNCTION("""COMPUTED_VALUE"""),"6")</f>
        <v>6</v>
      </c>
      <c r="C401" s="146" t="str">
        <f>IFERROR(__xludf.DUMMYFUNCTION("""COMPUTED_VALUE"""),"1009-1014")</f>
        <v>1009-1014</v>
      </c>
      <c r="D401" s="147">
        <f>IFERROR(__xludf.DUMMYFUNCTION("""COMPUTED_VALUE"""),45739.0)</f>
        <v>45739</v>
      </c>
      <c r="E401" s="147">
        <f>IFERROR(__xludf.DUMMYFUNCTION("""COMPUTED_VALUE"""),45746.0)</f>
        <v>45746</v>
      </c>
      <c r="F401" s="147">
        <f>IFERROR(__xludf.DUMMYFUNCTION("""COMPUTED_VALUE"""),45767.0)</f>
        <v>45767</v>
      </c>
      <c r="G401" s="146" t="str">
        <f>IFERROR(__xludf.DUMMYFUNCTION("""COMPUTED_VALUE"""),"D33-3L")</f>
        <v>D33-3L</v>
      </c>
      <c r="H401" s="148"/>
      <c r="I401" s="148"/>
      <c r="J401" s="146"/>
      <c r="K401" s="146"/>
      <c r="L401" s="146">
        <f>IFERROR(__xludf.DUMMYFUNCTION("""COMPUTED_VALUE"""),212.0)</f>
        <v>212</v>
      </c>
      <c r="M401" s="146">
        <f>IFERROR(__xludf.DUMMYFUNCTION("""COMPUTED_VALUE"""),256.0)</f>
        <v>256</v>
      </c>
      <c r="N401" s="146">
        <f>IFERROR(__xludf.DUMMYFUNCTION("""COMPUTED_VALUE"""),23.0)</f>
        <v>23</v>
      </c>
      <c r="O401" s="146">
        <f>IFERROR(__xludf.DUMMYFUNCTION("""COMPUTED_VALUE"""),23.0)</f>
        <v>23</v>
      </c>
      <c r="P401" s="146">
        <f>IFERROR(__xludf.DUMMYFUNCTION("""COMPUTED_VALUE"""),256.0)</f>
        <v>256</v>
      </c>
      <c r="Q401" s="146"/>
      <c r="R401" s="146"/>
      <c r="T401" s="131" t="str">
        <f>IFERROR(__xludf.DUMMYFUNCTION("""COMPUTED_VALUE"""),"Y")</f>
        <v>Y</v>
      </c>
      <c r="U401" s="131" t="str">
        <f>IFERROR(__xludf.DUMMYFUNCTION("""COMPUTED_VALUE"""),"6")</f>
        <v>6</v>
      </c>
      <c r="V401" s="131" t="str">
        <f>IFERROR(__xludf.DUMMYFUNCTION("""COMPUTED_VALUE"""),"1009-1014")</f>
        <v>1009-1014</v>
      </c>
      <c r="W401" s="144">
        <f>IFERROR(__xludf.DUMMYFUNCTION("""COMPUTED_VALUE"""),45739.0)</f>
        <v>45739</v>
      </c>
      <c r="X401" s="144">
        <f>IFERROR(__xludf.DUMMYFUNCTION("""COMPUTED_VALUE"""),45746.0)</f>
        <v>45746</v>
      </c>
      <c r="Y401" s="144">
        <f>IFERROR(__xludf.DUMMYFUNCTION("""COMPUTED_VALUE"""),45767.0)</f>
        <v>45767</v>
      </c>
      <c r="Z401" s="131" t="str">
        <f>IFERROR(__xludf.DUMMYFUNCTION("""COMPUTED_VALUE"""),"D33-3L")</f>
        <v>D33-3L</v>
      </c>
      <c r="AA401" s="131"/>
      <c r="AB401" s="131"/>
      <c r="AC401" s="131"/>
      <c r="AD401" s="131"/>
      <c r="AE401" s="131">
        <f>IFERROR(__xludf.DUMMYFUNCTION("""COMPUTED_VALUE"""),260.0)</f>
        <v>260</v>
      </c>
      <c r="AF401" s="131">
        <f>IFERROR(__xludf.DUMMYFUNCTION("""COMPUTED_VALUE"""),300.0)</f>
        <v>300</v>
      </c>
      <c r="AG401" s="131">
        <f>IFERROR(__xludf.DUMMYFUNCTION("""COMPUTED_VALUE"""),21.0)</f>
        <v>21</v>
      </c>
      <c r="AH401" s="131">
        <f>IFERROR(__xludf.DUMMYFUNCTION("""COMPUTED_VALUE"""),21.0)</f>
        <v>21</v>
      </c>
      <c r="AI401" s="131">
        <f>IFERROR(__xludf.DUMMYFUNCTION("""COMPUTED_VALUE"""),256.0)</f>
        <v>256</v>
      </c>
      <c r="AJ401" s="131"/>
      <c r="AK401" s="131"/>
    </row>
    <row r="402">
      <c r="A402" s="145" t="str">
        <f>IFERROR(__xludf.DUMMYFUNCTION("""COMPUTED_VALUE"""),"Y")</f>
        <v>Y</v>
      </c>
      <c r="B402" s="146" t="str">
        <f>IFERROR(__xludf.DUMMYFUNCTION("""COMPUTED_VALUE"""),"6")</f>
        <v>6</v>
      </c>
      <c r="C402" s="146" t="str">
        <f>IFERROR(__xludf.DUMMYFUNCTION("""COMPUTED_VALUE"""),"1009-1014")</f>
        <v>1009-1014</v>
      </c>
      <c r="D402" s="147">
        <f>IFERROR(__xludf.DUMMYFUNCTION("""COMPUTED_VALUE"""),45739.0)</f>
        <v>45739</v>
      </c>
      <c r="E402" s="147">
        <f>IFERROR(__xludf.DUMMYFUNCTION("""COMPUTED_VALUE"""),45746.0)</f>
        <v>45746</v>
      </c>
      <c r="F402" s="147">
        <f>IFERROR(__xludf.DUMMYFUNCTION("""COMPUTED_VALUE"""),45767.0)</f>
        <v>45767</v>
      </c>
      <c r="G402" s="146" t="str">
        <f>IFERROR(__xludf.DUMMYFUNCTION("""COMPUTED_VALUE"""),"D33-3L")</f>
        <v>D33-3L</v>
      </c>
      <c r="H402" s="148"/>
      <c r="I402" s="148"/>
      <c r="J402" s="146"/>
      <c r="K402" s="146"/>
      <c r="L402" s="146">
        <f>IFERROR(__xludf.DUMMYFUNCTION("""COMPUTED_VALUE"""),260.0)</f>
        <v>260</v>
      </c>
      <c r="M402" s="146">
        <f>IFERROR(__xludf.DUMMYFUNCTION("""COMPUTED_VALUE"""),300.0)</f>
        <v>300</v>
      </c>
      <c r="N402" s="146">
        <f>IFERROR(__xludf.DUMMYFUNCTION("""COMPUTED_VALUE"""),21.0)</f>
        <v>21</v>
      </c>
      <c r="O402" s="146">
        <f>IFERROR(__xludf.DUMMYFUNCTION("""COMPUTED_VALUE"""),21.0)</f>
        <v>21</v>
      </c>
      <c r="P402" s="146">
        <f>IFERROR(__xludf.DUMMYFUNCTION("""COMPUTED_VALUE"""),256.0)</f>
        <v>256</v>
      </c>
      <c r="Q402" s="146"/>
      <c r="R402" s="146"/>
      <c r="T402" s="131" t="str">
        <f>IFERROR(__xludf.DUMMYFUNCTION("""COMPUTED_VALUE"""),"Y")</f>
        <v>Y</v>
      </c>
      <c r="U402" s="131" t="str">
        <f>IFERROR(__xludf.DUMMYFUNCTION("""COMPUTED_VALUE"""),"6")</f>
        <v>6</v>
      </c>
      <c r="V402" s="131" t="str">
        <f>IFERROR(__xludf.DUMMYFUNCTION("""COMPUTED_VALUE"""),"1009-1014")</f>
        <v>1009-1014</v>
      </c>
      <c r="W402" s="144">
        <f>IFERROR(__xludf.DUMMYFUNCTION("""COMPUTED_VALUE"""),45739.0)</f>
        <v>45739</v>
      </c>
      <c r="X402" s="144">
        <f>IFERROR(__xludf.DUMMYFUNCTION("""COMPUTED_VALUE"""),45746.0)</f>
        <v>45746</v>
      </c>
      <c r="Y402" s="144">
        <f>IFERROR(__xludf.DUMMYFUNCTION("""COMPUTED_VALUE"""),45767.0)</f>
        <v>45767</v>
      </c>
      <c r="Z402" s="131" t="str">
        <f>IFERROR(__xludf.DUMMYFUNCTION("""COMPUTED_VALUE"""),"D33-4L")</f>
        <v>D33-4L</v>
      </c>
      <c r="AA402" s="131"/>
      <c r="AB402" s="131"/>
      <c r="AC402" s="131"/>
      <c r="AD402" s="131"/>
      <c r="AE402" s="131">
        <f>IFERROR(__xludf.DUMMYFUNCTION("""COMPUTED_VALUE"""),2.0)</f>
        <v>2</v>
      </c>
      <c r="AF402" s="131">
        <f>IFERROR(__xludf.DUMMYFUNCTION("""COMPUTED_VALUE"""),66.0)</f>
        <v>66</v>
      </c>
      <c r="AG402" s="131">
        <f>IFERROR(__xludf.DUMMYFUNCTION("""COMPUTED_VALUE"""),33.0)</f>
        <v>33</v>
      </c>
      <c r="AH402" s="131">
        <f>IFERROR(__xludf.DUMMYFUNCTION("""COMPUTED_VALUE"""),33.0)</f>
        <v>33</v>
      </c>
      <c r="AI402" s="131">
        <f>IFERROR(__xludf.DUMMYFUNCTION("""COMPUTED_VALUE"""),256.0)</f>
        <v>256</v>
      </c>
      <c r="AJ402" s="131"/>
      <c r="AK402" s="131"/>
    </row>
    <row r="403">
      <c r="A403" s="145" t="str">
        <f>IFERROR(__xludf.DUMMYFUNCTION("""COMPUTED_VALUE"""),"Y")</f>
        <v>Y</v>
      </c>
      <c r="B403" s="146" t="str">
        <f>IFERROR(__xludf.DUMMYFUNCTION("""COMPUTED_VALUE"""),"6")</f>
        <v>6</v>
      </c>
      <c r="C403" s="146" t="str">
        <f>IFERROR(__xludf.DUMMYFUNCTION("""COMPUTED_VALUE"""),"1009-1014")</f>
        <v>1009-1014</v>
      </c>
      <c r="D403" s="147">
        <f>IFERROR(__xludf.DUMMYFUNCTION("""COMPUTED_VALUE"""),45739.0)</f>
        <v>45739</v>
      </c>
      <c r="E403" s="147">
        <f>IFERROR(__xludf.DUMMYFUNCTION("""COMPUTED_VALUE"""),45746.0)</f>
        <v>45746</v>
      </c>
      <c r="F403" s="147">
        <f>IFERROR(__xludf.DUMMYFUNCTION("""COMPUTED_VALUE"""),45767.0)</f>
        <v>45767</v>
      </c>
      <c r="G403" s="146" t="str">
        <f>IFERROR(__xludf.DUMMYFUNCTION("""COMPUTED_VALUE"""),"D33-4L")</f>
        <v>D33-4L</v>
      </c>
      <c r="H403" s="148"/>
      <c r="I403" s="148"/>
      <c r="J403" s="146"/>
      <c r="K403" s="146"/>
      <c r="L403" s="146">
        <f>IFERROR(__xludf.DUMMYFUNCTION("""COMPUTED_VALUE"""),2.0)</f>
        <v>2</v>
      </c>
      <c r="M403" s="146">
        <f>IFERROR(__xludf.DUMMYFUNCTION("""COMPUTED_VALUE"""),66.0)</f>
        <v>66</v>
      </c>
      <c r="N403" s="146">
        <f>IFERROR(__xludf.DUMMYFUNCTION("""COMPUTED_VALUE"""),33.0)</f>
        <v>33</v>
      </c>
      <c r="O403" s="146">
        <f>IFERROR(__xludf.DUMMYFUNCTION("""COMPUTED_VALUE"""),33.0)</f>
        <v>33</v>
      </c>
      <c r="P403" s="146">
        <f>IFERROR(__xludf.DUMMYFUNCTION("""COMPUTED_VALUE"""),256.0)</f>
        <v>256</v>
      </c>
      <c r="Q403" s="146"/>
      <c r="R403" s="146"/>
      <c r="T403" s="131" t="str">
        <f>IFERROR(__xludf.DUMMYFUNCTION("""COMPUTED_VALUE"""),"Y")</f>
        <v>Y</v>
      </c>
      <c r="U403" s="131" t="str">
        <f>IFERROR(__xludf.DUMMYFUNCTION("""COMPUTED_VALUE"""),"6")</f>
        <v>6</v>
      </c>
      <c r="V403" s="131" t="str">
        <f>IFERROR(__xludf.DUMMYFUNCTION("""COMPUTED_VALUE"""),"1003-1008")</f>
        <v>1003-1008</v>
      </c>
      <c r="W403" s="144">
        <f>IFERROR(__xludf.DUMMYFUNCTION("""COMPUTED_VALUE"""),45739.0)</f>
        <v>45739</v>
      </c>
      <c r="X403" s="144">
        <f>IFERROR(__xludf.DUMMYFUNCTION("""COMPUTED_VALUE"""),45746.0)</f>
        <v>45746</v>
      </c>
      <c r="Y403" s="144">
        <f>IFERROR(__xludf.DUMMYFUNCTION("""COMPUTED_VALUE"""),45767.0)</f>
        <v>45767</v>
      </c>
      <c r="Z403" s="131" t="str">
        <f>IFERROR(__xludf.DUMMYFUNCTION("""COMPUTED_VALUE"""),"D40-3L")</f>
        <v>D40-3L</v>
      </c>
      <c r="AA403" s="131"/>
      <c r="AB403" s="131"/>
      <c r="AC403" s="131"/>
      <c r="AD403" s="131"/>
      <c r="AE403" s="131">
        <f>IFERROR(__xludf.DUMMYFUNCTION("""COMPUTED_VALUE"""),2.0)</f>
        <v>2</v>
      </c>
      <c r="AF403" s="131">
        <f>IFERROR(__xludf.DUMMYFUNCTION("""COMPUTED_VALUE"""),108.0)</f>
        <v>108</v>
      </c>
      <c r="AG403" s="131">
        <f>IFERROR(__xludf.DUMMYFUNCTION("""COMPUTED_VALUE"""),54.0)</f>
        <v>54</v>
      </c>
      <c r="AH403" s="131">
        <f>IFERROR(__xludf.DUMMYFUNCTION("""COMPUTED_VALUE"""),54.0)</f>
        <v>54</v>
      </c>
      <c r="AI403" s="131">
        <f>IFERROR(__xludf.DUMMYFUNCTION("""COMPUTED_VALUE"""),257.0)</f>
        <v>257</v>
      </c>
      <c r="AJ403" s="131"/>
      <c r="AK403" s="131"/>
    </row>
    <row r="404">
      <c r="A404" s="145" t="str">
        <f>IFERROR(__xludf.DUMMYFUNCTION("""COMPUTED_VALUE"""),"Y")</f>
        <v>Y</v>
      </c>
      <c r="B404" s="146" t="str">
        <f>IFERROR(__xludf.DUMMYFUNCTION("""COMPUTED_VALUE"""),"6")</f>
        <v>6</v>
      </c>
      <c r="C404" s="146" t="str">
        <f>IFERROR(__xludf.DUMMYFUNCTION("""COMPUTED_VALUE"""),"1003-1008")</f>
        <v>1003-1008</v>
      </c>
      <c r="D404" s="147">
        <f>IFERROR(__xludf.DUMMYFUNCTION("""COMPUTED_VALUE"""),45739.0)</f>
        <v>45739</v>
      </c>
      <c r="E404" s="147">
        <f>IFERROR(__xludf.DUMMYFUNCTION("""COMPUTED_VALUE"""),45746.0)</f>
        <v>45746</v>
      </c>
      <c r="F404" s="147">
        <f>IFERROR(__xludf.DUMMYFUNCTION("""COMPUTED_VALUE"""),45767.0)</f>
        <v>45767</v>
      </c>
      <c r="G404" s="146" t="str">
        <f>IFERROR(__xludf.DUMMYFUNCTION("""COMPUTED_VALUE"""),"D40-3L")</f>
        <v>D40-3L</v>
      </c>
      <c r="H404" s="148"/>
      <c r="I404" s="148"/>
      <c r="J404" s="146"/>
      <c r="K404" s="146"/>
      <c r="L404" s="146">
        <f>IFERROR(__xludf.DUMMYFUNCTION("""COMPUTED_VALUE"""),2.0)</f>
        <v>2</v>
      </c>
      <c r="M404" s="146">
        <f>IFERROR(__xludf.DUMMYFUNCTION("""COMPUTED_VALUE"""),108.0)</f>
        <v>108</v>
      </c>
      <c r="N404" s="146">
        <f>IFERROR(__xludf.DUMMYFUNCTION("""COMPUTED_VALUE"""),54.0)</f>
        <v>54</v>
      </c>
      <c r="O404" s="146">
        <f>IFERROR(__xludf.DUMMYFUNCTION("""COMPUTED_VALUE"""),54.0)</f>
        <v>54</v>
      </c>
      <c r="P404" s="146">
        <f>IFERROR(__xludf.DUMMYFUNCTION("""COMPUTED_VALUE"""),257.0)</f>
        <v>257</v>
      </c>
      <c r="Q404" s="146"/>
      <c r="R404" s="146"/>
      <c r="T404" s="131" t="str">
        <f>IFERROR(__xludf.DUMMYFUNCTION("""COMPUTED_VALUE"""),"Y")</f>
        <v>Y</v>
      </c>
      <c r="U404" s="131" t="str">
        <f>IFERROR(__xludf.DUMMYFUNCTION("""COMPUTED_VALUE"""),"6")</f>
        <v>6</v>
      </c>
      <c r="V404" s="131" t="str">
        <f>IFERROR(__xludf.DUMMYFUNCTION("""COMPUTED_VALUE"""),"1003-1008")</f>
        <v>1003-1008</v>
      </c>
      <c r="W404" s="144">
        <f>IFERROR(__xludf.DUMMYFUNCTION("""COMPUTED_VALUE"""),45739.0)</f>
        <v>45739</v>
      </c>
      <c r="X404" s="144">
        <f>IFERROR(__xludf.DUMMYFUNCTION("""COMPUTED_VALUE"""),45746.0)</f>
        <v>45746</v>
      </c>
      <c r="Y404" s="144">
        <f>IFERROR(__xludf.DUMMYFUNCTION("""COMPUTED_VALUE"""),45767.0)</f>
        <v>45767</v>
      </c>
      <c r="Z404" s="131" t="str">
        <f>IFERROR(__xludf.DUMMYFUNCTION("""COMPUTED_VALUE"""),"D40-3R")</f>
        <v>D40-3R</v>
      </c>
      <c r="AA404" s="131">
        <f>IFERROR(__xludf.DUMMYFUNCTION("""COMPUTED_VALUE"""),7.0)</f>
        <v>7</v>
      </c>
      <c r="AB404" s="131">
        <f>IFERROR(__xludf.DUMMYFUNCTION("""COMPUTED_VALUE"""),51.0)</f>
        <v>51</v>
      </c>
      <c r="AC404" s="131">
        <f>IFERROR(__xludf.DUMMYFUNCTION("""COMPUTED_VALUE"""),23.0)</f>
        <v>23</v>
      </c>
      <c r="AD404" s="131">
        <f>IFERROR(__xludf.DUMMYFUNCTION("""COMPUTED_VALUE"""),23.0)</f>
        <v>23</v>
      </c>
      <c r="AE404" s="131">
        <f>IFERROR(__xludf.DUMMYFUNCTION("""COMPUTED_VALUE"""),2.0)</f>
        <v>2</v>
      </c>
      <c r="AF404" s="131">
        <f>IFERROR(__xludf.DUMMYFUNCTION("""COMPUTED_VALUE"""),4.0)</f>
        <v>4</v>
      </c>
      <c r="AG404" s="131">
        <f>IFERROR(__xludf.DUMMYFUNCTION("""COMPUTED_VALUE"""),2.0)</f>
        <v>2</v>
      </c>
      <c r="AH404" s="131">
        <f>IFERROR(__xludf.DUMMYFUNCTION("""COMPUTED_VALUE"""),2.0)</f>
        <v>2</v>
      </c>
      <c r="AI404" s="131">
        <f>IFERROR(__xludf.DUMMYFUNCTION("""COMPUTED_VALUE"""),257.0)</f>
        <v>257</v>
      </c>
      <c r="AJ404" s="131"/>
      <c r="AK404" s="131"/>
    </row>
    <row r="405">
      <c r="A405" s="145" t="str">
        <f>IFERROR(__xludf.DUMMYFUNCTION("""COMPUTED_VALUE"""),"Y")</f>
        <v>Y</v>
      </c>
      <c r="B405" s="146" t="str">
        <f>IFERROR(__xludf.DUMMYFUNCTION("""COMPUTED_VALUE"""),"6")</f>
        <v>6</v>
      </c>
      <c r="C405" s="146" t="str">
        <f>IFERROR(__xludf.DUMMYFUNCTION("""COMPUTED_VALUE"""),"1003-1008")</f>
        <v>1003-1008</v>
      </c>
      <c r="D405" s="147">
        <f>IFERROR(__xludf.DUMMYFUNCTION("""COMPUTED_VALUE"""),45739.0)</f>
        <v>45739</v>
      </c>
      <c r="E405" s="147">
        <f>IFERROR(__xludf.DUMMYFUNCTION("""COMPUTED_VALUE"""),45746.0)</f>
        <v>45746</v>
      </c>
      <c r="F405" s="147">
        <f>IFERROR(__xludf.DUMMYFUNCTION("""COMPUTED_VALUE"""),45767.0)</f>
        <v>45767</v>
      </c>
      <c r="G405" s="146" t="str">
        <f>IFERROR(__xludf.DUMMYFUNCTION("""COMPUTED_VALUE"""),"D40-3R")</f>
        <v>D40-3R</v>
      </c>
      <c r="H405" s="148">
        <f>IFERROR(__xludf.DUMMYFUNCTION("""COMPUTED_VALUE"""),7.0)</f>
        <v>7</v>
      </c>
      <c r="I405" s="148">
        <f>IFERROR(__xludf.DUMMYFUNCTION("""COMPUTED_VALUE"""),51.0)</f>
        <v>51</v>
      </c>
      <c r="J405" s="146">
        <f>IFERROR(__xludf.DUMMYFUNCTION("""COMPUTED_VALUE"""),23.0)</f>
        <v>23</v>
      </c>
      <c r="K405" s="146">
        <f>IFERROR(__xludf.DUMMYFUNCTION("""COMPUTED_VALUE"""),23.0)</f>
        <v>23</v>
      </c>
      <c r="L405" s="146">
        <f>IFERROR(__xludf.DUMMYFUNCTION("""COMPUTED_VALUE"""),2.0)</f>
        <v>2</v>
      </c>
      <c r="M405" s="146">
        <f>IFERROR(__xludf.DUMMYFUNCTION("""COMPUTED_VALUE"""),4.0)</f>
        <v>4</v>
      </c>
      <c r="N405" s="146">
        <f>IFERROR(__xludf.DUMMYFUNCTION("""COMPUTED_VALUE"""),2.0)</f>
        <v>2</v>
      </c>
      <c r="O405" s="146">
        <f>IFERROR(__xludf.DUMMYFUNCTION("""COMPUTED_VALUE"""),2.0)</f>
        <v>2</v>
      </c>
      <c r="P405" s="146">
        <f>IFERROR(__xludf.DUMMYFUNCTION("""COMPUTED_VALUE"""),257.0)</f>
        <v>257</v>
      </c>
      <c r="Q405" s="146"/>
      <c r="R405" s="146"/>
      <c r="T405" s="131" t="str">
        <f>IFERROR(__xludf.DUMMYFUNCTION("""COMPUTED_VALUE"""),"Y")</f>
        <v>Y</v>
      </c>
      <c r="U405" s="131" t="str">
        <f>IFERROR(__xludf.DUMMYFUNCTION("""COMPUTED_VALUE"""),"6")</f>
        <v>6</v>
      </c>
      <c r="V405" s="131" t="str">
        <f>IFERROR(__xludf.DUMMYFUNCTION("""COMPUTED_VALUE"""),"997-1002")</f>
        <v>997-1002</v>
      </c>
      <c r="W405" s="144">
        <f>IFERROR(__xludf.DUMMYFUNCTION("""COMPUTED_VALUE"""),45739.0)</f>
        <v>45739</v>
      </c>
      <c r="X405" s="144">
        <f>IFERROR(__xludf.DUMMYFUNCTION("""COMPUTED_VALUE"""),45746.0)</f>
        <v>45746</v>
      </c>
      <c r="Y405" s="144">
        <f>IFERROR(__xludf.DUMMYFUNCTION("""COMPUTED_VALUE"""),45767.0)</f>
        <v>45767</v>
      </c>
      <c r="Z405" s="131" t="str">
        <f>IFERROR(__xludf.DUMMYFUNCTION("""COMPUTED_VALUE"""),"BRG10")</f>
        <v>BRG10</v>
      </c>
      <c r="AA405" s="131">
        <f>IFERROR(__xludf.DUMMYFUNCTION("""COMPUTED_VALUE"""),291.0)</f>
        <v>291</v>
      </c>
      <c r="AB405" s="131">
        <f>IFERROR(__xludf.DUMMYFUNCTION("""COMPUTED_VALUE"""),407.0)</f>
        <v>407</v>
      </c>
      <c r="AC405" s="131">
        <f>IFERROR(__xludf.DUMMYFUNCTION("""COMPUTED_VALUE"""),59.0)</f>
        <v>59</v>
      </c>
      <c r="AD405" s="131">
        <f>IFERROR(__xludf.DUMMYFUNCTION("""COMPUTED_VALUE"""),59.0)</f>
        <v>59</v>
      </c>
      <c r="AE405" s="131"/>
      <c r="AF405" s="131"/>
      <c r="AG405" s="131"/>
      <c r="AH405" s="131"/>
      <c r="AI405" s="131">
        <f>IFERROR(__xludf.DUMMYFUNCTION("""COMPUTED_VALUE"""),258.0)</f>
        <v>258</v>
      </c>
      <c r="AJ405" s="131"/>
      <c r="AK405" s="131"/>
    </row>
    <row r="406">
      <c r="A406" s="145" t="str">
        <f>IFERROR(__xludf.DUMMYFUNCTION("""COMPUTED_VALUE"""),"Y")</f>
        <v>Y</v>
      </c>
      <c r="B406" s="146" t="str">
        <f>IFERROR(__xludf.DUMMYFUNCTION("""COMPUTED_VALUE"""),"6")</f>
        <v>6</v>
      </c>
      <c r="C406" s="146" t="str">
        <f>IFERROR(__xludf.DUMMYFUNCTION("""COMPUTED_VALUE"""),"997-1002")</f>
        <v>997-1002</v>
      </c>
      <c r="D406" s="147">
        <f>IFERROR(__xludf.DUMMYFUNCTION("""COMPUTED_VALUE"""),45739.0)</f>
        <v>45739</v>
      </c>
      <c r="E406" s="147">
        <f>IFERROR(__xludf.DUMMYFUNCTION("""COMPUTED_VALUE"""),45746.0)</f>
        <v>45746</v>
      </c>
      <c r="F406" s="147">
        <f>IFERROR(__xludf.DUMMYFUNCTION("""COMPUTED_VALUE"""),45767.0)</f>
        <v>45767</v>
      </c>
      <c r="G406" s="146" t="str">
        <f>IFERROR(__xludf.DUMMYFUNCTION("""COMPUTED_VALUE"""),"BRG10")</f>
        <v>BRG10</v>
      </c>
      <c r="H406" s="148">
        <f>IFERROR(__xludf.DUMMYFUNCTION("""COMPUTED_VALUE"""),291.0)</f>
        <v>291</v>
      </c>
      <c r="I406" s="148">
        <f>IFERROR(__xludf.DUMMYFUNCTION("""COMPUTED_VALUE"""),407.0)</f>
        <v>407</v>
      </c>
      <c r="J406" s="146">
        <f>IFERROR(__xludf.DUMMYFUNCTION("""COMPUTED_VALUE"""),59.0)</f>
        <v>59</v>
      </c>
      <c r="K406" s="146">
        <f>IFERROR(__xludf.DUMMYFUNCTION("""COMPUTED_VALUE"""),59.0)</f>
        <v>59</v>
      </c>
      <c r="L406" s="146"/>
      <c r="M406" s="146"/>
      <c r="N406" s="146"/>
      <c r="O406" s="146"/>
      <c r="P406" s="146">
        <f>IFERROR(__xludf.DUMMYFUNCTION("""COMPUTED_VALUE"""),258.0)</f>
        <v>258</v>
      </c>
      <c r="Q406" s="146"/>
      <c r="R406" s="146"/>
      <c r="T406" s="131" t="str">
        <f>IFERROR(__xludf.DUMMYFUNCTION("""COMPUTED_VALUE"""),"Y")</f>
        <v>Y</v>
      </c>
      <c r="U406" s="131" t="str">
        <f>IFERROR(__xludf.DUMMYFUNCTION("""COMPUTED_VALUE"""),"6")</f>
        <v>6</v>
      </c>
      <c r="V406" s="131" t="str">
        <f>IFERROR(__xludf.DUMMYFUNCTION("""COMPUTED_VALUE"""),"1027-1032")</f>
        <v>1027-1032</v>
      </c>
      <c r="W406" s="144">
        <f>IFERROR(__xludf.DUMMYFUNCTION("""COMPUTED_VALUE"""),45740.0)</f>
        <v>45740</v>
      </c>
      <c r="X406" s="144">
        <f>IFERROR(__xludf.DUMMYFUNCTION("""COMPUTED_VALUE"""),45747.0)</f>
        <v>45747</v>
      </c>
      <c r="Y406" s="144">
        <f>IFERROR(__xludf.DUMMYFUNCTION("""COMPUTED_VALUE"""),45768.0)</f>
        <v>45768</v>
      </c>
      <c r="Z406" s="131" t="str">
        <f>IFERROR(__xludf.DUMMYFUNCTION("""COMPUTED_VALUE"""),"D40-3L")</f>
        <v>D40-3L</v>
      </c>
      <c r="AA406" s="131">
        <f>IFERROR(__xludf.DUMMYFUNCTION("""COMPUTED_VALUE"""),1.0)</f>
        <v>1</v>
      </c>
      <c r="AB406" s="131">
        <f>IFERROR(__xludf.DUMMYFUNCTION("""COMPUTED_VALUE"""),3.0)</f>
        <v>3</v>
      </c>
      <c r="AC406" s="131">
        <f>IFERROR(__xludf.DUMMYFUNCTION("""COMPUTED_VALUE"""),2.0)</f>
        <v>2</v>
      </c>
      <c r="AD406" s="131">
        <f>IFERROR(__xludf.DUMMYFUNCTION("""COMPUTED_VALUE"""),2.0)</f>
        <v>2</v>
      </c>
      <c r="AE406" s="131"/>
      <c r="AF406" s="131"/>
      <c r="AG406" s="131"/>
      <c r="AH406" s="131"/>
      <c r="AI406" s="131">
        <f>IFERROR(__xludf.DUMMYFUNCTION("""COMPUTED_VALUE"""),260.0)</f>
        <v>260</v>
      </c>
      <c r="AJ406" s="131"/>
      <c r="AK406" s="131"/>
    </row>
    <row r="407">
      <c r="A407" s="145" t="str">
        <f>IFERROR(__xludf.DUMMYFUNCTION("""COMPUTED_VALUE"""),"Y")</f>
        <v>Y</v>
      </c>
      <c r="B407" s="146" t="str">
        <f>IFERROR(__xludf.DUMMYFUNCTION("""COMPUTED_VALUE"""),"6")</f>
        <v>6</v>
      </c>
      <c r="C407" s="146" t="str">
        <f>IFERROR(__xludf.DUMMYFUNCTION("""COMPUTED_VALUE"""),"1027-1032")</f>
        <v>1027-1032</v>
      </c>
      <c r="D407" s="147">
        <f>IFERROR(__xludf.DUMMYFUNCTION("""COMPUTED_VALUE"""),45740.0)</f>
        <v>45740</v>
      </c>
      <c r="E407" s="147">
        <f>IFERROR(__xludf.DUMMYFUNCTION("""COMPUTED_VALUE"""),45747.0)</f>
        <v>45747</v>
      </c>
      <c r="F407" s="147">
        <f>IFERROR(__xludf.DUMMYFUNCTION("""COMPUTED_VALUE"""),45768.0)</f>
        <v>45768</v>
      </c>
      <c r="G407" s="146" t="str">
        <f>IFERROR(__xludf.DUMMYFUNCTION("""COMPUTED_VALUE"""),"D40-3L")</f>
        <v>D40-3L</v>
      </c>
      <c r="H407" s="148">
        <f>IFERROR(__xludf.DUMMYFUNCTION("""COMPUTED_VALUE"""),1.0)</f>
        <v>1</v>
      </c>
      <c r="I407" s="148">
        <f>IFERROR(__xludf.DUMMYFUNCTION("""COMPUTED_VALUE"""),3.0)</f>
        <v>3</v>
      </c>
      <c r="J407" s="146">
        <f>IFERROR(__xludf.DUMMYFUNCTION("""COMPUTED_VALUE"""),2.0)</f>
        <v>2</v>
      </c>
      <c r="K407" s="146">
        <f>IFERROR(__xludf.DUMMYFUNCTION("""COMPUTED_VALUE"""),2.0)</f>
        <v>2</v>
      </c>
      <c r="L407" s="146"/>
      <c r="M407" s="146"/>
      <c r="N407" s="146"/>
      <c r="O407" s="146"/>
      <c r="P407" s="146">
        <f>IFERROR(__xludf.DUMMYFUNCTION("""COMPUTED_VALUE"""),260.0)</f>
        <v>260</v>
      </c>
      <c r="Q407" s="146"/>
      <c r="R407" s="146"/>
      <c r="T407" s="131" t="str">
        <f>IFERROR(__xludf.DUMMYFUNCTION("""COMPUTED_VALUE"""),"Y")</f>
        <v>Y</v>
      </c>
      <c r="U407" s="131" t="str">
        <f>IFERROR(__xludf.DUMMYFUNCTION("""COMPUTED_VALUE"""),"6")</f>
        <v>6</v>
      </c>
      <c r="V407" s="131" t="str">
        <f>IFERROR(__xludf.DUMMYFUNCTION("""COMPUTED_VALUE"""),"1027-1032")</f>
        <v>1027-1032</v>
      </c>
      <c r="W407" s="144">
        <f>IFERROR(__xludf.DUMMYFUNCTION("""COMPUTED_VALUE"""),45740.0)</f>
        <v>45740</v>
      </c>
      <c r="X407" s="144">
        <f>IFERROR(__xludf.DUMMYFUNCTION("""COMPUTED_VALUE"""),45747.0)</f>
        <v>45747</v>
      </c>
      <c r="Y407" s="144">
        <f>IFERROR(__xludf.DUMMYFUNCTION("""COMPUTED_VALUE"""),45768.0)</f>
        <v>45768</v>
      </c>
      <c r="Z407" s="131" t="str">
        <f>IFERROR(__xludf.DUMMYFUNCTION("""COMPUTED_VALUE"""),"D40-3L")</f>
        <v>D40-3L</v>
      </c>
      <c r="AA407" s="131">
        <f>IFERROR(__xludf.DUMMYFUNCTION("""COMPUTED_VALUE"""),7.0)</f>
        <v>7</v>
      </c>
      <c r="AB407" s="131">
        <f>IFERROR(__xludf.DUMMYFUNCTION("""COMPUTED_VALUE"""),35.0)</f>
        <v>35</v>
      </c>
      <c r="AC407" s="131">
        <f>IFERROR(__xludf.DUMMYFUNCTION("""COMPUTED_VALUE"""),15.0)</f>
        <v>15</v>
      </c>
      <c r="AD407" s="131">
        <f>IFERROR(__xludf.DUMMYFUNCTION("""COMPUTED_VALUE"""),15.0)</f>
        <v>15</v>
      </c>
      <c r="AE407" s="131"/>
      <c r="AF407" s="131"/>
      <c r="AG407" s="131"/>
      <c r="AH407" s="131"/>
      <c r="AI407" s="131">
        <f>IFERROR(__xludf.DUMMYFUNCTION("""COMPUTED_VALUE"""),260.0)</f>
        <v>260</v>
      </c>
      <c r="AJ407" s="131"/>
      <c r="AK407" s="131"/>
    </row>
    <row r="408">
      <c r="A408" s="145" t="str">
        <f>IFERROR(__xludf.DUMMYFUNCTION("""COMPUTED_VALUE"""),"Y")</f>
        <v>Y</v>
      </c>
      <c r="B408" s="146" t="str">
        <f>IFERROR(__xludf.DUMMYFUNCTION("""COMPUTED_VALUE"""),"6")</f>
        <v>6</v>
      </c>
      <c r="C408" s="146" t="str">
        <f>IFERROR(__xludf.DUMMYFUNCTION("""COMPUTED_VALUE"""),"1027-1032")</f>
        <v>1027-1032</v>
      </c>
      <c r="D408" s="147">
        <f>IFERROR(__xludf.DUMMYFUNCTION("""COMPUTED_VALUE"""),45740.0)</f>
        <v>45740</v>
      </c>
      <c r="E408" s="147">
        <f>IFERROR(__xludf.DUMMYFUNCTION("""COMPUTED_VALUE"""),45747.0)</f>
        <v>45747</v>
      </c>
      <c r="F408" s="147">
        <f>IFERROR(__xludf.DUMMYFUNCTION("""COMPUTED_VALUE"""),45768.0)</f>
        <v>45768</v>
      </c>
      <c r="G408" s="146" t="str">
        <f>IFERROR(__xludf.DUMMYFUNCTION("""COMPUTED_VALUE"""),"D40-3L")</f>
        <v>D40-3L</v>
      </c>
      <c r="H408" s="148">
        <f>IFERROR(__xludf.DUMMYFUNCTION("""COMPUTED_VALUE"""),7.0)</f>
        <v>7</v>
      </c>
      <c r="I408" s="148">
        <f>IFERROR(__xludf.DUMMYFUNCTION("""COMPUTED_VALUE"""),35.0)</f>
        <v>35</v>
      </c>
      <c r="J408" s="146">
        <f>IFERROR(__xludf.DUMMYFUNCTION("""COMPUTED_VALUE"""),15.0)</f>
        <v>15</v>
      </c>
      <c r="K408" s="146">
        <f>IFERROR(__xludf.DUMMYFUNCTION("""COMPUTED_VALUE"""),15.0)</f>
        <v>15</v>
      </c>
      <c r="L408" s="146"/>
      <c r="M408" s="146"/>
      <c r="N408" s="146"/>
      <c r="O408" s="146"/>
      <c r="P408" s="146">
        <f>IFERROR(__xludf.DUMMYFUNCTION("""COMPUTED_VALUE"""),260.0)</f>
        <v>260</v>
      </c>
      <c r="Q408" s="146"/>
      <c r="R408" s="146"/>
      <c r="T408" s="131" t="str">
        <f>IFERROR(__xludf.DUMMYFUNCTION("""COMPUTED_VALUE"""),"Y")</f>
        <v>Y</v>
      </c>
      <c r="U408" s="131" t="str">
        <f>IFERROR(__xludf.DUMMYFUNCTION("""COMPUTED_VALUE"""),"6")</f>
        <v>6</v>
      </c>
      <c r="V408" s="131" t="str">
        <f>IFERROR(__xludf.DUMMYFUNCTION("""COMPUTED_VALUE"""),"1027-1032")</f>
        <v>1027-1032</v>
      </c>
      <c r="W408" s="144">
        <f>IFERROR(__xludf.DUMMYFUNCTION("""COMPUTED_VALUE"""),45740.0)</f>
        <v>45740</v>
      </c>
      <c r="X408" s="144">
        <f>IFERROR(__xludf.DUMMYFUNCTION("""COMPUTED_VALUE"""),45747.0)</f>
        <v>45747</v>
      </c>
      <c r="Y408" s="144">
        <f>IFERROR(__xludf.DUMMYFUNCTION("""COMPUTED_VALUE"""),45768.0)</f>
        <v>45768</v>
      </c>
      <c r="Z408" s="131" t="str">
        <f>IFERROR(__xludf.DUMMYFUNCTION("""COMPUTED_VALUE"""),"D40-3R")</f>
        <v>D40-3R</v>
      </c>
      <c r="AA408" s="131">
        <f>IFERROR(__xludf.DUMMYFUNCTION("""COMPUTED_VALUE"""),1.0)</f>
        <v>1</v>
      </c>
      <c r="AB408" s="131">
        <f>IFERROR(__xludf.DUMMYFUNCTION("""COMPUTED_VALUE"""),3.0)</f>
        <v>3</v>
      </c>
      <c r="AC408" s="131">
        <f>IFERROR(__xludf.DUMMYFUNCTION("""COMPUTED_VALUE"""),2.0)</f>
        <v>2</v>
      </c>
      <c r="AD408" s="131">
        <f>IFERROR(__xludf.DUMMYFUNCTION("""COMPUTED_VALUE"""),2.0)</f>
        <v>2</v>
      </c>
      <c r="AE408" s="131">
        <f>IFERROR(__xludf.DUMMYFUNCTION("""COMPUTED_VALUE"""),6.0)</f>
        <v>6</v>
      </c>
      <c r="AF408" s="131">
        <f>IFERROR(__xludf.DUMMYFUNCTION("""COMPUTED_VALUE"""),50.0)</f>
        <v>50</v>
      </c>
      <c r="AG408" s="131">
        <f>IFERROR(__xludf.DUMMYFUNCTION("""COMPUTED_VALUE"""),23.0)</f>
        <v>23</v>
      </c>
      <c r="AH408" s="131">
        <f>IFERROR(__xludf.DUMMYFUNCTION("""COMPUTED_VALUE"""),23.0)</f>
        <v>23</v>
      </c>
      <c r="AI408" s="131">
        <f>IFERROR(__xludf.DUMMYFUNCTION("""COMPUTED_VALUE"""),260.0)</f>
        <v>260</v>
      </c>
      <c r="AJ408" s="131"/>
      <c r="AK408" s="131"/>
    </row>
    <row r="409">
      <c r="A409" s="145" t="str">
        <f>IFERROR(__xludf.DUMMYFUNCTION("""COMPUTED_VALUE"""),"Y")</f>
        <v>Y</v>
      </c>
      <c r="B409" s="146" t="str">
        <f>IFERROR(__xludf.DUMMYFUNCTION("""COMPUTED_VALUE"""),"6")</f>
        <v>6</v>
      </c>
      <c r="C409" s="146" t="str">
        <f>IFERROR(__xludf.DUMMYFUNCTION("""COMPUTED_VALUE"""),"1027-1032")</f>
        <v>1027-1032</v>
      </c>
      <c r="D409" s="147">
        <f>IFERROR(__xludf.DUMMYFUNCTION("""COMPUTED_VALUE"""),45740.0)</f>
        <v>45740</v>
      </c>
      <c r="E409" s="147">
        <f>IFERROR(__xludf.DUMMYFUNCTION("""COMPUTED_VALUE"""),45747.0)</f>
        <v>45747</v>
      </c>
      <c r="F409" s="147">
        <f>IFERROR(__xludf.DUMMYFUNCTION("""COMPUTED_VALUE"""),45768.0)</f>
        <v>45768</v>
      </c>
      <c r="G409" s="146" t="str">
        <f>IFERROR(__xludf.DUMMYFUNCTION("""COMPUTED_VALUE"""),"D40-3R")</f>
        <v>D40-3R</v>
      </c>
      <c r="H409" s="148">
        <f>IFERROR(__xludf.DUMMYFUNCTION("""COMPUTED_VALUE"""),1.0)</f>
        <v>1</v>
      </c>
      <c r="I409" s="148">
        <f>IFERROR(__xludf.DUMMYFUNCTION("""COMPUTED_VALUE"""),3.0)</f>
        <v>3</v>
      </c>
      <c r="J409" s="146">
        <f>IFERROR(__xludf.DUMMYFUNCTION("""COMPUTED_VALUE"""),2.0)</f>
        <v>2</v>
      </c>
      <c r="K409" s="146">
        <f>IFERROR(__xludf.DUMMYFUNCTION("""COMPUTED_VALUE"""),2.0)</f>
        <v>2</v>
      </c>
      <c r="L409" s="146">
        <f>IFERROR(__xludf.DUMMYFUNCTION("""COMPUTED_VALUE"""),6.0)</f>
        <v>6</v>
      </c>
      <c r="M409" s="146">
        <f>IFERROR(__xludf.DUMMYFUNCTION("""COMPUTED_VALUE"""),50.0)</f>
        <v>50</v>
      </c>
      <c r="N409" s="146">
        <f>IFERROR(__xludf.DUMMYFUNCTION("""COMPUTED_VALUE"""),23.0)</f>
        <v>23</v>
      </c>
      <c r="O409" s="146">
        <f>IFERROR(__xludf.DUMMYFUNCTION("""COMPUTED_VALUE"""),23.0)</f>
        <v>23</v>
      </c>
      <c r="P409" s="146">
        <f>IFERROR(__xludf.DUMMYFUNCTION("""COMPUTED_VALUE"""),260.0)</f>
        <v>260</v>
      </c>
      <c r="Q409" s="146"/>
      <c r="R409" s="146"/>
      <c r="T409" s="131" t="str">
        <f>IFERROR(__xludf.DUMMYFUNCTION("""COMPUTED_VALUE"""),"Y")</f>
        <v>Y</v>
      </c>
      <c r="U409" s="131" t="str">
        <f>IFERROR(__xludf.DUMMYFUNCTION("""COMPUTED_VALUE"""),"6")</f>
        <v>6</v>
      </c>
      <c r="V409" s="131" t="str">
        <f>IFERROR(__xludf.DUMMYFUNCTION("""COMPUTED_VALUE"""),"1027-1032")</f>
        <v>1027-1032</v>
      </c>
      <c r="W409" s="144">
        <f>IFERROR(__xludf.DUMMYFUNCTION("""COMPUTED_VALUE"""),45740.0)</f>
        <v>45740</v>
      </c>
      <c r="X409" s="144">
        <f>IFERROR(__xludf.DUMMYFUNCTION("""COMPUTED_VALUE"""),45747.0)</f>
        <v>45747</v>
      </c>
      <c r="Y409" s="144">
        <f>IFERROR(__xludf.DUMMYFUNCTION("""COMPUTED_VALUE"""),45768.0)</f>
        <v>45768</v>
      </c>
      <c r="Z409" s="131" t="str">
        <f>IFERROR(__xludf.DUMMYFUNCTION("""COMPUTED_VALUE"""),"D40-3R")</f>
        <v>D40-3R</v>
      </c>
      <c r="AA409" s="131">
        <f>IFERROR(__xludf.DUMMYFUNCTION("""COMPUTED_VALUE"""),53.0)</f>
        <v>53</v>
      </c>
      <c r="AB409" s="131">
        <f>IFERROR(__xludf.DUMMYFUNCTION("""COMPUTED_VALUE"""),123.0)</f>
        <v>123</v>
      </c>
      <c r="AC409" s="131">
        <f>IFERROR(__xludf.DUMMYFUNCTION("""COMPUTED_VALUE"""),36.0)</f>
        <v>36</v>
      </c>
      <c r="AD409" s="131">
        <f>IFERROR(__xludf.DUMMYFUNCTION("""COMPUTED_VALUE"""),36.0)</f>
        <v>36</v>
      </c>
      <c r="AE409" s="131"/>
      <c r="AF409" s="131"/>
      <c r="AG409" s="131"/>
      <c r="AH409" s="131"/>
      <c r="AI409" s="131">
        <f>IFERROR(__xludf.DUMMYFUNCTION("""COMPUTED_VALUE"""),260.0)</f>
        <v>260</v>
      </c>
      <c r="AJ409" s="131"/>
      <c r="AK409" s="131"/>
    </row>
    <row r="410">
      <c r="A410" s="145" t="str">
        <f>IFERROR(__xludf.DUMMYFUNCTION("""COMPUTED_VALUE"""),"Y")</f>
        <v>Y</v>
      </c>
      <c r="B410" s="146" t="str">
        <f>IFERROR(__xludf.DUMMYFUNCTION("""COMPUTED_VALUE"""),"6")</f>
        <v>6</v>
      </c>
      <c r="C410" s="146" t="str">
        <f>IFERROR(__xludf.DUMMYFUNCTION("""COMPUTED_VALUE"""),"1027-1032")</f>
        <v>1027-1032</v>
      </c>
      <c r="D410" s="147">
        <f>IFERROR(__xludf.DUMMYFUNCTION("""COMPUTED_VALUE"""),45740.0)</f>
        <v>45740</v>
      </c>
      <c r="E410" s="147">
        <f>IFERROR(__xludf.DUMMYFUNCTION("""COMPUTED_VALUE"""),45747.0)</f>
        <v>45747</v>
      </c>
      <c r="F410" s="147">
        <f>IFERROR(__xludf.DUMMYFUNCTION("""COMPUTED_VALUE"""),45768.0)</f>
        <v>45768</v>
      </c>
      <c r="G410" s="146" t="str">
        <f>IFERROR(__xludf.DUMMYFUNCTION("""COMPUTED_VALUE"""),"D40-3R")</f>
        <v>D40-3R</v>
      </c>
      <c r="H410" s="148">
        <f>IFERROR(__xludf.DUMMYFUNCTION("""COMPUTED_VALUE"""),53.0)</f>
        <v>53</v>
      </c>
      <c r="I410" s="148">
        <f>IFERROR(__xludf.DUMMYFUNCTION("""COMPUTED_VALUE"""),123.0)</f>
        <v>123</v>
      </c>
      <c r="J410" s="146">
        <f>IFERROR(__xludf.DUMMYFUNCTION("""COMPUTED_VALUE"""),36.0)</f>
        <v>36</v>
      </c>
      <c r="K410" s="146">
        <f>IFERROR(__xludf.DUMMYFUNCTION("""COMPUTED_VALUE"""),36.0)</f>
        <v>36</v>
      </c>
      <c r="L410" s="146"/>
      <c r="M410" s="146"/>
      <c r="N410" s="146"/>
      <c r="O410" s="146"/>
      <c r="P410" s="146">
        <f>IFERROR(__xludf.DUMMYFUNCTION("""COMPUTED_VALUE"""),260.0)</f>
        <v>260</v>
      </c>
      <c r="Q410" s="146"/>
      <c r="R410" s="146"/>
      <c r="T410" s="131" t="str">
        <f>IFERROR(__xludf.DUMMYFUNCTION("""COMPUTED_VALUE"""),"Y")</f>
        <v>Y</v>
      </c>
      <c r="U410" s="131" t="str">
        <f>IFERROR(__xludf.DUMMYFUNCTION("""COMPUTED_VALUE"""),"6")</f>
        <v>6</v>
      </c>
      <c r="V410" s="131" t="str">
        <f>IFERROR(__xludf.DUMMYFUNCTION("""COMPUTED_VALUE"""),"1021-1026")</f>
        <v>1021-1026</v>
      </c>
      <c r="W410" s="144">
        <f>IFERROR(__xludf.DUMMYFUNCTION("""COMPUTED_VALUE"""),45740.0)</f>
        <v>45740</v>
      </c>
      <c r="X410" s="144">
        <f>IFERROR(__xludf.DUMMYFUNCTION("""COMPUTED_VALUE"""),45747.0)</f>
        <v>45747</v>
      </c>
      <c r="Y410" s="144">
        <f>IFERROR(__xludf.DUMMYFUNCTION("""COMPUTED_VALUE"""),45768.0)</f>
        <v>45768</v>
      </c>
      <c r="Z410" s="131" t="str">
        <f>IFERROR(__xludf.DUMMYFUNCTION("""COMPUTED_VALUE"""),"D33-4L")</f>
        <v>D33-4L</v>
      </c>
      <c r="AA410" s="131"/>
      <c r="AB410" s="131"/>
      <c r="AC410" s="131"/>
      <c r="AD410" s="131"/>
      <c r="AE410" s="131">
        <f>IFERROR(__xludf.DUMMYFUNCTION("""COMPUTED_VALUE"""),68.0)</f>
        <v>68</v>
      </c>
      <c r="AF410" s="131">
        <f>IFERROR(__xludf.DUMMYFUNCTION("""COMPUTED_VALUE"""),268.0)</f>
        <v>268</v>
      </c>
      <c r="AG410" s="131">
        <f>IFERROR(__xludf.DUMMYFUNCTION("""COMPUTED_VALUE"""),101.0)</f>
        <v>101</v>
      </c>
      <c r="AH410" s="131">
        <f>IFERROR(__xludf.DUMMYFUNCTION("""COMPUTED_VALUE"""),101.0)</f>
        <v>101</v>
      </c>
      <c r="AI410" s="131">
        <f>IFERROR(__xludf.DUMMYFUNCTION("""COMPUTED_VALUE"""),261.0)</f>
        <v>261</v>
      </c>
      <c r="AJ410" s="131"/>
      <c r="AK410" s="131"/>
    </row>
    <row r="411">
      <c r="A411" s="145" t="str">
        <f>IFERROR(__xludf.DUMMYFUNCTION("""COMPUTED_VALUE"""),"Y")</f>
        <v>Y</v>
      </c>
      <c r="B411" s="146" t="str">
        <f>IFERROR(__xludf.DUMMYFUNCTION("""COMPUTED_VALUE"""),"6")</f>
        <v>6</v>
      </c>
      <c r="C411" s="146" t="str">
        <f>IFERROR(__xludf.DUMMYFUNCTION("""COMPUTED_VALUE"""),"1021-1026")</f>
        <v>1021-1026</v>
      </c>
      <c r="D411" s="147">
        <f>IFERROR(__xludf.DUMMYFUNCTION("""COMPUTED_VALUE"""),45740.0)</f>
        <v>45740</v>
      </c>
      <c r="E411" s="147">
        <f>IFERROR(__xludf.DUMMYFUNCTION("""COMPUTED_VALUE"""),45747.0)</f>
        <v>45747</v>
      </c>
      <c r="F411" s="147">
        <f>IFERROR(__xludf.DUMMYFUNCTION("""COMPUTED_VALUE"""),45768.0)</f>
        <v>45768</v>
      </c>
      <c r="G411" s="146" t="str">
        <f>IFERROR(__xludf.DUMMYFUNCTION("""COMPUTED_VALUE"""),"D33-4L")</f>
        <v>D33-4L</v>
      </c>
      <c r="H411" s="148"/>
      <c r="I411" s="148"/>
      <c r="J411" s="146"/>
      <c r="K411" s="146"/>
      <c r="L411" s="146">
        <f>IFERROR(__xludf.DUMMYFUNCTION("""COMPUTED_VALUE"""),68.0)</f>
        <v>68</v>
      </c>
      <c r="M411" s="146">
        <f>IFERROR(__xludf.DUMMYFUNCTION("""COMPUTED_VALUE"""),268.0)</f>
        <v>268</v>
      </c>
      <c r="N411" s="146">
        <f>IFERROR(__xludf.DUMMYFUNCTION("""COMPUTED_VALUE"""),101.0)</f>
        <v>101</v>
      </c>
      <c r="O411" s="146">
        <f>IFERROR(__xludf.DUMMYFUNCTION("""COMPUTED_VALUE"""),101.0)</f>
        <v>101</v>
      </c>
      <c r="P411" s="146">
        <f>IFERROR(__xludf.DUMMYFUNCTION("""COMPUTED_VALUE"""),261.0)</f>
        <v>261</v>
      </c>
      <c r="Q411" s="146"/>
      <c r="R411" s="146"/>
      <c r="T411" s="131" t="str">
        <f>IFERROR(__xludf.DUMMYFUNCTION("""COMPUTED_VALUE"""),"Y")</f>
        <v>Y</v>
      </c>
      <c r="U411" s="131" t="str">
        <f>IFERROR(__xludf.DUMMYFUNCTION("""COMPUTED_VALUE"""),"6")</f>
        <v>6</v>
      </c>
      <c r="V411" s="131" t="str">
        <f>IFERROR(__xludf.DUMMYFUNCTION("""COMPUTED_VALUE"""),"1033-1038")</f>
        <v>1033-1038</v>
      </c>
      <c r="W411" s="144">
        <f>IFERROR(__xludf.DUMMYFUNCTION("""COMPUTED_VALUE"""),45740.0)</f>
        <v>45740</v>
      </c>
      <c r="X411" s="144">
        <f>IFERROR(__xludf.DUMMYFUNCTION("""COMPUTED_VALUE"""),45747.0)</f>
        <v>45747</v>
      </c>
      <c r="Y411" s="144">
        <f>IFERROR(__xludf.DUMMYFUNCTION("""COMPUTED_VALUE"""),45768.0)</f>
        <v>45768</v>
      </c>
      <c r="Z411" s="131" t="str">
        <f>IFERROR(__xludf.DUMMYFUNCTION("""COMPUTED_VALUE"""),"BRG10")</f>
        <v>BRG10</v>
      </c>
      <c r="AA411" s="131">
        <f>IFERROR(__xludf.DUMMYFUNCTION("""COMPUTED_VALUE"""),409.0)</f>
        <v>409</v>
      </c>
      <c r="AB411" s="131">
        <f>IFERROR(__xludf.DUMMYFUNCTION("""COMPUTED_VALUE"""),435.0)</f>
        <v>435</v>
      </c>
      <c r="AC411" s="131">
        <f>IFERROR(__xludf.DUMMYFUNCTION("""COMPUTED_VALUE"""),14.0)</f>
        <v>14</v>
      </c>
      <c r="AD411" s="131">
        <f>IFERROR(__xludf.DUMMYFUNCTION("""COMPUTED_VALUE"""),14.0)</f>
        <v>14</v>
      </c>
      <c r="AE411" s="131">
        <f>IFERROR(__xludf.DUMMYFUNCTION("""COMPUTED_VALUE"""),290.0)</f>
        <v>290</v>
      </c>
      <c r="AF411" s="131">
        <f>IFERROR(__xludf.DUMMYFUNCTION("""COMPUTED_VALUE"""),406.0)</f>
        <v>406</v>
      </c>
      <c r="AG411" s="131">
        <f>IFERROR(__xludf.DUMMYFUNCTION("""COMPUTED_VALUE"""),59.0)</f>
        <v>59</v>
      </c>
      <c r="AH411" s="131">
        <f>IFERROR(__xludf.DUMMYFUNCTION("""COMPUTED_VALUE"""),59.0)</f>
        <v>59</v>
      </c>
      <c r="AI411" s="131">
        <f>IFERROR(__xludf.DUMMYFUNCTION("""COMPUTED_VALUE"""),259.0)</f>
        <v>259</v>
      </c>
      <c r="AJ411" s="131"/>
      <c r="AK411" s="131"/>
    </row>
    <row r="412">
      <c r="A412" s="145" t="str">
        <f>IFERROR(__xludf.DUMMYFUNCTION("""COMPUTED_VALUE"""),"Y")</f>
        <v>Y</v>
      </c>
      <c r="B412" s="146" t="str">
        <f>IFERROR(__xludf.DUMMYFUNCTION("""COMPUTED_VALUE"""),"6")</f>
        <v>6</v>
      </c>
      <c r="C412" s="146" t="str">
        <f>IFERROR(__xludf.DUMMYFUNCTION("""COMPUTED_VALUE"""),"1033-1038")</f>
        <v>1033-1038</v>
      </c>
      <c r="D412" s="147">
        <f>IFERROR(__xludf.DUMMYFUNCTION("""COMPUTED_VALUE"""),45740.0)</f>
        <v>45740</v>
      </c>
      <c r="E412" s="147">
        <f>IFERROR(__xludf.DUMMYFUNCTION("""COMPUTED_VALUE"""),45747.0)</f>
        <v>45747</v>
      </c>
      <c r="F412" s="147">
        <f>IFERROR(__xludf.DUMMYFUNCTION("""COMPUTED_VALUE"""),45768.0)</f>
        <v>45768</v>
      </c>
      <c r="G412" s="146" t="str">
        <f>IFERROR(__xludf.DUMMYFUNCTION("""COMPUTED_VALUE"""),"BRG10")</f>
        <v>BRG10</v>
      </c>
      <c r="H412" s="148">
        <f>IFERROR(__xludf.DUMMYFUNCTION("""COMPUTED_VALUE"""),409.0)</f>
        <v>409</v>
      </c>
      <c r="I412" s="148">
        <f>IFERROR(__xludf.DUMMYFUNCTION("""COMPUTED_VALUE"""),435.0)</f>
        <v>435</v>
      </c>
      <c r="J412" s="146">
        <f>IFERROR(__xludf.DUMMYFUNCTION("""COMPUTED_VALUE"""),14.0)</f>
        <v>14</v>
      </c>
      <c r="K412" s="146">
        <f>IFERROR(__xludf.DUMMYFUNCTION("""COMPUTED_VALUE"""),14.0)</f>
        <v>14</v>
      </c>
      <c r="L412" s="146">
        <f>IFERROR(__xludf.DUMMYFUNCTION("""COMPUTED_VALUE"""),290.0)</f>
        <v>290</v>
      </c>
      <c r="M412" s="146">
        <f>IFERROR(__xludf.DUMMYFUNCTION("""COMPUTED_VALUE"""),406.0)</f>
        <v>406</v>
      </c>
      <c r="N412" s="146">
        <f>IFERROR(__xludf.DUMMYFUNCTION("""COMPUTED_VALUE"""),59.0)</f>
        <v>59</v>
      </c>
      <c r="O412" s="146">
        <f>IFERROR(__xludf.DUMMYFUNCTION("""COMPUTED_VALUE"""),59.0)</f>
        <v>59</v>
      </c>
      <c r="P412" s="146">
        <f>IFERROR(__xludf.DUMMYFUNCTION("""COMPUTED_VALUE"""),259.0)</f>
        <v>259</v>
      </c>
      <c r="Q412" s="146"/>
      <c r="R412" s="146"/>
      <c r="T412" s="131" t="str">
        <f>IFERROR(__xludf.DUMMYFUNCTION("""COMPUTED_VALUE"""),"Y")</f>
        <v>Y</v>
      </c>
      <c r="U412" s="131" t="str">
        <f>IFERROR(__xludf.DUMMYFUNCTION("""COMPUTED_VALUE"""),"6")</f>
        <v>6</v>
      </c>
      <c r="V412" s="131" t="str">
        <f>IFERROR(__xludf.DUMMYFUNCTION("""COMPUTED_VALUE"""),"1039-1044")</f>
        <v>1039-1044</v>
      </c>
      <c r="W412" s="144">
        <f>IFERROR(__xludf.DUMMYFUNCTION("""COMPUTED_VALUE"""),45741.0)</f>
        <v>45741</v>
      </c>
      <c r="X412" s="144">
        <f>IFERROR(__xludf.DUMMYFUNCTION("""COMPUTED_VALUE"""),45748.0)</f>
        <v>45748</v>
      </c>
      <c r="Y412" s="144">
        <f>IFERROR(__xludf.DUMMYFUNCTION("""COMPUTED_VALUE"""),45769.0)</f>
        <v>45769</v>
      </c>
      <c r="Z412" s="131" t="str">
        <f>IFERROR(__xludf.DUMMYFUNCTION("""COMPUTED_VALUE"""),"D33-4L")</f>
        <v>D33-4L</v>
      </c>
      <c r="AA412" s="131">
        <f>IFERROR(__xludf.DUMMYFUNCTION("""COMPUTED_VALUE"""),3.0)</f>
        <v>3</v>
      </c>
      <c r="AB412" s="131">
        <f>IFERROR(__xludf.DUMMYFUNCTION("""COMPUTED_VALUE"""),155.0)</f>
        <v>155</v>
      </c>
      <c r="AC412" s="131">
        <f>IFERROR(__xludf.DUMMYFUNCTION("""COMPUTED_VALUE"""),77.0)</f>
        <v>77</v>
      </c>
      <c r="AD412" s="131">
        <f>IFERROR(__xludf.DUMMYFUNCTION("""COMPUTED_VALUE"""),77.0)</f>
        <v>77</v>
      </c>
      <c r="AE412" s="131"/>
      <c r="AF412" s="131"/>
      <c r="AG412" s="131"/>
      <c r="AH412" s="131"/>
      <c r="AI412" s="131">
        <f>IFERROR(__xludf.DUMMYFUNCTION("""COMPUTED_VALUE"""),263.0)</f>
        <v>263</v>
      </c>
      <c r="AJ412" s="131"/>
      <c r="AK412" s="131"/>
    </row>
    <row r="413">
      <c r="A413" s="145" t="str">
        <f>IFERROR(__xludf.DUMMYFUNCTION("""COMPUTED_VALUE"""),"Y")</f>
        <v>Y</v>
      </c>
      <c r="B413" s="146" t="str">
        <f>IFERROR(__xludf.DUMMYFUNCTION("""COMPUTED_VALUE"""),"6")</f>
        <v>6</v>
      </c>
      <c r="C413" s="146" t="str">
        <f>IFERROR(__xludf.DUMMYFUNCTION("""COMPUTED_VALUE"""),"1039-1044")</f>
        <v>1039-1044</v>
      </c>
      <c r="D413" s="147">
        <f>IFERROR(__xludf.DUMMYFUNCTION("""COMPUTED_VALUE"""),45741.0)</f>
        <v>45741</v>
      </c>
      <c r="E413" s="147">
        <f>IFERROR(__xludf.DUMMYFUNCTION("""COMPUTED_VALUE"""),45748.0)</f>
        <v>45748</v>
      </c>
      <c r="F413" s="147">
        <f>IFERROR(__xludf.DUMMYFUNCTION("""COMPUTED_VALUE"""),45769.0)</f>
        <v>45769</v>
      </c>
      <c r="G413" s="146" t="str">
        <f>IFERROR(__xludf.DUMMYFUNCTION("""COMPUTED_VALUE"""),"D33-4L")</f>
        <v>D33-4L</v>
      </c>
      <c r="H413" s="148">
        <f>IFERROR(__xludf.DUMMYFUNCTION("""COMPUTED_VALUE"""),3.0)</f>
        <v>3</v>
      </c>
      <c r="I413" s="148">
        <f>IFERROR(__xludf.DUMMYFUNCTION("""COMPUTED_VALUE"""),155.0)</f>
        <v>155</v>
      </c>
      <c r="J413" s="146">
        <f>IFERROR(__xludf.DUMMYFUNCTION("""COMPUTED_VALUE"""),77.0)</f>
        <v>77</v>
      </c>
      <c r="K413" s="146">
        <f>IFERROR(__xludf.DUMMYFUNCTION("""COMPUTED_VALUE"""),77.0)</f>
        <v>77</v>
      </c>
      <c r="L413" s="146"/>
      <c r="M413" s="146"/>
      <c r="N413" s="146"/>
      <c r="O413" s="146"/>
      <c r="P413" s="146">
        <f>IFERROR(__xludf.DUMMYFUNCTION("""COMPUTED_VALUE"""),263.0)</f>
        <v>263</v>
      </c>
      <c r="Q413" s="146"/>
      <c r="R413" s="146"/>
      <c r="T413" s="131" t="str">
        <f>IFERROR(__xludf.DUMMYFUNCTION("""COMPUTED_VALUE"""),"Y")</f>
        <v>Y</v>
      </c>
      <c r="U413" s="131" t="str">
        <f>IFERROR(__xludf.DUMMYFUNCTION("""COMPUTED_VALUE"""),"6")</f>
        <v>6</v>
      </c>
      <c r="V413" s="131" t="str">
        <f>IFERROR(__xludf.DUMMYFUNCTION("""COMPUTED_VALUE"""),"1039-1044")</f>
        <v>1039-1044</v>
      </c>
      <c r="W413" s="144">
        <f>IFERROR(__xludf.DUMMYFUNCTION("""COMPUTED_VALUE"""),45741.0)</f>
        <v>45741</v>
      </c>
      <c r="X413" s="144">
        <f>IFERROR(__xludf.DUMMYFUNCTION("""COMPUTED_VALUE"""),45748.0)</f>
        <v>45748</v>
      </c>
      <c r="Y413" s="144">
        <f>IFERROR(__xludf.DUMMYFUNCTION("""COMPUTED_VALUE"""),45769.0)</f>
        <v>45769</v>
      </c>
      <c r="Z413" s="131" t="str">
        <f>IFERROR(__xludf.DUMMYFUNCTION("""COMPUTED_VALUE"""),"D33-4L")</f>
        <v>D33-4L</v>
      </c>
      <c r="AA413" s="131">
        <f>IFERROR(__xludf.DUMMYFUNCTION("""COMPUTED_VALUE"""),159.0)</f>
        <v>159</v>
      </c>
      <c r="AB413" s="131">
        <f>IFERROR(__xludf.DUMMYFUNCTION("""COMPUTED_VALUE"""),205.0)</f>
        <v>205</v>
      </c>
      <c r="AC413" s="131">
        <f>IFERROR(__xludf.DUMMYFUNCTION("""COMPUTED_VALUE"""),24.0)</f>
        <v>24</v>
      </c>
      <c r="AD413" s="131">
        <f>IFERROR(__xludf.DUMMYFUNCTION("""COMPUTED_VALUE"""),24.0)</f>
        <v>24</v>
      </c>
      <c r="AE413" s="131"/>
      <c r="AF413" s="131"/>
      <c r="AG413" s="131"/>
      <c r="AH413" s="131"/>
      <c r="AI413" s="131">
        <f>IFERROR(__xludf.DUMMYFUNCTION("""COMPUTED_VALUE"""),263.0)</f>
        <v>263</v>
      </c>
      <c r="AJ413" s="131"/>
      <c r="AK413" s="131"/>
    </row>
    <row r="414">
      <c r="A414" s="145" t="str">
        <f>IFERROR(__xludf.DUMMYFUNCTION("""COMPUTED_VALUE"""),"Y")</f>
        <v>Y</v>
      </c>
      <c r="B414" s="146" t="str">
        <f>IFERROR(__xludf.DUMMYFUNCTION("""COMPUTED_VALUE"""),"6")</f>
        <v>6</v>
      </c>
      <c r="C414" s="146" t="str">
        <f>IFERROR(__xludf.DUMMYFUNCTION("""COMPUTED_VALUE"""),"1039-1044")</f>
        <v>1039-1044</v>
      </c>
      <c r="D414" s="147">
        <f>IFERROR(__xludf.DUMMYFUNCTION("""COMPUTED_VALUE"""),45741.0)</f>
        <v>45741</v>
      </c>
      <c r="E414" s="147">
        <f>IFERROR(__xludf.DUMMYFUNCTION("""COMPUTED_VALUE"""),45748.0)</f>
        <v>45748</v>
      </c>
      <c r="F414" s="147">
        <f>IFERROR(__xludf.DUMMYFUNCTION("""COMPUTED_VALUE"""),45769.0)</f>
        <v>45769</v>
      </c>
      <c r="G414" s="146" t="str">
        <f>IFERROR(__xludf.DUMMYFUNCTION("""COMPUTED_VALUE"""),"D33-4L")</f>
        <v>D33-4L</v>
      </c>
      <c r="H414" s="148">
        <f>IFERROR(__xludf.DUMMYFUNCTION("""COMPUTED_VALUE"""),159.0)</f>
        <v>159</v>
      </c>
      <c r="I414" s="148">
        <f>IFERROR(__xludf.DUMMYFUNCTION("""COMPUTED_VALUE"""),205.0)</f>
        <v>205</v>
      </c>
      <c r="J414" s="146">
        <f>IFERROR(__xludf.DUMMYFUNCTION("""COMPUTED_VALUE"""),24.0)</f>
        <v>24</v>
      </c>
      <c r="K414" s="146">
        <f>IFERROR(__xludf.DUMMYFUNCTION("""COMPUTED_VALUE"""),24.0)</f>
        <v>24</v>
      </c>
      <c r="L414" s="146"/>
      <c r="M414" s="146"/>
      <c r="N414" s="146"/>
      <c r="O414" s="146"/>
      <c r="P414" s="146">
        <f>IFERROR(__xludf.DUMMYFUNCTION("""COMPUTED_VALUE"""),263.0)</f>
        <v>263</v>
      </c>
      <c r="Q414" s="146"/>
      <c r="R414" s="146"/>
      <c r="T414" s="131" t="str">
        <f>IFERROR(__xludf.DUMMYFUNCTION("""COMPUTED_VALUE"""),"Y")</f>
        <v>Y</v>
      </c>
      <c r="U414" s="131" t="str">
        <f>IFERROR(__xludf.DUMMYFUNCTION("""COMPUTED_VALUE"""),"6")</f>
        <v>6</v>
      </c>
      <c r="V414" s="131" t="str">
        <f>IFERROR(__xludf.DUMMYFUNCTION("""COMPUTED_VALUE"""),"1039-1044")</f>
        <v>1039-1044</v>
      </c>
      <c r="W414" s="144">
        <f>IFERROR(__xludf.DUMMYFUNCTION("""COMPUTED_VALUE"""),45741.0)</f>
        <v>45741</v>
      </c>
      <c r="X414" s="144">
        <f>IFERROR(__xludf.DUMMYFUNCTION("""COMPUTED_VALUE"""),45748.0)</f>
        <v>45748</v>
      </c>
      <c r="Y414" s="144">
        <f>IFERROR(__xludf.DUMMYFUNCTION("""COMPUTED_VALUE"""),45769.0)</f>
        <v>45769</v>
      </c>
      <c r="Z414" s="131" t="str">
        <f>IFERROR(__xludf.DUMMYFUNCTION("""COMPUTED_VALUE"""),"D33-4L")</f>
        <v>D33-4L</v>
      </c>
      <c r="AA414" s="131">
        <f>IFERROR(__xludf.DUMMYFUNCTION("""COMPUTED_VALUE"""),209.0)</f>
        <v>209</v>
      </c>
      <c r="AB414" s="131">
        <f>IFERROR(__xludf.DUMMYFUNCTION("""COMPUTED_VALUE"""),237.0)</f>
        <v>237</v>
      </c>
      <c r="AC414" s="131">
        <f>IFERROR(__xludf.DUMMYFUNCTION("""COMPUTED_VALUE"""),15.0)</f>
        <v>15</v>
      </c>
      <c r="AD414" s="131">
        <f>IFERROR(__xludf.DUMMYFUNCTION("""COMPUTED_VALUE"""),15.0)</f>
        <v>15</v>
      </c>
      <c r="AE414" s="131"/>
      <c r="AF414" s="131"/>
      <c r="AG414" s="131"/>
      <c r="AH414" s="131"/>
      <c r="AI414" s="131">
        <f>IFERROR(__xludf.DUMMYFUNCTION("""COMPUTED_VALUE"""),263.0)</f>
        <v>263</v>
      </c>
      <c r="AJ414" s="131"/>
      <c r="AK414" s="131"/>
    </row>
    <row r="415">
      <c r="A415" s="145" t="str">
        <f>IFERROR(__xludf.DUMMYFUNCTION("""COMPUTED_VALUE"""),"Y")</f>
        <v>Y</v>
      </c>
      <c r="B415" s="146" t="str">
        <f>IFERROR(__xludf.DUMMYFUNCTION("""COMPUTED_VALUE"""),"6")</f>
        <v>6</v>
      </c>
      <c r="C415" s="146" t="str">
        <f>IFERROR(__xludf.DUMMYFUNCTION("""COMPUTED_VALUE"""),"1039-1044")</f>
        <v>1039-1044</v>
      </c>
      <c r="D415" s="147">
        <f>IFERROR(__xludf.DUMMYFUNCTION("""COMPUTED_VALUE"""),45741.0)</f>
        <v>45741</v>
      </c>
      <c r="E415" s="147">
        <f>IFERROR(__xludf.DUMMYFUNCTION("""COMPUTED_VALUE"""),45748.0)</f>
        <v>45748</v>
      </c>
      <c r="F415" s="147">
        <f>IFERROR(__xludf.DUMMYFUNCTION("""COMPUTED_VALUE"""),45769.0)</f>
        <v>45769</v>
      </c>
      <c r="G415" s="146" t="str">
        <f>IFERROR(__xludf.DUMMYFUNCTION("""COMPUTED_VALUE"""),"D33-4L")</f>
        <v>D33-4L</v>
      </c>
      <c r="H415" s="148">
        <f>IFERROR(__xludf.DUMMYFUNCTION("""COMPUTED_VALUE"""),209.0)</f>
        <v>209</v>
      </c>
      <c r="I415" s="148">
        <f>IFERROR(__xludf.DUMMYFUNCTION("""COMPUTED_VALUE"""),237.0)</f>
        <v>237</v>
      </c>
      <c r="J415" s="146">
        <f>IFERROR(__xludf.DUMMYFUNCTION("""COMPUTED_VALUE"""),15.0)</f>
        <v>15</v>
      </c>
      <c r="K415" s="146">
        <f>IFERROR(__xludf.DUMMYFUNCTION("""COMPUTED_VALUE"""),15.0)</f>
        <v>15</v>
      </c>
      <c r="L415" s="146"/>
      <c r="M415" s="146"/>
      <c r="N415" s="146"/>
      <c r="O415" s="146"/>
      <c r="P415" s="146">
        <f>IFERROR(__xludf.DUMMYFUNCTION("""COMPUTED_VALUE"""),263.0)</f>
        <v>263</v>
      </c>
      <c r="Q415" s="146"/>
      <c r="R415" s="146"/>
      <c r="T415" s="131" t="str">
        <f>IFERROR(__xludf.DUMMYFUNCTION("""COMPUTED_VALUE"""),"Y")</f>
        <v>Y</v>
      </c>
      <c r="U415" s="131" t="str">
        <f>IFERROR(__xludf.DUMMYFUNCTION("""COMPUTED_VALUE"""),"6")</f>
        <v>6</v>
      </c>
      <c r="V415" s="131" t="str">
        <f>IFERROR(__xludf.DUMMYFUNCTION("""COMPUTED_VALUE"""),"1045-1050")</f>
        <v>1045-1050</v>
      </c>
      <c r="W415" s="144">
        <f>IFERROR(__xludf.DUMMYFUNCTION("""COMPUTED_VALUE"""),45741.0)</f>
        <v>45741</v>
      </c>
      <c r="X415" s="144">
        <f>IFERROR(__xludf.DUMMYFUNCTION("""COMPUTED_VALUE"""),45748.0)</f>
        <v>45748</v>
      </c>
      <c r="Y415" s="144">
        <f>IFERROR(__xludf.DUMMYFUNCTION("""COMPUTED_VALUE"""),45769.0)</f>
        <v>45769</v>
      </c>
      <c r="Z415" s="131" t="str">
        <f>IFERROR(__xludf.DUMMYFUNCTION("""COMPUTED_VALUE"""),"D40-3R")</f>
        <v>D40-3R</v>
      </c>
      <c r="AA415" s="131">
        <f>IFERROR(__xludf.DUMMYFUNCTION("""COMPUTED_VALUE"""),125.0)</f>
        <v>125</v>
      </c>
      <c r="AB415" s="131">
        <f>IFERROR(__xludf.DUMMYFUNCTION("""COMPUTED_VALUE"""),151.0)</f>
        <v>151</v>
      </c>
      <c r="AC415" s="131">
        <f>IFERROR(__xludf.DUMMYFUNCTION("""COMPUTED_VALUE"""),14.0)</f>
        <v>14</v>
      </c>
      <c r="AD415" s="131">
        <f>IFERROR(__xludf.DUMMYFUNCTION("""COMPUTED_VALUE"""),14.0)</f>
        <v>14</v>
      </c>
      <c r="AE415" s="131">
        <f>IFERROR(__xludf.DUMMYFUNCTION("""COMPUTED_VALUE"""),80.0)</f>
        <v>80</v>
      </c>
      <c r="AF415" s="131">
        <f>IFERROR(__xludf.DUMMYFUNCTION("""COMPUTED_VALUE"""),102.0)</f>
        <v>102</v>
      </c>
      <c r="AG415" s="131">
        <f>IFERROR(__xludf.DUMMYFUNCTION("""COMPUTED_VALUE"""),12.0)</f>
        <v>12</v>
      </c>
      <c r="AH415" s="131">
        <f>IFERROR(__xludf.DUMMYFUNCTION("""COMPUTED_VALUE"""),12.0)</f>
        <v>12</v>
      </c>
      <c r="AI415" s="131">
        <f>IFERROR(__xludf.DUMMYFUNCTION("""COMPUTED_VALUE"""),264.0)</f>
        <v>264</v>
      </c>
      <c r="AJ415" s="131"/>
      <c r="AK415" s="131"/>
    </row>
    <row r="416">
      <c r="A416" s="145" t="str">
        <f>IFERROR(__xludf.DUMMYFUNCTION("""COMPUTED_VALUE"""),"Y")</f>
        <v>Y</v>
      </c>
      <c r="B416" s="146" t="str">
        <f>IFERROR(__xludf.DUMMYFUNCTION("""COMPUTED_VALUE"""),"6")</f>
        <v>6</v>
      </c>
      <c r="C416" s="146" t="str">
        <f>IFERROR(__xludf.DUMMYFUNCTION("""COMPUTED_VALUE"""),"1045-1050")</f>
        <v>1045-1050</v>
      </c>
      <c r="D416" s="147">
        <f>IFERROR(__xludf.DUMMYFUNCTION("""COMPUTED_VALUE"""),45741.0)</f>
        <v>45741</v>
      </c>
      <c r="E416" s="147">
        <f>IFERROR(__xludf.DUMMYFUNCTION("""COMPUTED_VALUE"""),45748.0)</f>
        <v>45748</v>
      </c>
      <c r="F416" s="147">
        <f>IFERROR(__xludf.DUMMYFUNCTION("""COMPUTED_VALUE"""),45769.0)</f>
        <v>45769</v>
      </c>
      <c r="G416" s="146" t="str">
        <f>IFERROR(__xludf.DUMMYFUNCTION("""COMPUTED_VALUE"""),"D40-3R")</f>
        <v>D40-3R</v>
      </c>
      <c r="H416" s="148">
        <f>IFERROR(__xludf.DUMMYFUNCTION("""COMPUTED_VALUE"""),125.0)</f>
        <v>125</v>
      </c>
      <c r="I416" s="148">
        <f>IFERROR(__xludf.DUMMYFUNCTION("""COMPUTED_VALUE"""),151.0)</f>
        <v>151</v>
      </c>
      <c r="J416" s="146">
        <f>IFERROR(__xludf.DUMMYFUNCTION("""COMPUTED_VALUE"""),14.0)</f>
        <v>14</v>
      </c>
      <c r="K416" s="146">
        <f>IFERROR(__xludf.DUMMYFUNCTION("""COMPUTED_VALUE"""),14.0)</f>
        <v>14</v>
      </c>
      <c r="L416" s="146">
        <f>IFERROR(__xludf.DUMMYFUNCTION("""COMPUTED_VALUE"""),80.0)</f>
        <v>80</v>
      </c>
      <c r="M416" s="146">
        <f>IFERROR(__xludf.DUMMYFUNCTION("""COMPUTED_VALUE"""),102.0)</f>
        <v>102</v>
      </c>
      <c r="N416" s="146">
        <f>IFERROR(__xludf.DUMMYFUNCTION("""COMPUTED_VALUE"""),12.0)</f>
        <v>12</v>
      </c>
      <c r="O416" s="146">
        <f>IFERROR(__xludf.DUMMYFUNCTION("""COMPUTED_VALUE"""),12.0)</f>
        <v>12</v>
      </c>
      <c r="P416" s="146">
        <f>IFERROR(__xludf.DUMMYFUNCTION("""COMPUTED_VALUE"""),264.0)</f>
        <v>264</v>
      </c>
      <c r="Q416" s="146"/>
      <c r="R416" s="146"/>
      <c r="T416" s="131" t="str">
        <f>IFERROR(__xludf.DUMMYFUNCTION("""COMPUTED_VALUE"""),"Y")</f>
        <v>Y</v>
      </c>
      <c r="U416" s="131" t="str">
        <f>IFERROR(__xludf.DUMMYFUNCTION("""COMPUTED_VALUE"""),"6")</f>
        <v>6</v>
      </c>
      <c r="V416" s="131" t="str">
        <f>IFERROR(__xludf.DUMMYFUNCTION("""COMPUTED_VALUE"""),"1045-1050")</f>
        <v>1045-1050</v>
      </c>
      <c r="W416" s="144">
        <f>IFERROR(__xludf.DUMMYFUNCTION("""COMPUTED_VALUE"""),45741.0)</f>
        <v>45741</v>
      </c>
      <c r="X416" s="144">
        <f>IFERROR(__xludf.DUMMYFUNCTION("""COMPUTED_VALUE"""),45748.0)</f>
        <v>45748</v>
      </c>
      <c r="Y416" s="144">
        <f>IFERROR(__xludf.DUMMYFUNCTION("""COMPUTED_VALUE"""),45769.0)</f>
        <v>45769</v>
      </c>
      <c r="Z416" s="131" t="str">
        <f>IFERROR(__xludf.DUMMYFUNCTION("""COMPUTED_VALUE"""),"D40-3R")</f>
        <v>D40-3R</v>
      </c>
      <c r="AA416" s="131">
        <f>IFERROR(__xludf.DUMMYFUNCTION("""COMPUTED_VALUE"""),153.0)</f>
        <v>153</v>
      </c>
      <c r="AB416" s="131">
        <f>IFERROR(__xludf.DUMMYFUNCTION("""COMPUTED_VALUE"""),173.0)</f>
        <v>173</v>
      </c>
      <c r="AC416" s="131">
        <f>IFERROR(__xludf.DUMMYFUNCTION("""COMPUTED_VALUE"""),11.0)</f>
        <v>11</v>
      </c>
      <c r="AD416" s="131">
        <f>IFERROR(__xludf.DUMMYFUNCTION("""COMPUTED_VALUE"""),11.0)</f>
        <v>11</v>
      </c>
      <c r="AE416" s="131">
        <f>IFERROR(__xludf.DUMMYFUNCTION("""COMPUTED_VALUE"""),106.0)</f>
        <v>106</v>
      </c>
      <c r="AF416" s="131">
        <f>IFERROR(__xludf.DUMMYFUNCTION("""COMPUTED_VALUE"""),120.0)</f>
        <v>120</v>
      </c>
      <c r="AG416" s="131">
        <f>IFERROR(__xludf.DUMMYFUNCTION("""COMPUTED_VALUE"""),8.0)</f>
        <v>8</v>
      </c>
      <c r="AH416" s="131">
        <f>IFERROR(__xludf.DUMMYFUNCTION("""COMPUTED_VALUE"""),8.0)</f>
        <v>8</v>
      </c>
      <c r="AI416" s="131">
        <f>IFERROR(__xludf.DUMMYFUNCTION("""COMPUTED_VALUE"""),264.0)</f>
        <v>264</v>
      </c>
      <c r="AJ416" s="131"/>
      <c r="AK416" s="131"/>
    </row>
    <row r="417">
      <c r="A417" s="145" t="str">
        <f>IFERROR(__xludf.DUMMYFUNCTION("""COMPUTED_VALUE"""),"Y")</f>
        <v>Y</v>
      </c>
      <c r="B417" s="146" t="str">
        <f>IFERROR(__xludf.DUMMYFUNCTION("""COMPUTED_VALUE"""),"6")</f>
        <v>6</v>
      </c>
      <c r="C417" s="146" t="str">
        <f>IFERROR(__xludf.DUMMYFUNCTION("""COMPUTED_VALUE"""),"1045-1050")</f>
        <v>1045-1050</v>
      </c>
      <c r="D417" s="147">
        <f>IFERROR(__xludf.DUMMYFUNCTION("""COMPUTED_VALUE"""),45741.0)</f>
        <v>45741</v>
      </c>
      <c r="E417" s="147">
        <f>IFERROR(__xludf.DUMMYFUNCTION("""COMPUTED_VALUE"""),45748.0)</f>
        <v>45748</v>
      </c>
      <c r="F417" s="147">
        <f>IFERROR(__xludf.DUMMYFUNCTION("""COMPUTED_VALUE"""),45769.0)</f>
        <v>45769</v>
      </c>
      <c r="G417" s="146" t="str">
        <f>IFERROR(__xludf.DUMMYFUNCTION("""COMPUTED_VALUE"""),"D40-3R")</f>
        <v>D40-3R</v>
      </c>
      <c r="H417" s="148">
        <f>IFERROR(__xludf.DUMMYFUNCTION("""COMPUTED_VALUE"""),153.0)</f>
        <v>153</v>
      </c>
      <c r="I417" s="148">
        <f>IFERROR(__xludf.DUMMYFUNCTION("""COMPUTED_VALUE"""),173.0)</f>
        <v>173</v>
      </c>
      <c r="J417" s="146">
        <f>IFERROR(__xludf.DUMMYFUNCTION("""COMPUTED_VALUE"""),11.0)</f>
        <v>11</v>
      </c>
      <c r="K417" s="146">
        <f>IFERROR(__xludf.DUMMYFUNCTION("""COMPUTED_VALUE"""),11.0)</f>
        <v>11</v>
      </c>
      <c r="L417" s="146">
        <f>IFERROR(__xludf.DUMMYFUNCTION("""COMPUTED_VALUE"""),106.0)</f>
        <v>106</v>
      </c>
      <c r="M417" s="146">
        <f>IFERROR(__xludf.DUMMYFUNCTION("""COMPUTED_VALUE"""),120.0)</f>
        <v>120</v>
      </c>
      <c r="N417" s="146">
        <f>IFERROR(__xludf.DUMMYFUNCTION("""COMPUTED_VALUE"""),8.0)</f>
        <v>8</v>
      </c>
      <c r="O417" s="146">
        <f>IFERROR(__xludf.DUMMYFUNCTION("""COMPUTED_VALUE"""),8.0)</f>
        <v>8</v>
      </c>
      <c r="P417" s="146">
        <f>IFERROR(__xludf.DUMMYFUNCTION("""COMPUTED_VALUE"""),264.0)</f>
        <v>264</v>
      </c>
      <c r="Q417" s="146"/>
      <c r="R417" s="146"/>
      <c r="T417" s="131" t="str">
        <f>IFERROR(__xludf.DUMMYFUNCTION("""COMPUTED_VALUE"""),"Y")</f>
        <v>Y</v>
      </c>
      <c r="U417" s="131" t="str">
        <f>IFERROR(__xludf.DUMMYFUNCTION("""COMPUTED_VALUE"""),"6")</f>
        <v>6</v>
      </c>
      <c r="V417" s="131" t="str">
        <f>IFERROR(__xludf.DUMMYFUNCTION("""COMPUTED_VALUE"""),"1045-1050")</f>
        <v>1045-1050</v>
      </c>
      <c r="W417" s="144">
        <f>IFERROR(__xludf.DUMMYFUNCTION("""COMPUTED_VALUE"""),45741.0)</f>
        <v>45741</v>
      </c>
      <c r="X417" s="144">
        <f>IFERROR(__xludf.DUMMYFUNCTION("""COMPUTED_VALUE"""),45748.0)</f>
        <v>45748</v>
      </c>
      <c r="Y417" s="144">
        <f>IFERROR(__xludf.DUMMYFUNCTION("""COMPUTED_VALUE"""),45769.0)</f>
        <v>45769</v>
      </c>
      <c r="Z417" s="131" t="str">
        <f>IFERROR(__xludf.DUMMYFUNCTION("""COMPUTED_VALUE"""),"D40-3L")</f>
        <v>D40-3L</v>
      </c>
      <c r="AA417" s="131">
        <f>IFERROR(__xludf.DUMMYFUNCTION("""COMPUTED_VALUE"""),37.0)</f>
        <v>37</v>
      </c>
      <c r="AB417" s="131">
        <f>IFERROR(__xludf.DUMMYFUNCTION("""COMPUTED_VALUE"""),53.0)</f>
        <v>53</v>
      </c>
      <c r="AC417" s="131">
        <f>IFERROR(__xludf.DUMMYFUNCTION("""COMPUTED_VALUE"""),9.0)</f>
        <v>9</v>
      </c>
      <c r="AD417" s="131">
        <f>IFERROR(__xludf.DUMMYFUNCTION("""COMPUTED_VALUE"""),9.0)</f>
        <v>9</v>
      </c>
      <c r="AE417" s="131"/>
      <c r="AF417" s="131"/>
      <c r="AG417" s="131"/>
      <c r="AH417" s="131"/>
      <c r="AI417" s="131">
        <f>IFERROR(__xludf.DUMMYFUNCTION("""COMPUTED_VALUE"""),264.0)</f>
        <v>264</v>
      </c>
      <c r="AJ417" s="131"/>
      <c r="AK417" s="131"/>
    </row>
    <row r="418">
      <c r="A418" s="145" t="str">
        <f>IFERROR(__xludf.DUMMYFUNCTION("""COMPUTED_VALUE"""),"Y")</f>
        <v>Y</v>
      </c>
      <c r="B418" s="146" t="str">
        <f>IFERROR(__xludf.DUMMYFUNCTION("""COMPUTED_VALUE"""),"6")</f>
        <v>6</v>
      </c>
      <c r="C418" s="146" t="str">
        <f>IFERROR(__xludf.DUMMYFUNCTION("""COMPUTED_VALUE"""),"1045-1050")</f>
        <v>1045-1050</v>
      </c>
      <c r="D418" s="147">
        <f>IFERROR(__xludf.DUMMYFUNCTION("""COMPUTED_VALUE"""),45741.0)</f>
        <v>45741</v>
      </c>
      <c r="E418" s="147">
        <f>IFERROR(__xludf.DUMMYFUNCTION("""COMPUTED_VALUE"""),45748.0)</f>
        <v>45748</v>
      </c>
      <c r="F418" s="147">
        <f>IFERROR(__xludf.DUMMYFUNCTION("""COMPUTED_VALUE"""),45769.0)</f>
        <v>45769</v>
      </c>
      <c r="G418" s="146" t="str">
        <f>IFERROR(__xludf.DUMMYFUNCTION("""COMPUTED_VALUE"""),"D40-3L")</f>
        <v>D40-3L</v>
      </c>
      <c r="H418" s="148">
        <f>IFERROR(__xludf.DUMMYFUNCTION("""COMPUTED_VALUE"""),37.0)</f>
        <v>37</v>
      </c>
      <c r="I418" s="148">
        <f>IFERROR(__xludf.DUMMYFUNCTION("""COMPUTED_VALUE"""),53.0)</f>
        <v>53</v>
      </c>
      <c r="J418" s="146">
        <f>IFERROR(__xludf.DUMMYFUNCTION("""COMPUTED_VALUE"""),9.0)</f>
        <v>9</v>
      </c>
      <c r="K418" s="146">
        <f>IFERROR(__xludf.DUMMYFUNCTION("""COMPUTED_VALUE"""),9.0)</f>
        <v>9</v>
      </c>
      <c r="L418" s="146"/>
      <c r="M418" s="146"/>
      <c r="N418" s="146"/>
      <c r="O418" s="146"/>
      <c r="P418" s="146">
        <f>IFERROR(__xludf.DUMMYFUNCTION("""COMPUTED_VALUE"""),264.0)</f>
        <v>264</v>
      </c>
      <c r="Q418" s="146"/>
      <c r="R418" s="146"/>
      <c r="T418" s="131" t="str">
        <f>IFERROR(__xludf.DUMMYFUNCTION("""COMPUTED_VALUE"""),"Y")</f>
        <v>Y</v>
      </c>
      <c r="U418" s="131" t="str">
        <f>IFERROR(__xludf.DUMMYFUNCTION("""COMPUTED_VALUE"""),"6")</f>
        <v>6</v>
      </c>
      <c r="V418" s="131" t="str">
        <f>IFERROR(__xludf.DUMMYFUNCTION("""COMPUTED_VALUE"""),"1045-1050")</f>
        <v>1045-1050</v>
      </c>
      <c r="W418" s="144">
        <f>IFERROR(__xludf.DUMMYFUNCTION("""COMPUTED_VALUE"""),45741.0)</f>
        <v>45741</v>
      </c>
      <c r="X418" s="144">
        <f>IFERROR(__xludf.DUMMYFUNCTION("""COMPUTED_VALUE"""),45748.0)</f>
        <v>45748</v>
      </c>
      <c r="Y418" s="144">
        <f>IFERROR(__xludf.DUMMYFUNCTION("""COMPUTED_VALUE"""),45769.0)</f>
        <v>45769</v>
      </c>
      <c r="Z418" s="131" t="str">
        <f>IFERROR(__xludf.DUMMYFUNCTION("""COMPUTED_VALUE"""),"D40-3L")</f>
        <v>D40-3L</v>
      </c>
      <c r="AA418" s="131">
        <f>IFERROR(__xludf.DUMMYFUNCTION("""COMPUTED_VALUE"""),57.0)</f>
        <v>57</v>
      </c>
      <c r="AB418" s="131">
        <f>IFERROR(__xludf.DUMMYFUNCTION("""COMPUTED_VALUE"""),105.0)</f>
        <v>105</v>
      </c>
      <c r="AC418" s="131">
        <f>IFERROR(__xludf.DUMMYFUNCTION("""COMPUTED_VALUE"""),25.0)</f>
        <v>25</v>
      </c>
      <c r="AD418" s="131">
        <f>IFERROR(__xludf.DUMMYFUNCTION("""COMPUTED_VALUE"""),25.0)</f>
        <v>25</v>
      </c>
      <c r="AE418" s="131">
        <f>IFERROR(__xludf.DUMMYFUNCTION("""COMPUTED_VALUE"""),107.0)</f>
        <v>107</v>
      </c>
      <c r="AF418" s="131">
        <f>IFERROR(__xludf.DUMMYFUNCTION("""COMPUTED_VALUE"""),107.0)</f>
        <v>107</v>
      </c>
      <c r="AG418" s="131">
        <f>IFERROR(__xludf.DUMMYFUNCTION("""COMPUTED_VALUE"""),1.0)</f>
        <v>1</v>
      </c>
      <c r="AH418" s="131">
        <f>IFERROR(__xludf.DUMMYFUNCTION("""COMPUTED_VALUE"""),1.0)</f>
        <v>1</v>
      </c>
      <c r="AI418" s="131">
        <f>IFERROR(__xludf.DUMMYFUNCTION("""COMPUTED_VALUE"""),264.0)</f>
        <v>264</v>
      </c>
      <c r="AJ418" s="131"/>
      <c r="AK418" s="131"/>
    </row>
    <row r="419">
      <c r="A419" s="145" t="str">
        <f>IFERROR(__xludf.DUMMYFUNCTION("""COMPUTED_VALUE"""),"Y")</f>
        <v>Y</v>
      </c>
      <c r="B419" s="146" t="str">
        <f>IFERROR(__xludf.DUMMYFUNCTION("""COMPUTED_VALUE"""),"6")</f>
        <v>6</v>
      </c>
      <c r="C419" s="146" t="str">
        <f>IFERROR(__xludf.DUMMYFUNCTION("""COMPUTED_VALUE"""),"1045-1050")</f>
        <v>1045-1050</v>
      </c>
      <c r="D419" s="147">
        <f>IFERROR(__xludf.DUMMYFUNCTION("""COMPUTED_VALUE"""),45741.0)</f>
        <v>45741</v>
      </c>
      <c r="E419" s="147">
        <f>IFERROR(__xludf.DUMMYFUNCTION("""COMPUTED_VALUE"""),45748.0)</f>
        <v>45748</v>
      </c>
      <c r="F419" s="147">
        <f>IFERROR(__xludf.DUMMYFUNCTION("""COMPUTED_VALUE"""),45769.0)</f>
        <v>45769</v>
      </c>
      <c r="G419" s="146" t="str">
        <f>IFERROR(__xludf.DUMMYFUNCTION("""COMPUTED_VALUE"""),"D40-3L")</f>
        <v>D40-3L</v>
      </c>
      <c r="H419" s="148">
        <f>IFERROR(__xludf.DUMMYFUNCTION("""COMPUTED_VALUE"""),57.0)</f>
        <v>57</v>
      </c>
      <c r="I419" s="148">
        <f>IFERROR(__xludf.DUMMYFUNCTION("""COMPUTED_VALUE"""),105.0)</f>
        <v>105</v>
      </c>
      <c r="J419" s="146">
        <f>IFERROR(__xludf.DUMMYFUNCTION("""COMPUTED_VALUE"""),25.0)</f>
        <v>25</v>
      </c>
      <c r="K419" s="146">
        <f>IFERROR(__xludf.DUMMYFUNCTION("""COMPUTED_VALUE"""),25.0)</f>
        <v>25</v>
      </c>
      <c r="L419" s="146">
        <f>IFERROR(__xludf.DUMMYFUNCTION("""COMPUTED_VALUE"""),107.0)</f>
        <v>107</v>
      </c>
      <c r="M419" s="146">
        <f>IFERROR(__xludf.DUMMYFUNCTION("""COMPUTED_VALUE"""),107.0)</f>
        <v>107</v>
      </c>
      <c r="N419" s="146">
        <f>IFERROR(__xludf.DUMMYFUNCTION("""COMPUTED_VALUE"""),1.0)</f>
        <v>1</v>
      </c>
      <c r="O419" s="146">
        <f>IFERROR(__xludf.DUMMYFUNCTION("""COMPUTED_VALUE"""),1.0)</f>
        <v>1</v>
      </c>
      <c r="P419" s="146">
        <f>IFERROR(__xludf.DUMMYFUNCTION("""COMPUTED_VALUE"""),264.0)</f>
        <v>264</v>
      </c>
      <c r="Q419" s="146"/>
      <c r="R419" s="146"/>
      <c r="T419" s="131" t="str">
        <f>IFERROR(__xludf.DUMMYFUNCTION("""COMPUTED_VALUE"""),"Y")</f>
        <v>Y</v>
      </c>
      <c r="U419" s="131" t="str">
        <f>IFERROR(__xludf.DUMMYFUNCTION("""COMPUTED_VALUE"""),"6")</f>
        <v>6</v>
      </c>
      <c r="V419" s="131" t="str">
        <f>IFERROR(__xludf.DUMMYFUNCTION("""COMPUTED_VALUE"""),"1057-1062")</f>
        <v>1057-1062</v>
      </c>
      <c r="W419" s="144">
        <f>IFERROR(__xludf.DUMMYFUNCTION("""COMPUTED_VALUE"""),45741.0)</f>
        <v>45741</v>
      </c>
      <c r="X419" s="144">
        <f>IFERROR(__xludf.DUMMYFUNCTION("""COMPUTED_VALUE"""),45748.0)</f>
        <v>45748</v>
      </c>
      <c r="Y419" s="144">
        <f>IFERROR(__xludf.DUMMYFUNCTION("""COMPUTED_VALUE"""),45769.0)</f>
        <v>45769</v>
      </c>
      <c r="Z419" s="131" t="str">
        <f>IFERROR(__xludf.DUMMYFUNCTION("""COMPUTED_VALUE"""),"D41-2L")</f>
        <v>D41-2L</v>
      </c>
      <c r="AA419" s="131">
        <f>IFERROR(__xludf.DUMMYFUNCTION("""COMPUTED_VALUE"""),1.0)</f>
        <v>1</v>
      </c>
      <c r="AB419" s="131">
        <f>IFERROR(__xludf.DUMMYFUNCTION("""COMPUTED_VALUE"""),205.0)</f>
        <v>205</v>
      </c>
      <c r="AC419" s="131">
        <f>IFERROR(__xludf.DUMMYFUNCTION("""COMPUTED_VALUE"""),103.0)</f>
        <v>103</v>
      </c>
      <c r="AD419" s="131">
        <f>IFERROR(__xludf.DUMMYFUNCTION("""COMPUTED_VALUE"""),103.0)</f>
        <v>103</v>
      </c>
      <c r="AE419" s="131"/>
      <c r="AF419" s="131"/>
      <c r="AG419" s="131"/>
      <c r="AH419" s="131"/>
      <c r="AI419" s="131">
        <f>IFERROR(__xludf.DUMMYFUNCTION("""COMPUTED_VALUE"""),265.0)</f>
        <v>265</v>
      </c>
      <c r="AJ419" s="131"/>
      <c r="AK419" s="131"/>
    </row>
    <row r="420">
      <c r="A420" s="145" t="str">
        <f>IFERROR(__xludf.DUMMYFUNCTION("""COMPUTED_VALUE"""),"Y")</f>
        <v>Y</v>
      </c>
      <c r="B420" s="146" t="str">
        <f>IFERROR(__xludf.DUMMYFUNCTION("""COMPUTED_VALUE"""),"6")</f>
        <v>6</v>
      </c>
      <c r="C420" s="146" t="str">
        <f>IFERROR(__xludf.DUMMYFUNCTION("""COMPUTED_VALUE"""),"1057-1062")</f>
        <v>1057-1062</v>
      </c>
      <c r="D420" s="147">
        <f>IFERROR(__xludf.DUMMYFUNCTION("""COMPUTED_VALUE"""),45741.0)</f>
        <v>45741</v>
      </c>
      <c r="E420" s="147">
        <f>IFERROR(__xludf.DUMMYFUNCTION("""COMPUTED_VALUE"""),45748.0)</f>
        <v>45748</v>
      </c>
      <c r="F420" s="147">
        <f>IFERROR(__xludf.DUMMYFUNCTION("""COMPUTED_VALUE"""),45769.0)</f>
        <v>45769</v>
      </c>
      <c r="G420" s="146" t="str">
        <f>IFERROR(__xludf.DUMMYFUNCTION("""COMPUTED_VALUE"""),"D41-2L")</f>
        <v>D41-2L</v>
      </c>
      <c r="H420" s="148">
        <f>IFERROR(__xludf.DUMMYFUNCTION("""COMPUTED_VALUE"""),1.0)</f>
        <v>1</v>
      </c>
      <c r="I420" s="148">
        <f>IFERROR(__xludf.DUMMYFUNCTION("""COMPUTED_VALUE"""),205.0)</f>
        <v>205</v>
      </c>
      <c r="J420" s="146">
        <f>IFERROR(__xludf.DUMMYFUNCTION("""COMPUTED_VALUE"""),103.0)</f>
        <v>103</v>
      </c>
      <c r="K420" s="146">
        <f>IFERROR(__xludf.DUMMYFUNCTION("""COMPUTED_VALUE"""),103.0)</f>
        <v>103</v>
      </c>
      <c r="L420" s="146"/>
      <c r="M420" s="146"/>
      <c r="N420" s="146"/>
      <c r="O420" s="146"/>
      <c r="P420" s="146">
        <f>IFERROR(__xludf.DUMMYFUNCTION("""COMPUTED_VALUE"""),265.0)</f>
        <v>265</v>
      </c>
      <c r="Q420" s="146"/>
      <c r="R420" s="146"/>
      <c r="T420" s="131" t="str">
        <f>IFERROR(__xludf.DUMMYFUNCTION("""COMPUTED_VALUE"""),"Y")</f>
        <v>Y</v>
      </c>
      <c r="U420" s="131" t="str">
        <f>IFERROR(__xludf.DUMMYFUNCTION("""COMPUTED_VALUE"""),"6")</f>
        <v>6</v>
      </c>
      <c r="V420" s="131" t="str">
        <f>IFERROR(__xludf.DUMMYFUNCTION("""COMPUTED_VALUE"""),"1051-1056")</f>
        <v>1051-1056</v>
      </c>
      <c r="W420" s="144">
        <f>IFERROR(__xludf.DUMMYFUNCTION("""COMPUTED_VALUE"""),45741.0)</f>
        <v>45741</v>
      </c>
      <c r="X420" s="144">
        <f>IFERROR(__xludf.DUMMYFUNCTION("""COMPUTED_VALUE"""),45748.0)</f>
        <v>45748</v>
      </c>
      <c r="Y420" s="144">
        <f>IFERROR(__xludf.DUMMYFUNCTION("""COMPUTED_VALUE"""),45769.0)</f>
        <v>45769</v>
      </c>
      <c r="Z420" s="131" t="str">
        <f>IFERROR(__xludf.DUMMYFUNCTION("""COMPUTED_VALUE"""),"BRG10")</f>
        <v>BRG10</v>
      </c>
      <c r="AA420" s="131">
        <f>IFERROR(__xludf.DUMMYFUNCTION("""COMPUTED_VALUE"""),437.0)</f>
        <v>437</v>
      </c>
      <c r="AB420" s="131">
        <f>IFERROR(__xludf.DUMMYFUNCTION("""COMPUTED_VALUE"""),523.0)</f>
        <v>523</v>
      </c>
      <c r="AC420" s="131">
        <f>IFERROR(__xludf.DUMMYFUNCTION("""COMPUTED_VALUE"""),44.0)</f>
        <v>44</v>
      </c>
      <c r="AD420" s="131">
        <f>IFERROR(__xludf.DUMMYFUNCTION("""COMPUTED_VALUE"""),44.0)</f>
        <v>44</v>
      </c>
      <c r="AE420" s="131">
        <f>IFERROR(__xludf.DUMMYFUNCTION("""COMPUTED_VALUE"""),408.0)</f>
        <v>408</v>
      </c>
      <c r="AF420" s="131">
        <f>IFERROR(__xludf.DUMMYFUNCTION("""COMPUTED_VALUE"""),462.0)</f>
        <v>462</v>
      </c>
      <c r="AG420" s="131">
        <f>IFERROR(__xludf.DUMMYFUNCTION("""COMPUTED_VALUE"""),28.0)</f>
        <v>28</v>
      </c>
      <c r="AH420" s="131">
        <f>IFERROR(__xludf.DUMMYFUNCTION("""COMPUTED_VALUE"""),28.0)</f>
        <v>28</v>
      </c>
      <c r="AI420" s="131">
        <f>IFERROR(__xludf.DUMMYFUNCTION("""COMPUTED_VALUE"""),262.0)</f>
        <v>262</v>
      </c>
      <c r="AJ420" s="131"/>
      <c r="AK420" s="131"/>
    </row>
    <row r="421">
      <c r="A421" s="145" t="str">
        <f>IFERROR(__xludf.DUMMYFUNCTION("""COMPUTED_VALUE"""),"Y")</f>
        <v>Y</v>
      </c>
      <c r="B421" s="146" t="str">
        <f>IFERROR(__xludf.DUMMYFUNCTION("""COMPUTED_VALUE"""),"6")</f>
        <v>6</v>
      </c>
      <c r="C421" s="146" t="str">
        <f>IFERROR(__xludf.DUMMYFUNCTION("""COMPUTED_VALUE"""),"1051-1056")</f>
        <v>1051-1056</v>
      </c>
      <c r="D421" s="147">
        <f>IFERROR(__xludf.DUMMYFUNCTION("""COMPUTED_VALUE"""),45741.0)</f>
        <v>45741</v>
      </c>
      <c r="E421" s="147">
        <f>IFERROR(__xludf.DUMMYFUNCTION("""COMPUTED_VALUE"""),45748.0)</f>
        <v>45748</v>
      </c>
      <c r="F421" s="147">
        <f>IFERROR(__xludf.DUMMYFUNCTION("""COMPUTED_VALUE"""),45769.0)</f>
        <v>45769</v>
      </c>
      <c r="G421" s="146" t="str">
        <f>IFERROR(__xludf.DUMMYFUNCTION("""COMPUTED_VALUE"""),"BRG10")</f>
        <v>BRG10</v>
      </c>
      <c r="H421" s="148">
        <f>IFERROR(__xludf.DUMMYFUNCTION("""COMPUTED_VALUE"""),437.0)</f>
        <v>437</v>
      </c>
      <c r="I421" s="148">
        <f>IFERROR(__xludf.DUMMYFUNCTION("""COMPUTED_VALUE"""),523.0)</f>
        <v>523</v>
      </c>
      <c r="J421" s="146">
        <f>IFERROR(__xludf.DUMMYFUNCTION("""COMPUTED_VALUE"""),44.0)</f>
        <v>44</v>
      </c>
      <c r="K421" s="146">
        <f>IFERROR(__xludf.DUMMYFUNCTION("""COMPUTED_VALUE"""),44.0)</f>
        <v>44</v>
      </c>
      <c r="L421" s="146">
        <f>IFERROR(__xludf.DUMMYFUNCTION("""COMPUTED_VALUE"""),408.0)</f>
        <v>408</v>
      </c>
      <c r="M421" s="146">
        <f>IFERROR(__xludf.DUMMYFUNCTION("""COMPUTED_VALUE"""),462.0)</f>
        <v>462</v>
      </c>
      <c r="N421" s="146">
        <f>IFERROR(__xludf.DUMMYFUNCTION("""COMPUTED_VALUE"""),28.0)</f>
        <v>28</v>
      </c>
      <c r="O421" s="146">
        <f>IFERROR(__xludf.DUMMYFUNCTION("""COMPUTED_VALUE"""),28.0)</f>
        <v>28</v>
      </c>
      <c r="P421" s="146">
        <f>IFERROR(__xludf.DUMMYFUNCTION("""COMPUTED_VALUE"""),262.0)</f>
        <v>262</v>
      </c>
      <c r="Q421" s="146"/>
      <c r="R421" s="146"/>
      <c r="T421" s="131" t="str">
        <f>IFERROR(__xludf.DUMMYFUNCTION("""COMPUTED_VALUE"""),"Y")</f>
        <v>Y</v>
      </c>
      <c r="U421" s="131" t="str">
        <f>IFERROR(__xludf.DUMMYFUNCTION("""COMPUTED_VALUE"""),"6")</f>
        <v>6</v>
      </c>
      <c r="V421" s="131" t="str">
        <f>IFERROR(__xludf.DUMMYFUNCTION("""COMPUTED_VALUE"""),"1063-1068")</f>
        <v>1063-1068</v>
      </c>
      <c r="W421" s="144">
        <f>IFERROR(__xludf.DUMMYFUNCTION("""COMPUTED_VALUE"""),45742.0)</f>
        <v>45742</v>
      </c>
      <c r="X421" s="144">
        <f>IFERROR(__xludf.DUMMYFUNCTION("""COMPUTED_VALUE"""),45749.0)</f>
        <v>45749</v>
      </c>
      <c r="Y421" s="144">
        <f>IFERROR(__xludf.DUMMYFUNCTION("""COMPUTED_VALUE"""),45770.0)</f>
        <v>45770</v>
      </c>
      <c r="Z421" s="131" t="str">
        <f>IFERROR(__xludf.DUMMYFUNCTION("""COMPUTED_VALUE"""),"D33-4L")</f>
        <v>D33-4L</v>
      </c>
      <c r="AA421" s="131">
        <f>IFERROR(__xludf.DUMMYFUNCTION("""COMPUTED_VALUE"""),239.0)</f>
        <v>239</v>
      </c>
      <c r="AB421" s="131">
        <f>IFERROR(__xludf.DUMMYFUNCTION("""COMPUTED_VALUE"""),255.0)</f>
        <v>255</v>
      </c>
      <c r="AC421" s="131">
        <f>IFERROR(__xludf.DUMMYFUNCTION("""COMPUTED_VALUE"""),9.0)</f>
        <v>9</v>
      </c>
      <c r="AD421" s="131">
        <f>IFERROR(__xludf.DUMMYFUNCTION("""COMPUTED_VALUE"""),9.0)</f>
        <v>9</v>
      </c>
      <c r="AE421" s="131"/>
      <c r="AF421" s="131"/>
      <c r="AG421" s="131"/>
      <c r="AH421" s="131"/>
      <c r="AI421" s="131">
        <f>IFERROR(__xludf.DUMMYFUNCTION("""COMPUTED_VALUE"""),266.0)</f>
        <v>266</v>
      </c>
      <c r="AJ421" s="131"/>
      <c r="AK421" s="131"/>
    </row>
    <row r="422">
      <c r="A422" s="145" t="str">
        <f>IFERROR(__xludf.DUMMYFUNCTION("""COMPUTED_VALUE"""),"Y")</f>
        <v>Y</v>
      </c>
      <c r="B422" s="146" t="str">
        <f>IFERROR(__xludf.DUMMYFUNCTION("""COMPUTED_VALUE"""),"6")</f>
        <v>6</v>
      </c>
      <c r="C422" s="146" t="str">
        <f>IFERROR(__xludf.DUMMYFUNCTION("""COMPUTED_VALUE"""),"1063-1068")</f>
        <v>1063-1068</v>
      </c>
      <c r="D422" s="147">
        <f>IFERROR(__xludf.DUMMYFUNCTION("""COMPUTED_VALUE"""),45742.0)</f>
        <v>45742</v>
      </c>
      <c r="E422" s="147">
        <f>IFERROR(__xludf.DUMMYFUNCTION("""COMPUTED_VALUE"""),45749.0)</f>
        <v>45749</v>
      </c>
      <c r="F422" s="147">
        <f>IFERROR(__xludf.DUMMYFUNCTION("""COMPUTED_VALUE"""),45770.0)</f>
        <v>45770</v>
      </c>
      <c r="G422" s="146" t="str">
        <f>IFERROR(__xludf.DUMMYFUNCTION("""COMPUTED_VALUE"""),"D33-4L")</f>
        <v>D33-4L</v>
      </c>
      <c r="H422" s="148">
        <f>IFERROR(__xludf.DUMMYFUNCTION("""COMPUTED_VALUE"""),239.0)</f>
        <v>239</v>
      </c>
      <c r="I422" s="148">
        <f>IFERROR(__xludf.DUMMYFUNCTION("""COMPUTED_VALUE"""),255.0)</f>
        <v>255</v>
      </c>
      <c r="J422" s="146">
        <f>IFERROR(__xludf.DUMMYFUNCTION("""COMPUTED_VALUE"""),9.0)</f>
        <v>9</v>
      </c>
      <c r="K422" s="146">
        <f>IFERROR(__xludf.DUMMYFUNCTION("""COMPUTED_VALUE"""),9.0)</f>
        <v>9</v>
      </c>
      <c r="L422" s="146"/>
      <c r="M422" s="146"/>
      <c r="N422" s="146"/>
      <c r="O422" s="146"/>
      <c r="P422" s="146">
        <f>IFERROR(__xludf.DUMMYFUNCTION("""COMPUTED_VALUE"""),266.0)</f>
        <v>266</v>
      </c>
      <c r="Q422" s="146"/>
      <c r="R422" s="146"/>
      <c r="T422" s="131" t="str">
        <f>IFERROR(__xludf.DUMMYFUNCTION("""COMPUTED_VALUE"""),"Y")</f>
        <v>Y</v>
      </c>
      <c r="U422" s="131" t="str">
        <f>IFERROR(__xludf.DUMMYFUNCTION("""COMPUTED_VALUE"""),"6")</f>
        <v>6</v>
      </c>
      <c r="V422" s="131" t="str">
        <f>IFERROR(__xludf.DUMMYFUNCTION("""COMPUTED_VALUE"""),"1063-1068")</f>
        <v>1063-1068</v>
      </c>
      <c r="W422" s="144">
        <f>IFERROR(__xludf.DUMMYFUNCTION("""COMPUTED_VALUE"""),45742.0)</f>
        <v>45742</v>
      </c>
      <c r="X422" s="144">
        <f>IFERROR(__xludf.DUMMYFUNCTION("""COMPUTED_VALUE"""),45749.0)</f>
        <v>45749</v>
      </c>
      <c r="Y422" s="144">
        <f>IFERROR(__xludf.DUMMYFUNCTION("""COMPUTED_VALUE"""),45770.0)</f>
        <v>45770</v>
      </c>
      <c r="Z422" s="131" t="str">
        <f>IFERROR(__xludf.DUMMYFUNCTION("""COMPUTED_VALUE"""),"D33-4L")</f>
        <v>D33-4L</v>
      </c>
      <c r="AA422" s="131">
        <f>IFERROR(__xludf.DUMMYFUNCTION("""COMPUTED_VALUE"""),259.0)</f>
        <v>259</v>
      </c>
      <c r="AB422" s="131">
        <f>IFERROR(__xludf.DUMMYFUNCTION("""COMPUTED_VALUE"""),267.0)</f>
        <v>267</v>
      </c>
      <c r="AC422" s="131">
        <f>IFERROR(__xludf.DUMMYFUNCTION("""COMPUTED_VALUE"""),5.0)</f>
        <v>5</v>
      </c>
      <c r="AD422" s="131">
        <f>IFERROR(__xludf.DUMMYFUNCTION("""COMPUTED_VALUE"""),5.0)</f>
        <v>5</v>
      </c>
      <c r="AE422" s="131">
        <f>IFERROR(__xludf.DUMMYFUNCTION("""COMPUTED_VALUE"""),270.0)</f>
        <v>270</v>
      </c>
      <c r="AF422" s="131">
        <f>IFERROR(__xludf.DUMMYFUNCTION("""COMPUTED_VALUE"""),446.0)</f>
        <v>446</v>
      </c>
      <c r="AG422" s="131">
        <f>IFERROR(__xludf.DUMMYFUNCTION("""COMPUTED_VALUE"""),89.0)</f>
        <v>89</v>
      </c>
      <c r="AH422" s="131">
        <f>IFERROR(__xludf.DUMMYFUNCTION("""COMPUTED_VALUE"""),89.0)</f>
        <v>89</v>
      </c>
      <c r="AI422" s="131">
        <f>IFERROR(__xludf.DUMMYFUNCTION("""COMPUTED_VALUE"""),266.0)</f>
        <v>266</v>
      </c>
      <c r="AJ422" s="131"/>
      <c r="AK422" s="131"/>
    </row>
    <row r="423">
      <c r="A423" s="145" t="str">
        <f>IFERROR(__xludf.DUMMYFUNCTION("""COMPUTED_VALUE"""),"Y")</f>
        <v>Y</v>
      </c>
      <c r="B423" s="146" t="str">
        <f>IFERROR(__xludf.DUMMYFUNCTION("""COMPUTED_VALUE"""),"6")</f>
        <v>6</v>
      </c>
      <c r="C423" s="146" t="str">
        <f>IFERROR(__xludf.DUMMYFUNCTION("""COMPUTED_VALUE"""),"1063-1068")</f>
        <v>1063-1068</v>
      </c>
      <c r="D423" s="147">
        <f>IFERROR(__xludf.DUMMYFUNCTION("""COMPUTED_VALUE"""),45742.0)</f>
        <v>45742</v>
      </c>
      <c r="E423" s="147">
        <f>IFERROR(__xludf.DUMMYFUNCTION("""COMPUTED_VALUE"""),45749.0)</f>
        <v>45749</v>
      </c>
      <c r="F423" s="147">
        <f>IFERROR(__xludf.DUMMYFUNCTION("""COMPUTED_VALUE"""),45770.0)</f>
        <v>45770</v>
      </c>
      <c r="G423" s="146" t="str">
        <f>IFERROR(__xludf.DUMMYFUNCTION("""COMPUTED_VALUE"""),"D33-4L")</f>
        <v>D33-4L</v>
      </c>
      <c r="H423" s="148">
        <f>IFERROR(__xludf.DUMMYFUNCTION("""COMPUTED_VALUE"""),259.0)</f>
        <v>259</v>
      </c>
      <c r="I423" s="148">
        <f>IFERROR(__xludf.DUMMYFUNCTION("""COMPUTED_VALUE"""),267.0)</f>
        <v>267</v>
      </c>
      <c r="J423" s="146">
        <f>IFERROR(__xludf.DUMMYFUNCTION("""COMPUTED_VALUE"""),5.0)</f>
        <v>5</v>
      </c>
      <c r="K423" s="146">
        <f>IFERROR(__xludf.DUMMYFUNCTION("""COMPUTED_VALUE"""),5.0)</f>
        <v>5</v>
      </c>
      <c r="L423" s="146">
        <f>IFERROR(__xludf.DUMMYFUNCTION("""COMPUTED_VALUE"""),270.0)</f>
        <v>270</v>
      </c>
      <c r="M423" s="146">
        <f>IFERROR(__xludf.DUMMYFUNCTION("""COMPUTED_VALUE"""),446.0)</f>
        <v>446</v>
      </c>
      <c r="N423" s="146">
        <f>IFERROR(__xludf.DUMMYFUNCTION("""COMPUTED_VALUE"""),89.0)</f>
        <v>89</v>
      </c>
      <c r="O423" s="146">
        <f>IFERROR(__xludf.DUMMYFUNCTION("""COMPUTED_VALUE"""),89.0)</f>
        <v>89</v>
      </c>
      <c r="P423" s="146">
        <f>IFERROR(__xludf.DUMMYFUNCTION("""COMPUTED_VALUE"""),266.0)</f>
        <v>266</v>
      </c>
      <c r="Q423" s="146"/>
      <c r="R423" s="146"/>
      <c r="T423" s="131" t="str">
        <f>IFERROR(__xludf.DUMMYFUNCTION("""COMPUTED_VALUE"""),"Y")</f>
        <v>Y</v>
      </c>
      <c r="U423" s="131" t="str">
        <f>IFERROR(__xludf.DUMMYFUNCTION("""COMPUTED_VALUE"""),"6")</f>
        <v>6</v>
      </c>
      <c r="V423" s="131" t="str">
        <f>IFERROR(__xludf.DUMMYFUNCTION("""COMPUTED_VALUE"""),"1069-1074")</f>
        <v>1069-1074</v>
      </c>
      <c r="W423" s="144">
        <f>IFERROR(__xludf.DUMMYFUNCTION("""COMPUTED_VALUE"""),45742.0)</f>
        <v>45742</v>
      </c>
      <c r="X423" s="144">
        <f>IFERROR(__xludf.DUMMYFUNCTION("""COMPUTED_VALUE"""),45749.0)</f>
        <v>45749</v>
      </c>
      <c r="Y423" s="144">
        <f>IFERROR(__xludf.DUMMYFUNCTION("""COMPUTED_VALUE"""),45770.0)</f>
        <v>45770</v>
      </c>
      <c r="Z423" s="131" t="str">
        <f>IFERROR(__xludf.DUMMYFUNCTION("""COMPUTED_VALUE"""),"D40-3R")</f>
        <v>D40-3R</v>
      </c>
      <c r="AA423" s="131"/>
      <c r="AB423" s="131"/>
      <c r="AC423" s="131"/>
      <c r="AD423" s="131"/>
      <c r="AE423" s="131">
        <f>IFERROR(__xludf.DUMMYFUNCTION("""COMPUTED_VALUE"""),56.0)</f>
        <v>56</v>
      </c>
      <c r="AF423" s="131">
        <f>IFERROR(__xludf.DUMMYFUNCTION("""COMPUTED_VALUE"""),78.0)</f>
        <v>78</v>
      </c>
      <c r="AG423" s="131">
        <f>IFERROR(__xludf.DUMMYFUNCTION("""COMPUTED_VALUE"""),12.0)</f>
        <v>12</v>
      </c>
      <c r="AH423" s="131">
        <f>IFERROR(__xludf.DUMMYFUNCTION("""COMPUTED_VALUE"""),12.0)</f>
        <v>12</v>
      </c>
      <c r="AI423" s="131">
        <f>IFERROR(__xludf.DUMMYFUNCTION("""COMPUTED_VALUE"""),267.0)</f>
        <v>267</v>
      </c>
      <c r="AJ423" s="131"/>
      <c r="AK423" s="131"/>
    </row>
    <row r="424">
      <c r="A424" s="145" t="str">
        <f>IFERROR(__xludf.DUMMYFUNCTION("""COMPUTED_VALUE"""),"Y")</f>
        <v>Y</v>
      </c>
      <c r="B424" s="146" t="str">
        <f>IFERROR(__xludf.DUMMYFUNCTION("""COMPUTED_VALUE"""),"6")</f>
        <v>6</v>
      </c>
      <c r="C424" s="146" t="str">
        <f>IFERROR(__xludf.DUMMYFUNCTION("""COMPUTED_VALUE"""),"1069-1074")</f>
        <v>1069-1074</v>
      </c>
      <c r="D424" s="147">
        <f>IFERROR(__xludf.DUMMYFUNCTION("""COMPUTED_VALUE"""),45742.0)</f>
        <v>45742</v>
      </c>
      <c r="E424" s="147">
        <f>IFERROR(__xludf.DUMMYFUNCTION("""COMPUTED_VALUE"""),45749.0)</f>
        <v>45749</v>
      </c>
      <c r="F424" s="147">
        <f>IFERROR(__xludf.DUMMYFUNCTION("""COMPUTED_VALUE"""),45770.0)</f>
        <v>45770</v>
      </c>
      <c r="G424" s="146" t="str">
        <f>IFERROR(__xludf.DUMMYFUNCTION("""COMPUTED_VALUE"""),"D40-3R")</f>
        <v>D40-3R</v>
      </c>
      <c r="H424" s="148"/>
      <c r="I424" s="148"/>
      <c r="J424" s="146"/>
      <c r="K424" s="146"/>
      <c r="L424" s="146">
        <f>IFERROR(__xludf.DUMMYFUNCTION("""COMPUTED_VALUE"""),56.0)</f>
        <v>56</v>
      </c>
      <c r="M424" s="146">
        <f>IFERROR(__xludf.DUMMYFUNCTION("""COMPUTED_VALUE"""),78.0)</f>
        <v>78</v>
      </c>
      <c r="N424" s="146">
        <f>IFERROR(__xludf.DUMMYFUNCTION("""COMPUTED_VALUE"""),12.0)</f>
        <v>12</v>
      </c>
      <c r="O424" s="146">
        <f>IFERROR(__xludf.DUMMYFUNCTION("""COMPUTED_VALUE"""),12.0)</f>
        <v>12</v>
      </c>
      <c r="P424" s="146">
        <f>IFERROR(__xludf.DUMMYFUNCTION("""COMPUTED_VALUE"""),267.0)</f>
        <v>267</v>
      </c>
      <c r="Q424" s="146"/>
      <c r="R424" s="146"/>
      <c r="T424" s="131" t="str">
        <f>IFERROR(__xludf.DUMMYFUNCTION("""COMPUTED_VALUE"""),"Y")</f>
        <v>Y</v>
      </c>
      <c r="U424" s="131" t="str">
        <f>IFERROR(__xludf.DUMMYFUNCTION("""COMPUTED_VALUE"""),"6")</f>
        <v>6</v>
      </c>
      <c r="V424" s="131" t="str">
        <f>IFERROR(__xludf.DUMMYFUNCTION("""COMPUTED_VALUE"""),"1069-1074")</f>
        <v>1069-1074</v>
      </c>
      <c r="W424" s="144">
        <f>IFERROR(__xludf.DUMMYFUNCTION("""COMPUTED_VALUE"""),45742.0)</f>
        <v>45742</v>
      </c>
      <c r="X424" s="144">
        <f>IFERROR(__xludf.DUMMYFUNCTION("""COMPUTED_VALUE"""),45749.0)</f>
        <v>45749</v>
      </c>
      <c r="Y424" s="144">
        <f>IFERROR(__xludf.DUMMYFUNCTION("""COMPUTED_VALUE"""),45770.0)</f>
        <v>45770</v>
      </c>
      <c r="Z424" s="131" t="str">
        <f>IFERROR(__xludf.DUMMYFUNCTION("""COMPUTED_VALUE"""),"D40-3R")</f>
        <v>D40-3R</v>
      </c>
      <c r="AA424" s="131"/>
      <c r="AB424" s="131"/>
      <c r="AC424" s="131"/>
      <c r="AD424" s="131"/>
      <c r="AE424" s="131">
        <f>IFERROR(__xludf.DUMMYFUNCTION("""COMPUTED_VALUE"""),122.0)</f>
        <v>122</v>
      </c>
      <c r="AF424" s="131">
        <f>IFERROR(__xludf.DUMMYFUNCTION("""COMPUTED_VALUE"""),150.0)</f>
        <v>150</v>
      </c>
      <c r="AG424" s="131">
        <f>IFERROR(__xludf.DUMMYFUNCTION("""COMPUTED_VALUE"""),15.0)</f>
        <v>15</v>
      </c>
      <c r="AH424" s="131">
        <f>IFERROR(__xludf.DUMMYFUNCTION("""COMPUTED_VALUE"""),15.0)</f>
        <v>15</v>
      </c>
      <c r="AI424" s="131">
        <f>IFERROR(__xludf.DUMMYFUNCTION("""COMPUTED_VALUE"""),267.0)</f>
        <v>267</v>
      </c>
      <c r="AJ424" s="131"/>
      <c r="AK424" s="131"/>
    </row>
    <row r="425">
      <c r="A425" s="145" t="str">
        <f>IFERROR(__xludf.DUMMYFUNCTION("""COMPUTED_VALUE"""),"Y")</f>
        <v>Y</v>
      </c>
      <c r="B425" s="146" t="str">
        <f>IFERROR(__xludf.DUMMYFUNCTION("""COMPUTED_VALUE"""),"6")</f>
        <v>6</v>
      </c>
      <c r="C425" s="146" t="str">
        <f>IFERROR(__xludf.DUMMYFUNCTION("""COMPUTED_VALUE"""),"1069-1074")</f>
        <v>1069-1074</v>
      </c>
      <c r="D425" s="147">
        <f>IFERROR(__xludf.DUMMYFUNCTION("""COMPUTED_VALUE"""),45742.0)</f>
        <v>45742</v>
      </c>
      <c r="E425" s="147">
        <f>IFERROR(__xludf.DUMMYFUNCTION("""COMPUTED_VALUE"""),45749.0)</f>
        <v>45749</v>
      </c>
      <c r="F425" s="147">
        <f>IFERROR(__xludf.DUMMYFUNCTION("""COMPUTED_VALUE"""),45770.0)</f>
        <v>45770</v>
      </c>
      <c r="G425" s="146" t="str">
        <f>IFERROR(__xludf.DUMMYFUNCTION("""COMPUTED_VALUE"""),"D40-3R")</f>
        <v>D40-3R</v>
      </c>
      <c r="H425" s="148"/>
      <c r="I425" s="148"/>
      <c r="J425" s="146"/>
      <c r="K425" s="146"/>
      <c r="L425" s="146">
        <f>IFERROR(__xludf.DUMMYFUNCTION("""COMPUTED_VALUE"""),122.0)</f>
        <v>122</v>
      </c>
      <c r="M425" s="146">
        <f>IFERROR(__xludf.DUMMYFUNCTION("""COMPUTED_VALUE"""),150.0)</f>
        <v>150</v>
      </c>
      <c r="N425" s="146">
        <f>IFERROR(__xludf.DUMMYFUNCTION("""COMPUTED_VALUE"""),15.0)</f>
        <v>15</v>
      </c>
      <c r="O425" s="146">
        <f>IFERROR(__xludf.DUMMYFUNCTION("""COMPUTED_VALUE"""),15.0)</f>
        <v>15</v>
      </c>
      <c r="P425" s="146">
        <f>IFERROR(__xludf.DUMMYFUNCTION("""COMPUTED_VALUE"""),267.0)</f>
        <v>267</v>
      </c>
      <c r="Q425" s="146"/>
      <c r="R425" s="146"/>
      <c r="T425" s="131" t="str">
        <f>IFERROR(__xludf.DUMMYFUNCTION("""COMPUTED_VALUE"""),"Y")</f>
        <v>Y</v>
      </c>
      <c r="U425" s="131" t="str">
        <f>IFERROR(__xludf.DUMMYFUNCTION("""COMPUTED_VALUE"""),"6")</f>
        <v>6</v>
      </c>
      <c r="V425" s="131" t="str">
        <f>IFERROR(__xludf.DUMMYFUNCTION("""COMPUTED_VALUE"""),"1069-1074")</f>
        <v>1069-1074</v>
      </c>
      <c r="W425" s="144">
        <f>IFERROR(__xludf.DUMMYFUNCTION("""COMPUTED_VALUE"""),45742.0)</f>
        <v>45742</v>
      </c>
      <c r="X425" s="144">
        <f>IFERROR(__xludf.DUMMYFUNCTION("""COMPUTED_VALUE"""),45749.0)</f>
        <v>45749</v>
      </c>
      <c r="Y425" s="144">
        <f>IFERROR(__xludf.DUMMYFUNCTION("""COMPUTED_VALUE"""),45770.0)</f>
        <v>45770</v>
      </c>
      <c r="Z425" s="131" t="str">
        <f>IFERROR(__xludf.DUMMYFUNCTION("""COMPUTED_VALUE"""),"D40-3R")</f>
        <v>D40-3R</v>
      </c>
      <c r="AA425" s="131"/>
      <c r="AB425" s="131"/>
      <c r="AC425" s="131"/>
      <c r="AD425" s="131"/>
      <c r="AE425" s="131">
        <f>IFERROR(__xludf.DUMMYFUNCTION("""COMPUTED_VALUE"""),154.0)</f>
        <v>154</v>
      </c>
      <c r="AF425" s="131">
        <f>IFERROR(__xludf.DUMMYFUNCTION("""COMPUTED_VALUE"""),172.0)</f>
        <v>172</v>
      </c>
      <c r="AG425" s="131">
        <f>IFERROR(__xludf.DUMMYFUNCTION("""COMPUTED_VALUE"""),10.0)</f>
        <v>10</v>
      </c>
      <c r="AH425" s="131">
        <f>IFERROR(__xludf.DUMMYFUNCTION("""COMPUTED_VALUE"""),10.0)</f>
        <v>10</v>
      </c>
      <c r="AI425" s="131">
        <f>IFERROR(__xludf.DUMMYFUNCTION("""COMPUTED_VALUE"""),267.0)</f>
        <v>267</v>
      </c>
      <c r="AJ425" s="131"/>
      <c r="AK425" s="131"/>
    </row>
    <row r="426">
      <c r="A426" s="145" t="str">
        <f>IFERROR(__xludf.DUMMYFUNCTION("""COMPUTED_VALUE"""),"Y")</f>
        <v>Y</v>
      </c>
      <c r="B426" s="146" t="str">
        <f>IFERROR(__xludf.DUMMYFUNCTION("""COMPUTED_VALUE"""),"6")</f>
        <v>6</v>
      </c>
      <c r="C426" s="146" t="str">
        <f>IFERROR(__xludf.DUMMYFUNCTION("""COMPUTED_VALUE"""),"1069-1074")</f>
        <v>1069-1074</v>
      </c>
      <c r="D426" s="147">
        <f>IFERROR(__xludf.DUMMYFUNCTION("""COMPUTED_VALUE"""),45742.0)</f>
        <v>45742</v>
      </c>
      <c r="E426" s="147">
        <f>IFERROR(__xludf.DUMMYFUNCTION("""COMPUTED_VALUE"""),45749.0)</f>
        <v>45749</v>
      </c>
      <c r="F426" s="147">
        <f>IFERROR(__xludf.DUMMYFUNCTION("""COMPUTED_VALUE"""),45770.0)</f>
        <v>45770</v>
      </c>
      <c r="G426" s="146" t="str">
        <f>IFERROR(__xludf.DUMMYFUNCTION("""COMPUTED_VALUE"""),"D40-3R")</f>
        <v>D40-3R</v>
      </c>
      <c r="H426" s="148"/>
      <c r="I426" s="148"/>
      <c r="J426" s="146"/>
      <c r="K426" s="146"/>
      <c r="L426" s="146">
        <f>IFERROR(__xludf.DUMMYFUNCTION("""COMPUTED_VALUE"""),154.0)</f>
        <v>154</v>
      </c>
      <c r="M426" s="146">
        <f>IFERROR(__xludf.DUMMYFUNCTION("""COMPUTED_VALUE"""),172.0)</f>
        <v>172</v>
      </c>
      <c r="N426" s="146">
        <f>IFERROR(__xludf.DUMMYFUNCTION("""COMPUTED_VALUE"""),10.0)</f>
        <v>10</v>
      </c>
      <c r="O426" s="146">
        <f>IFERROR(__xludf.DUMMYFUNCTION("""COMPUTED_VALUE"""),10.0)</f>
        <v>10</v>
      </c>
      <c r="P426" s="146">
        <f>IFERROR(__xludf.DUMMYFUNCTION("""COMPUTED_VALUE"""),267.0)</f>
        <v>267</v>
      </c>
      <c r="Q426" s="146"/>
      <c r="R426" s="146"/>
      <c r="T426" s="131" t="str">
        <f>IFERROR(__xludf.DUMMYFUNCTION("""COMPUTED_VALUE"""),"Y")</f>
        <v>Y</v>
      </c>
      <c r="U426" s="131" t="str">
        <f>IFERROR(__xludf.DUMMYFUNCTION("""COMPUTED_VALUE"""),"6")</f>
        <v>6</v>
      </c>
      <c r="V426" s="131" t="str">
        <f>IFERROR(__xludf.DUMMYFUNCTION("""COMPUTED_VALUE"""),"1069-1074")</f>
        <v>1069-1074</v>
      </c>
      <c r="W426" s="144">
        <f>IFERROR(__xludf.DUMMYFUNCTION("""COMPUTED_VALUE"""),45742.0)</f>
        <v>45742</v>
      </c>
      <c r="X426" s="144">
        <f>IFERROR(__xludf.DUMMYFUNCTION("""COMPUTED_VALUE"""),45749.0)</f>
        <v>45749</v>
      </c>
      <c r="Y426" s="144">
        <f>IFERROR(__xludf.DUMMYFUNCTION("""COMPUTED_VALUE"""),45770.0)</f>
        <v>45770</v>
      </c>
      <c r="Z426" s="131" t="str">
        <f>IFERROR(__xludf.DUMMYFUNCTION("""COMPUTED_VALUE"""),"D40-3R")</f>
        <v>D40-3R</v>
      </c>
      <c r="AA426" s="131"/>
      <c r="AB426" s="131"/>
      <c r="AC426" s="131"/>
      <c r="AD426" s="131"/>
      <c r="AE426" s="131">
        <f>IFERROR(__xludf.DUMMYFUNCTION("""COMPUTED_VALUE"""),52.0)</f>
        <v>52</v>
      </c>
      <c r="AF426" s="131">
        <f>IFERROR(__xludf.DUMMYFUNCTION("""COMPUTED_VALUE"""),52.0)</f>
        <v>52</v>
      </c>
      <c r="AG426" s="131">
        <f>IFERROR(__xludf.DUMMYFUNCTION("""COMPUTED_VALUE"""),1.0)</f>
        <v>1</v>
      </c>
      <c r="AH426" s="131">
        <f>IFERROR(__xludf.DUMMYFUNCTION("""COMPUTED_VALUE"""),1.0)</f>
        <v>1</v>
      </c>
      <c r="AI426" s="131">
        <f>IFERROR(__xludf.DUMMYFUNCTION("""COMPUTED_VALUE"""),267.0)</f>
        <v>267</v>
      </c>
      <c r="AJ426" s="131"/>
      <c r="AK426" s="131"/>
    </row>
    <row r="427">
      <c r="A427" s="145" t="str">
        <f>IFERROR(__xludf.DUMMYFUNCTION("""COMPUTED_VALUE"""),"Y")</f>
        <v>Y</v>
      </c>
      <c r="B427" s="146" t="str">
        <f>IFERROR(__xludf.DUMMYFUNCTION("""COMPUTED_VALUE"""),"6")</f>
        <v>6</v>
      </c>
      <c r="C427" s="146" t="str">
        <f>IFERROR(__xludf.DUMMYFUNCTION("""COMPUTED_VALUE"""),"1069-1074")</f>
        <v>1069-1074</v>
      </c>
      <c r="D427" s="147">
        <f>IFERROR(__xludf.DUMMYFUNCTION("""COMPUTED_VALUE"""),45742.0)</f>
        <v>45742</v>
      </c>
      <c r="E427" s="147">
        <f>IFERROR(__xludf.DUMMYFUNCTION("""COMPUTED_VALUE"""),45749.0)</f>
        <v>45749</v>
      </c>
      <c r="F427" s="147">
        <f>IFERROR(__xludf.DUMMYFUNCTION("""COMPUTED_VALUE"""),45770.0)</f>
        <v>45770</v>
      </c>
      <c r="G427" s="146" t="str">
        <f>IFERROR(__xludf.DUMMYFUNCTION("""COMPUTED_VALUE"""),"D40-3R")</f>
        <v>D40-3R</v>
      </c>
      <c r="H427" s="148"/>
      <c r="I427" s="148"/>
      <c r="J427" s="146"/>
      <c r="K427" s="146"/>
      <c r="L427" s="146">
        <f>IFERROR(__xludf.DUMMYFUNCTION("""COMPUTED_VALUE"""),52.0)</f>
        <v>52</v>
      </c>
      <c r="M427" s="146">
        <f>IFERROR(__xludf.DUMMYFUNCTION("""COMPUTED_VALUE"""),52.0)</f>
        <v>52</v>
      </c>
      <c r="N427" s="146">
        <f>IFERROR(__xludf.DUMMYFUNCTION("""COMPUTED_VALUE"""),1.0)</f>
        <v>1</v>
      </c>
      <c r="O427" s="146">
        <f>IFERROR(__xludf.DUMMYFUNCTION("""COMPUTED_VALUE"""),1.0)</f>
        <v>1</v>
      </c>
      <c r="P427" s="146">
        <f>IFERROR(__xludf.DUMMYFUNCTION("""COMPUTED_VALUE"""),267.0)</f>
        <v>267</v>
      </c>
      <c r="Q427" s="146"/>
      <c r="R427" s="146"/>
      <c r="T427" s="131" t="str">
        <f>IFERROR(__xludf.DUMMYFUNCTION("""COMPUTED_VALUE"""),"Y")</f>
        <v>Y</v>
      </c>
      <c r="U427" s="131" t="str">
        <f>IFERROR(__xludf.DUMMYFUNCTION("""COMPUTED_VALUE"""),"6")</f>
        <v>6</v>
      </c>
      <c r="V427" s="131" t="str">
        <f>IFERROR(__xludf.DUMMYFUNCTION("""COMPUTED_VALUE"""),"1075-1080")</f>
        <v>1075-1080</v>
      </c>
      <c r="W427" s="144">
        <f>IFERROR(__xludf.DUMMYFUNCTION("""COMPUTED_VALUE"""),45742.0)</f>
        <v>45742</v>
      </c>
      <c r="X427" s="144">
        <f>IFERROR(__xludf.DUMMYFUNCTION("""COMPUTED_VALUE"""),45749.0)</f>
        <v>45749</v>
      </c>
      <c r="Y427" s="144">
        <f>IFERROR(__xludf.DUMMYFUNCTION("""COMPUTED_VALUE"""),45770.0)</f>
        <v>45770</v>
      </c>
      <c r="Z427" s="131" t="str">
        <f>IFERROR(__xludf.DUMMYFUNCTION("""COMPUTED_VALUE"""),"D41-2L")</f>
        <v>D41-2L</v>
      </c>
      <c r="AA427" s="131"/>
      <c r="AB427" s="131"/>
      <c r="AC427" s="131"/>
      <c r="AD427" s="131"/>
      <c r="AE427" s="131">
        <f>IFERROR(__xludf.DUMMYFUNCTION("""COMPUTED_VALUE"""),2.0)</f>
        <v>2</v>
      </c>
      <c r="AF427" s="131">
        <f>IFERROR(__xludf.DUMMYFUNCTION("""COMPUTED_VALUE"""),204.0)</f>
        <v>204</v>
      </c>
      <c r="AG427" s="131">
        <f>IFERROR(__xludf.DUMMYFUNCTION("""COMPUTED_VALUE"""),102.0)</f>
        <v>102</v>
      </c>
      <c r="AH427" s="131">
        <f>IFERROR(__xludf.DUMMYFUNCTION("""COMPUTED_VALUE"""),102.0)</f>
        <v>102</v>
      </c>
      <c r="AI427" s="131">
        <f>IFERROR(__xludf.DUMMYFUNCTION("""COMPUTED_VALUE"""),268.0)</f>
        <v>268</v>
      </c>
      <c r="AJ427" s="131"/>
      <c r="AK427" s="131"/>
    </row>
    <row r="428">
      <c r="A428" s="145" t="str">
        <f>IFERROR(__xludf.DUMMYFUNCTION("""COMPUTED_VALUE"""),"Y")</f>
        <v>Y</v>
      </c>
      <c r="B428" s="146" t="str">
        <f>IFERROR(__xludf.DUMMYFUNCTION("""COMPUTED_VALUE"""),"6")</f>
        <v>6</v>
      </c>
      <c r="C428" s="146" t="str">
        <f>IFERROR(__xludf.DUMMYFUNCTION("""COMPUTED_VALUE"""),"1075-1080")</f>
        <v>1075-1080</v>
      </c>
      <c r="D428" s="147">
        <f>IFERROR(__xludf.DUMMYFUNCTION("""COMPUTED_VALUE"""),45742.0)</f>
        <v>45742</v>
      </c>
      <c r="E428" s="147">
        <f>IFERROR(__xludf.DUMMYFUNCTION("""COMPUTED_VALUE"""),45749.0)</f>
        <v>45749</v>
      </c>
      <c r="F428" s="147">
        <f>IFERROR(__xludf.DUMMYFUNCTION("""COMPUTED_VALUE"""),45770.0)</f>
        <v>45770</v>
      </c>
      <c r="G428" s="146" t="str">
        <f>IFERROR(__xludf.DUMMYFUNCTION("""COMPUTED_VALUE"""),"D41-2L")</f>
        <v>D41-2L</v>
      </c>
      <c r="H428" s="148"/>
      <c r="I428" s="148"/>
      <c r="J428" s="146"/>
      <c r="K428" s="146"/>
      <c r="L428" s="146">
        <f>IFERROR(__xludf.DUMMYFUNCTION("""COMPUTED_VALUE"""),2.0)</f>
        <v>2</v>
      </c>
      <c r="M428" s="146">
        <f>IFERROR(__xludf.DUMMYFUNCTION("""COMPUTED_VALUE"""),204.0)</f>
        <v>204</v>
      </c>
      <c r="N428" s="146">
        <f>IFERROR(__xludf.DUMMYFUNCTION("""COMPUTED_VALUE"""),102.0)</f>
        <v>102</v>
      </c>
      <c r="O428" s="146">
        <f>IFERROR(__xludf.DUMMYFUNCTION("""COMPUTED_VALUE"""),102.0)</f>
        <v>102</v>
      </c>
      <c r="P428" s="146">
        <f>IFERROR(__xludf.DUMMYFUNCTION("""COMPUTED_VALUE"""),268.0)</f>
        <v>268</v>
      </c>
      <c r="Q428" s="146"/>
      <c r="R428" s="146"/>
      <c r="T428" s="131" t="str">
        <f>IFERROR(__xludf.DUMMYFUNCTION("""COMPUTED_VALUE"""),"Y")</f>
        <v>Y</v>
      </c>
      <c r="U428" s="131" t="str">
        <f>IFERROR(__xludf.DUMMYFUNCTION("""COMPUTED_VALUE"""),"6")</f>
        <v>6</v>
      </c>
      <c r="V428" s="131" t="str">
        <f>IFERROR(__xludf.DUMMYFUNCTION("""COMPUTED_VALUE"""),"1075-1080")</f>
        <v>1075-1080</v>
      </c>
      <c r="W428" s="144">
        <f>IFERROR(__xludf.DUMMYFUNCTION("""COMPUTED_VALUE"""),45742.0)</f>
        <v>45742</v>
      </c>
      <c r="X428" s="144">
        <f>IFERROR(__xludf.DUMMYFUNCTION("""COMPUTED_VALUE"""),45749.0)</f>
        <v>45749</v>
      </c>
      <c r="Y428" s="144">
        <f>IFERROR(__xludf.DUMMYFUNCTION("""COMPUTED_VALUE"""),45770.0)</f>
        <v>45770</v>
      </c>
      <c r="Z428" s="131" t="str">
        <f>IFERROR(__xludf.DUMMYFUNCTION("""COMPUTED_VALUE"""),"D41-1L")</f>
        <v>D41-1L</v>
      </c>
      <c r="AA428" s="131"/>
      <c r="AB428" s="131"/>
      <c r="AC428" s="131"/>
      <c r="AD428" s="131"/>
      <c r="AE428" s="131">
        <f>IFERROR(__xludf.DUMMYFUNCTION("""COMPUTED_VALUE"""),2.0)</f>
        <v>2</v>
      </c>
      <c r="AF428" s="131">
        <f>IFERROR(__xludf.DUMMYFUNCTION("""COMPUTED_VALUE"""),38.0)</f>
        <v>38</v>
      </c>
      <c r="AG428" s="131">
        <f>IFERROR(__xludf.DUMMYFUNCTION("""COMPUTED_VALUE"""),19.0)</f>
        <v>19</v>
      </c>
      <c r="AH428" s="131">
        <f>IFERROR(__xludf.DUMMYFUNCTION("""COMPUTED_VALUE"""),19.0)</f>
        <v>19</v>
      </c>
      <c r="AI428" s="131">
        <f>IFERROR(__xludf.DUMMYFUNCTION("""COMPUTED_VALUE"""),268.0)</f>
        <v>268</v>
      </c>
      <c r="AJ428" s="131"/>
      <c r="AK428" s="131"/>
    </row>
    <row r="429">
      <c r="A429" s="145" t="str">
        <f>IFERROR(__xludf.DUMMYFUNCTION("""COMPUTED_VALUE"""),"Y")</f>
        <v>Y</v>
      </c>
      <c r="B429" s="146" t="str">
        <f>IFERROR(__xludf.DUMMYFUNCTION("""COMPUTED_VALUE"""),"6")</f>
        <v>6</v>
      </c>
      <c r="C429" s="146" t="str">
        <f>IFERROR(__xludf.DUMMYFUNCTION("""COMPUTED_VALUE"""),"1075-1080")</f>
        <v>1075-1080</v>
      </c>
      <c r="D429" s="147">
        <f>IFERROR(__xludf.DUMMYFUNCTION("""COMPUTED_VALUE"""),45742.0)</f>
        <v>45742</v>
      </c>
      <c r="E429" s="147">
        <f>IFERROR(__xludf.DUMMYFUNCTION("""COMPUTED_VALUE"""),45749.0)</f>
        <v>45749</v>
      </c>
      <c r="F429" s="147">
        <f>IFERROR(__xludf.DUMMYFUNCTION("""COMPUTED_VALUE"""),45770.0)</f>
        <v>45770</v>
      </c>
      <c r="G429" s="146" t="str">
        <f>IFERROR(__xludf.DUMMYFUNCTION("""COMPUTED_VALUE"""),"D41-1L")</f>
        <v>D41-1L</v>
      </c>
      <c r="H429" s="148"/>
      <c r="I429" s="148"/>
      <c r="J429" s="146"/>
      <c r="K429" s="146"/>
      <c r="L429" s="146">
        <f>IFERROR(__xludf.DUMMYFUNCTION("""COMPUTED_VALUE"""),2.0)</f>
        <v>2</v>
      </c>
      <c r="M429" s="146">
        <f>IFERROR(__xludf.DUMMYFUNCTION("""COMPUTED_VALUE"""),38.0)</f>
        <v>38</v>
      </c>
      <c r="N429" s="146">
        <f>IFERROR(__xludf.DUMMYFUNCTION("""COMPUTED_VALUE"""),19.0)</f>
        <v>19</v>
      </c>
      <c r="O429" s="146">
        <f>IFERROR(__xludf.DUMMYFUNCTION("""COMPUTED_VALUE"""),19.0)</f>
        <v>19</v>
      </c>
      <c r="P429" s="146">
        <f>IFERROR(__xludf.DUMMYFUNCTION("""COMPUTED_VALUE"""),268.0)</f>
        <v>268</v>
      </c>
      <c r="Q429" s="146"/>
      <c r="R429" s="146"/>
      <c r="T429" s="131" t="str">
        <f>IFERROR(__xludf.DUMMYFUNCTION("""COMPUTED_VALUE"""),"Y")</f>
        <v>Y</v>
      </c>
      <c r="U429" s="131" t="str">
        <f>IFERROR(__xludf.DUMMYFUNCTION("""COMPUTED_VALUE"""),"6")</f>
        <v>6</v>
      </c>
      <c r="V429" s="131" t="str">
        <f>IFERROR(__xludf.DUMMYFUNCTION("""COMPUTED_VALUE"""),"1081-1086")</f>
        <v>1081-1086</v>
      </c>
      <c r="W429" s="144">
        <f>IFERROR(__xludf.DUMMYFUNCTION("""COMPUTED_VALUE"""),45743.0)</f>
        <v>45743</v>
      </c>
      <c r="X429" s="144">
        <f>IFERROR(__xludf.DUMMYFUNCTION("""COMPUTED_VALUE"""),45750.0)</f>
        <v>45750</v>
      </c>
      <c r="Y429" s="144">
        <f>IFERROR(__xludf.DUMMYFUNCTION("""COMPUTED_VALUE"""),45771.0)</f>
        <v>45771</v>
      </c>
      <c r="Z429" s="131" t="str">
        <f>IFERROR(__xludf.DUMMYFUNCTION("""COMPUTED_VALUE"""),"D33-4L")</f>
        <v>D33-4L</v>
      </c>
      <c r="AA429" s="131">
        <f>IFERROR(__xludf.DUMMYFUNCTION("""COMPUTED_VALUE"""),271.0)</f>
        <v>271</v>
      </c>
      <c r="AB429" s="131">
        <f>IFERROR(__xludf.DUMMYFUNCTION("""COMPUTED_VALUE"""),305.0)</f>
        <v>305</v>
      </c>
      <c r="AC429" s="131">
        <f>IFERROR(__xludf.DUMMYFUNCTION("""COMPUTED_VALUE"""),18.0)</f>
        <v>18</v>
      </c>
      <c r="AD429" s="131">
        <f>IFERROR(__xludf.DUMMYFUNCTION("""COMPUTED_VALUE"""),18.0)</f>
        <v>18</v>
      </c>
      <c r="AE429" s="131">
        <f>IFERROR(__xludf.DUMMYFUNCTION("""COMPUTED_VALUE"""),448.0)</f>
        <v>448</v>
      </c>
      <c r="AF429" s="131">
        <f>IFERROR(__xludf.DUMMYFUNCTION("""COMPUTED_VALUE"""),452.0)</f>
        <v>452</v>
      </c>
      <c r="AG429" s="131">
        <f>IFERROR(__xludf.DUMMYFUNCTION("""COMPUTED_VALUE"""),3.0)</f>
        <v>3</v>
      </c>
      <c r="AH429" s="131">
        <f>IFERROR(__xludf.DUMMYFUNCTION("""COMPUTED_VALUE"""),3.0)</f>
        <v>3</v>
      </c>
      <c r="AI429" s="131">
        <f>IFERROR(__xludf.DUMMYFUNCTION("""COMPUTED_VALUE"""),269.0)</f>
        <v>269</v>
      </c>
      <c r="AJ429" s="131"/>
      <c r="AK429" s="131"/>
    </row>
    <row r="430">
      <c r="A430" s="145" t="str">
        <f>IFERROR(__xludf.DUMMYFUNCTION("""COMPUTED_VALUE"""),"Y")</f>
        <v>Y</v>
      </c>
      <c r="B430" s="146" t="str">
        <f>IFERROR(__xludf.DUMMYFUNCTION("""COMPUTED_VALUE"""),"6")</f>
        <v>6</v>
      </c>
      <c r="C430" s="146" t="str">
        <f>IFERROR(__xludf.DUMMYFUNCTION("""COMPUTED_VALUE"""),"1081-1086")</f>
        <v>1081-1086</v>
      </c>
      <c r="D430" s="147">
        <f>IFERROR(__xludf.DUMMYFUNCTION("""COMPUTED_VALUE"""),45743.0)</f>
        <v>45743</v>
      </c>
      <c r="E430" s="147">
        <f>IFERROR(__xludf.DUMMYFUNCTION("""COMPUTED_VALUE"""),45750.0)</f>
        <v>45750</v>
      </c>
      <c r="F430" s="147">
        <f>IFERROR(__xludf.DUMMYFUNCTION("""COMPUTED_VALUE"""),45771.0)</f>
        <v>45771</v>
      </c>
      <c r="G430" s="146" t="str">
        <f>IFERROR(__xludf.DUMMYFUNCTION("""COMPUTED_VALUE"""),"D33-4L")</f>
        <v>D33-4L</v>
      </c>
      <c r="H430" s="148">
        <f>IFERROR(__xludf.DUMMYFUNCTION("""COMPUTED_VALUE"""),271.0)</f>
        <v>271</v>
      </c>
      <c r="I430" s="148">
        <f>IFERROR(__xludf.DUMMYFUNCTION("""COMPUTED_VALUE"""),305.0)</f>
        <v>305</v>
      </c>
      <c r="J430" s="146">
        <f>IFERROR(__xludf.DUMMYFUNCTION("""COMPUTED_VALUE"""),18.0)</f>
        <v>18</v>
      </c>
      <c r="K430" s="146">
        <f>IFERROR(__xludf.DUMMYFUNCTION("""COMPUTED_VALUE"""),18.0)</f>
        <v>18</v>
      </c>
      <c r="L430" s="146">
        <f>IFERROR(__xludf.DUMMYFUNCTION("""COMPUTED_VALUE"""),448.0)</f>
        <v>448</v>
      </c>
      <c r="M430" s="146">
        <f>IFERROR(__xludf.DUMMYFUNCTION("""COMPUTED_VALUE"""),452.0)</f>
        <v>452</v>
      </c>
      <c r="N430" s="146">
        <f>IFERROR(__xludf.DUMMYFUNCTION("""COMPUTED_VALUE"""),3.0)</f>
        <v>3</v>
      </c>
      <c r="O430" s="146">
        <f>IFERROR(__xludf.DUMMYFUNCTION("""COMPUTED_VALUE"""),3.0)</f>
        <v>3</v>
      </c>
      <c r="P430" s="146">
        <f>IFERROR(__xludf.DUMMYFUNCTION("""COMPUTED_VALUE"""),269.0)</f>
        <v>269</v>
      </c>
      <c r="Q430" s="146"/>
      <c r="R430" s="146"/>
      <c r="T430" s="131" t="str">
        <f>IFERROR(__xludf.DUMMYFUNCTION("""COMPUTED_VALUE"""),"Y")</f>
        <v>Y</v>
      </c>
      <c r="U430" s="131" t="str">
        <f>IFERROR(__xludf.DUMMYFUNCTION("""COMPUTED_VALUE"""),"6")</f>
        <v>6</v>
      </c>
      <c r="V430" s="131" t="str">
        <f>IFERROR(__xludf.DUMMYFUNCTION("""COMPUTED_VALUE"""),"1081-1086")</f>
        <v>1081-1086</v>
      </c>
      <c r="W430" s="144">
        <f>IFERROR(__xludf.DUMMYFUNCTION("""COMPUTED_VALUE"""),45743.0)</f>
        <v>45743</v>
      </c>
      <c r="X430" s="144">
        <f>IFERROR(__xludf.DUMMYFUNCTION("""COMPUTED_VALUE"""),45750.0)</f>
        <v>45750</v>
      </c>
      <c r="Y430" s="144">
        <f>IFERROR(__xludf.DUMMYFUNCTION("""COMPUTED_VALUE"""),45771.0)</f>
        <v>45771</v>
      </c>
      <c r="Z430" s="131" t="str">
        <f>IFERROR(__xludf.DUMMYFUNCTION("""COMPUTED_VALUE"""),"D33-4L")</f>
        <v>D33-4L</v>
      </c>
      <c r="AA430" s="131">
        <f>IFERROR(__xludf.DUMMYFUNCTION("""COMPUTED_VALUE"""),309.0)</f>
        <v>309</v>
      </c>
      <c r="AB430" s="131">
        <f>IFERROR(__xludf.DUMMYFUNCTION("""COMPUTED_VALUE"""),355.0)</f>
        <v>355</v>
      </c>
      <c r="AC430" s="131">
        <f>IFERROR(__xludf.DUMMYFUNCTION("""COMPUTED_VALUE"""),24.0)</f>
        <v>24</v>
      </c>
      <c r="AD430" s="131">
        <f>IFERROR(__xludf.DUMMYFUNCTION("""COMPUTED_VALUE"""),24.0)</f>
        <v>24</v>
      </c>
      <c r="AE430" s="131"/>
      <c r="AF430" s="131"/>
      <c r="AG430" s="131"/>
      <c r="AH430" s="131"/>
      <c r="AI430" s="131">
        <f>IFERROR(__xludf.DUMMYFUNCTION("""COMPUTED_VALUE"""),269.0)</f>
        <v>269</v>
      </c>
      <c r="AJ430" s="131"/>
      <c r="AK430" s="131"/>
    </row>
    <row r="431">
      <c r="A431" s="145" t="str">
        <f>IFERROR(__xludf.DUMMYFUNCTION("""COMPUTED_VALUE"""),"Y")</f>
        <v>Y</v>
      </c>
      <c r="B431" s="146" t="str">
        <f>IFERROR(__xludf.DUMMYFUNCTION("""COMPUTED_VALUE"""),"6")</f>
        <v>6</v>
      </c>
      <c r="C431" s="146" t="str">
        <f>IFERROR(__xludf.DUMMYFUNCTION("""COMPUTED_VALUE"""),"1081-1086")</f>
        <v>1081-1086</v>
      </c>
      <c r="D431" s="147">
        <f>IFERROR(__xludf.DUMMYFUNCTION("""COMPUTED_VALUE"""),45743.0)</f>
        <v>45743</v>
      </c>
      <c r="E431" s="147">
        <f>IFERROR(__xludf.DUMMYFUNCTION("""COMPUTED_VALUE"""),45750.0)</f>
        <v>45750</v>
      </c>
      <c r="F431" s="147">
        <f>IFERROR(__xludf.DUMMYFUNCTION("""COMPUTED_VALUE"""),45771.0)</f>
        <v>45771</v>
      </c>
      <c r="G431" s="146" t="str">
        <f>IFERROR(__xludf.DUMMYFUNCTION("""COMPUTED_VALUE"""),"D33-4L")</f>
        <v>D33-4L</v>
      </c>
      <c r="H431" s="148">
        <f>IFERROR(__xludf.DUMMYFUNCTION("""COMPUTED_VALUE"""),309.0)</f>
        <v>309</v>
      </c>
      <c r="I431" s="148">
        <f>IFERROR(__xludf.DUMMYFUNCTION("""COMPUTED_VALUE"""),355.0)</f>
        <v>355</v>
      </c>
      <c r="J431" s="146">
        <f>IFERROR(__xludf.DUMMYFUNCTION("""COMPUTED_VALUE"""),24.0)</f>
        <v>24</v>
      </c>
      <c r="K431" s="146">
        <f>IFERROR(__xludf.DUMMYFUNCTION("""COMPUTED_VALUE"""),24.0)</f>
        <v>24</v>
      </c>
      <c r="L431" s="146"/>
      <c r="M431" s="146"/>
      <c r="N431" s="146"/>
      <c r="O431" s="146"/>
      <c r="P431" s="146">
        <f>IFERROR(__xludf.DUMMYFUNCTION("""COMPUTED_VALUE"""),269.0)</f>
        <v>269</v>
      </c>
      <c r="Q431" s="146"/>
      <c r="R431" s="146"/>
      <c r="T431" s="131" t="str">
        <f>IFERROR(__xludf.DUMMYFUNCTION("""COMPUTED_VALUE"""),"Y")</f>
        <v>Y</v>
      </c>
      <c r="U431" s="131" t="str">
        <f>IFERROR(__xludf.DUMMYFUNCTION("""COMPUTED_VALUE"""),"6")</f>
        <v>6</v>
      </c>
      <c r="V431" s="131" t="str">
        <f>IFERROR(__xludf.DUMMYFUNCTION("""COMPUTED_VALUE"""),"1081-1086")</f>
        <v>1081-1086</v>
      </c>
      <c r="W431" s="144">
        <f>IFERROR(__xludf.DUMMYFUNCTION("""COMPUTED_VALUE"""),45743.0)</f>
        <v>45743</v>
      </c>
      <c r="X431" s="144">
        <f>IFERROR(__xludf.DUMMYFUNCTION("""COMPUTED_VALUE"""),45750.0)</f>
        <v>45750</v>
      </c>
      <c r="Y431" s="144">
        <f>IFERROR(__xludf.DUMMYFUNCTION("""COMPUTED_VALUE"""),45771.0)</f>
        <v>45771</v>
      </c>
      <c r="Z431" s="131" t="str">
        <f>IFERROR(__xludf.DUMMYFUNCTION("""COMPUTED_VALUE"""),"D33-4L")</f>
        <v>D33-4L</v>
      </c>
      <c r="AA431" s="131">
        <f>IFERROR(__xludf.DUMMYFUNCTION("""COMPUTED_VALUE"""),359.0)</f>
        <v>359</v>
      </c>
      <c r="AB431" s="131">
        <f>IFERROR(__xludf.DUMMYFUNCTION("""COMPUTED_VALUE"""),405.0)</f>
        <v>405</v>
      </c>
      <c r="AC431" s="131">
        <f>IFERROR(__xludf.DUMMYFUNCTION("""COMPUTED_VALUE"""),24.0)</f>
        <v>24</v>
      </c>
      <c r="AD431" s="131">
        <f>IFERROR(__xludf.DUMMYFUNCTION("""COMPUTED_VALUE"""),24.0)</f>
        <v>24</v>
      </c>
      <c r="AE431" s="131"/>
      <c r="AF431" s="131"/>
      <c r="AG431" s="131"/>
      <c r="AH431" s="131"/>
      <c r="AI431" s="131">
        <f>IFERROR(__xludf.DUMMYFUNCTION("""COMPUTED_VALUE"""),269.0)</f>
        <v>269</v>
      </c>
      <c r="AJ431" s="131"/>
      <c r="AK431" s="131"/>
    </row>
    <row r="432">
      <c r="A432" s="145" t="str">
        <f>IFERROR(__xludf.DUMMYFUNCTION("""COMPUTED_VALUE"""),"Y")</f>
        <v>Y</v>
      </c>
      <c r="B432" s="146" t="str">
        <f>IFERROR(__xludf.DUMMYFUNCTION("""COMPUTED_VALUE"""),"6")</f>
        <v>6</v>
      </c>
      <c r="C432" s="146" t="str">
        <f>IFERROR(__xludf.DUMMYFUNCTION("""COMPUTED_VALUE"""),"1081-1086")</f>
        <v>1081-1086</v>
      </c>
      <c r="D432" s="147">
        <f>IFERROR(__xludf.DUMMYFUNCTION("""COMPUTED_VALUE"""),45743.0)</f>
        <v>45743</v>
      </c>
      <c r="E432" s="147">
        <f>IFERROR(__xludf.DUMMYFUNCTION("""COMPUTED_VALUE"""),45750.0)</f>
        <v>45750</v>
      </c>
      <c r="F432" s="147">
        <f>IFERROR(__xludf.DUMMYFUNCTION("""COMPUTED_VALUE"""),45771.0)</f>
        <v>45771</v>
      </c>
      <c r="G432" s="146" t="str">
        <f>IFERROR(__xludf.DUMMYFUNCTION("""COMPUTED_VALUE"""),"D33-4L")</f>
        <v>D33-4L</v>
      </c>
      <c r="H432" s="148">
        <f>IFERROR(__xludf.DUMMYFUNCTION("""COMPUTED_VALUE"""),359.0)</f>
        <v>359</v>
      </c>
      <c r="I432" s="148">
        <f>IFERROR(__xludf.DUMMYFUNCTION("""COMPUTED_VALUE"""),405.0)</f>
        <v>405</v>
      </c>
      <c r="J432" s="146">
        <f>IFERROR(__xludf.DUMMYFUNCTION("""COMPUTED_VALUE"""),24.0)</f>
        <v>24</v>
      </c>
      <c r="K432" s="146">
        <f>IFERROR(__xludf.DUMMYFUNCTION("""COMPUTED_VALUE"""),24.0)</f>
        <v>24</v>
      </c>
      <c r="L432" s="146"/>
      <c r="M432" s="146"/>
      <c r="N432" s="146"/>
      <c r="O432" s="146"/>
      <c r="P432" s="146">
        <f>IFERROR(__xludf.DUMMYFUNCTION("""COMPUTED_VALUE"""),269.0)</f>
        <v>269</v>
      </c>
      <c r="Q432" s="146"/>
      <c r="R432" s="146"/>
      <c r="T432" s="131" t="str">
        <f>IFERROR(__xludf.DUMMYFUNCTION("""COMPUTED_VALUE"""),"Y")</f>
        <v>Y</v>
      </c>
      <c r="U432" s="131" t="str">
        <f>IFERROR(__xludf.DUMMYFUNCTION("""COMPUTED_VALUE"""),"6")</f>
        <v>6</v>
      </c>
      <c r="V432" s="131" t="str">
        <f>IFERROR(__xludf.DUMMYFUNCTION("""COMPUTED_VALUE"""),"1081-1086")</f>
        <v>1081-1086</v>
      </c>
      <c r="W432" s="144">
        <f>IFERROR(__xludf.DUMMYFUNCTION("""COMPUTED_VALUE"""),45743.0)</f>
        <v>45743</v>
      </c>
      <c r="X432" s="144">
        <f>IFERROR(__xludf.DUMMYFUNCTION("""COMPUTED_VALUE"""),45750.0)</f>
        <v>45750</v>
      </c>
      <c r="Y432" s="144">
        <f>IFERROR(__xludf.DUMMYFUNCTION("""COMPUTED_VALUE"""),45771.0)</f>
        <v>45771</v>
      </c>
      <c r="Z432" s="131" t="str">
        <f>IFERROR(__xludf.DUMMYFUNCTION("""COMPUTED_VALUE"""),"D33-4L")</f>
        <v>D33-4L</v>
      </c>
      <c r="AA432" s="131">
        <f>IFERROR(__xludf.DUMMYFUNCTION("""COMPUTED_VALUE"""),409.0)</f>
        <v>409</v>
      </c>
      <c r="AB432" s="131">
        <f>IFERROR(__xludf.DUMMYFUNCTION("""COMPUTED_VALUE"""),451.0)</f>
        <v>451</v>
      </c>
      <c r="AC432" s="131">
        <f>IFERROR(__xludf.DUMMYFUNCTION("""COMPUTED_VALUE"""),22.0)</f>
        <v>22</v>
      </c>
      <c r="AD432" s="131">
        <f>IFERROR(__xludf.DUMMYFUNCTION("""COMPUTED_VALUE"""),22.0)</f>
        <v>22</v>
      </c>
      <c r="AE432" s="131"/>
      <c r="AF432" s="131"/>
      <c r="AG432" s="131"/>
      <c r="AH432" s="131"/>
      <c r="AI432" s="131">
        <f>IFERROR(__xludf.DUMMYFUNCTION("""COMPUTED_VALUE"""),269.0)</f>
        <v>269</v>
      </c>
      <c r="AJ432" s="131"/>
      <c r="AK432" s="131"/>
    </row>
    <row r="433">
      <c r="A433" s="145" t="str">
        <f>IFERROR(__xludf.DUMMYFUNCTION("""COMPUTED_VALUE"""),"Y")</f>
        <v>Y</v>
      </c>
      <c r="B433" s="146" t="str">
        <f>IFERROR(__xludf.DUMMYFUNCTION("""COMPUTED_VALUE"""),"6")</f>
        <v>6</v>
      </c>
      <c r="C433" s="146" t="str">
        <f>IFERROR(__xludf.DUMMYFUNCTION("""COMPUTED_VALUE"""),"1081-1086")</f>
        <v>1081-1086</v>
      </c>
      <c r="D433" s="147">
        <f>IFERROR(__xludf.DUMMYFUNCTION("""COMPUTED_VALUE"""),45743.0)</f>
        <v>45743</v>
      </c>
      <c r="E433" s="147">
        <f>IFERROR(__xludf.DUMMYFUNCTION("""COMPUTED_VALUE"""),45750.0)</f>
        <v>45750</v>
      </c>
      <c r="F433" s="147">
        <f>IFERROR(__xludf.DUMMYFUNCTION("""COMPUTED_VALUE"""),45771.0)</f>
        <v>45771</v>
      </c>
      <c r="G433" s="146" t="str">
        <f>IFERROR(__xludf.DUMMYFUNCTION("""COMPUTED_VALUE"""),"D33-4L")</f>
        <v>D33-4L</v>
      </c>
      <c r="H433" s="148">
        <f>IFERROR(__xludf.DUMMYFUNCTION("""COMPUTED_VALUE"""),409.0)</f>
        <v>409</v>
      </c>
      <c r="I433" s="148">
        <f>IFERROR(__xludf.DUMMYFUNCTION("""COMPUTED_VALUE"""),451.0)</f>
        <v>451</v>
      </c>
      <c r="J433" s="146">
        <f>IFERROR(__xludf.DUMMYFUNCTION("""COMPUTED_VALUE"""),22.0)</f>
        <v>22</v>
      </c>
      <c r="K433" s="146">
        <f>IFERROR(__xludf.DUMMYFUNCTION("""COMPUTED_VALUE"""),22.0)</f>
        <v>22</v>
      </c>
      <c r="L433" s="146"/>
      <c r="M433" s="146"/>
      <c r="N433" s="146"/>
      <c r="O433" s="146"/>
      <c r="P433" s="146">
        <f>IFERROR(__xludf.DUMMYFUNCTION("""COMPUTED_VALUE"""),269.0)</f>
        <v>269</v>
      </c>
      <c r="Q433" s="146"/>
      <c r="R433" s="146"/>
      <c r="T433" s="131" t="str">
        <f>IFERROR(__xludf.DUMMYFUNCTION("""COMPUTED_VALUE"""),"Y")</f>
        <v>Y</v>
      </c>
      <c r="U433" s="131" t="str">
        <f>IFERROR(__xludf.DUMMYFUNCTION("""COMPUTED_VALUE"""),"6")</f>
        <v>6</v>
      </c>
      <c r="V433" s="131" t="str">
        <f>IFERROR(__xludf.DUMMYFUNCTION("""COMPUTED_VALUE"""),"1087-1092")</f>
        <v>1087-1092</v>
      </c>
      <c r="W433" s="144">
        <f>IFERROR(__xludf.DUMMYFUNCTION("""COMPUTED_VALUE"""),45743.0)</f>
        <v>45743</v>
      </c>
      <c r="X433" s="144">
        <f>IFERROR(__xludf.DUMMYFUNCTION("""COMPUTED_VALUE"""),45750.0)</f>
        <v>45750</v>
      </c>
      <c r="Y433" s="144">
        <f>IFERROR(__xludf.DUMMYFUNCTION("""COMPUTED_VALUE"""),45771.0)</f>
        <v>45771</v>
      </c>
      <c r="Z433" s="131" t="str">
        <f>IFERROR(__xludf.DUMMYFUNCTION("""COMPUTED_VALUE"""),"D41-2L")</f>
        <v>D41-2L</v>
      </c>
      <c r="AA433" s="131">
        <f>IFERROR(__xludf.DUMMYFUNCTION("""COMPUTED_VALUE"""),207.0)</f>
        <v>207</v>
      </c>
      <c r="AB433" s="131">
        <f>IFERROR(__xludf.DUMMYFUNCTION("""COMPUTED_VALUE"""),307.0)</f>
        <v>307</v>
      </c>
      <c r="AC433" s="131">
        <f>IFERROR(__xludf.DUMMYFUNCTION("""COMPUTED_VALUE"""),51.0)</f>
        <v>51</v>
      </c>
      <c r="AD433" s="131">
        <f>IFERROR(__xludf.DUMMYFUNCTION("""COMPUTED_VALUE"""),51.0)</f>
        <v>51</v>
      </c>
      <c r="AE433" s="131"/>
      <c r="AF433" s="131"/>
      <c r="AG433" s="131"/>
      <c r="AH433" s="131"/>
      <c r="AI433" s="131">
        <f>IFERROR(__xludf.DUMMYFUNCTION("""COMPUTED_VALUE"""),270.0)</f>
        <v>270</v>
      </c>
      <c r="AJ433" s="131"/>
      <c r="AK433" s="131"/>
    </row>
    <row r="434">
      <c r="A434" s="145" t="str">
        <f>IFERROR(__xludf.DUMMYFUNCTION("""COMPUTED_VALUE"""),"Y")</f>
        <v>Y</v>
      </c>
      <c r="B434" s="146" t="str">
        <f>IFERROR(__xludf.DUMMYFUNCTION("""COMPUTED_VALUE"""),"6")</f>
        <v>6</v>
      </c>
      <c r="C434" s="146" t="str">
        <f>IFERROR(__xludf.DUMMYFUNCTION("""COMPUTED_VALUE"""),"1087-1092")</f>
        <v>1087-1092</v>
      </c>
      <c r="D434" s="147">
        <f>IFERROR(__xludf.DUMMYFUNCTION("""COMPUTED_VALUE"""),45743.0)</f>
        <v>45743</v>
      </c>
      <c r="E434" s="147">
        <f>IFERROR(__xludf.DUMMYFUNCTION("""COMPUTED_VALUE"""),45750.0)</f>
        <v>45750</v>
      </c>
      <c r="F434" s="147">
        <f>IFERROR(__xludf.DUMMYFUNCTION("""COMPUTED_VALUE"""),45771.0)</f>
        <v>45771</v>
      </c>
      <c r="G434" s="146" t="str">
        <f>IFERROR(__xludf.DUMMYFUNCTION("""COMPUTED_VALUE"""),"D41-2L")</f>
        <v>D41-2L</v>
      </c>
      <c r="H434" s="148">
        <f>IFERROR(__xludf.DUMMYFUNCTION("""COMPUTED_VALUE"""),207.0)</f>
        <v>207</v>
      </c>
      <c r="I434" s="148">
        <f>IFERROR(__xludf.DUMMYFUNCTION("""COMPUTED_VALUE"""),307.0)</f>
        <v>307</v>
      </c>
      <c r="J434" s="146">
        <f>IFERROR(__xludf.DUMMYFUNCTION("""COMPUTED_VALUE"""),51.0)</f>
        <v>51</v>
      </c>
      <c r="K434" s="146">
        <f>IFERROR(__xludf.DUMMYFUNCTION("""COMPUTED_VALUE"""),51.0)</f>
        <v>51</v>
      </c>
      <c r="L434" s="146"/>
      <c r="M434" s="146"/>
      <c r="N434" s="146"/>
      <c r="O434" s="146"/>
      <c r="P434" s="146">
        <f>IFERROR(__xludf.DUMMYFUNCTION("""COMPUTED_VALUE"""),270.0)</f>
        <v>270</v>
      </c>
      <c r="Q434" s="146"/>
      <c r="R434" s="146"/>
      <c r="T434" s="131" t="str">
        <f>IFERROR(__xludf.DUMMYFUNCTION("""COMPUTED_VALUE"""),"Y")</f>
        <v>Y</v>
      </c>
      <c r="U434" s="131" t="str">
        <f>IFERROR(__xludf.DUMMYFUNCTION("""COMPUTED_VALUE"""),"6")</f>
        <v>6</v>
      </c>
      <c r="V434" s="131" t="str">
        <f>IFERROR(__xludf.DUMMYFUNCTION("""COMPUTED_VALUE"""),"1087-1092")</f>
        <v>1087-1092</v>
      </c>
      <c r="W434" s="144">
        <f>IFERROR(__xludf.DUMMYFUNCTION("""COMPUTED_VALUE"""),45743.0)</f>
        <v>45743</v>
      </c>
      <c r="X434" s="144">
        <f>IFERROR(__xludf.DUMMYFUNCTION("""COMPUTED_VALUE"""),45750.0)</f>
        <v>45750</v>
      </c>
      <c r="Y434" s="144">
        <f>IFERROR(__xludf.DUMMYFUNCTION("""COMPUTED_VALUE"""),45771.0)</f>
        <v>45771</v>
      </c>
      <c r="Z434" s="131" t="str">
        <f>IFERROR(__xludf.DUMMYFUNCTION("""COMPUTED_VALUE"""),"D41-1L")</f>
        <v>D41-1L</v>
      </c>
      <c r="AA434" s="131">
        <f>IFERROR(__xludf.DUMMYFUNCTION("""COMPUTED_VALUE"""),41.0)</f>
        <v>41</v>
      </c>
      <c r="AB434" s="131">
        <f>IFERROR(__xludf.DUMMYFUNCTION("""COMPUTED_VALUE"""),69.0)</f>
        <v>69</v>
      </c>
      <c r="AC434" s="131">
        <f>IFERROR(__xludf.DUMMYFUNCTION("""COMPUTED_VALUE"""),15.0)</f>
        <v>15</v>
      </c>
      <c r="AD434" s="131">
        <f>IFERROR(__xludf.DUMMYFUNCTION("""COMPUTED_VALUE"""),15.0)</f>
        <v>15</v>
      </c>
      <c r="AE434" s="131"/>
      <c r="AF434" s="131"/>
      <c r="AG434" s="131"/>
      <c r="AH434" s="131"/>
      <c r="AI434" s="131">
        <f>IFERROR(__xludf.DUMMYFUNCTION("""COMPUTED_VALUE"""),270.0)</f>
        <v>270</v>
      </c>
      <c r="AJ434" s="131"/>
      <c r="AK434" s="131"/>
    </row>
    <row r="435">
      <c r="A435" s="145" t="str">
        <f>IFERROR(__xludf.DUMMYFUNCTION("""COMPUTED_VALUE"""),"Y")</f>
        <v>Y</v>
      </c>
      <c r="B435" s="146" t="str">
        <f>IFERROR(__xludf.DUMMYFUNCTION("""COMPUTED_VALUE"""),"6")</f>
        <v>6</v>
      </c>
      <c r="C435" s="146" t="str">
        <f>IFERROR(__xludf.DUMMYFUNCTION("""COMPUTED_VALUE"""),"1087-1092")</f>
        <v>1087-1092</v>
      </c>
      <c r="D435" s="147">
        <f>IFERROR(__xludf.DUMMYFUNCTION("""COMPUTED_VALUE"""),45743.0)</f>
        <v>45743</v>
      </c>
      <c r="E435" s="147">
        <f>IFERROR(__xludf.DUMMYFUNCTION("""COMPUTED_VALUE"""),45750.0)</f>
        <v>45750</v>
      </c>
      <c r="F435" s="147">
        <f>IFERROR(__xludf.DUMMYFUNCTION("""COMPUTED_VALUE"""),45771.0)</f>
        <v>45771</v>
      </c>
      <c r="G435" s="146" t="str">
        <f>IFERROR(__xludf.DUMMYFUNCTION("""COMPUTED_VALUE"""),"D41-1L")</f>
        <v>D41-1L</v>
      </c>
      <c r="H435" s="148">
        <f>IFERROR(__xludf.DUMMYFUNCTION("""COMPUTED_VALUE"""),41.0)</f>
        <v>41</v>
      </c>
      <c r="I435" s="148">
        <f>IFERROR(__xludf.DUMMYFUNCTION("""COMPUTED_VALUE"""),69.0)</f>
        <v>69</v>
      </c>
      <c r="J435" s="146">
        <f>IFERROR(__xludf.DUMMYFUNCTION("""COMPUTED_VALUE"""),15.0)</f>
        <v>15</v>
      </c>
      <c r="K435" s="146">
        <f>IFERROR(__xludf.DUMMYFUNCTION("""COMPUTED_VALUE"""),15.0)</f>
        <v>15</v>
      </c>
      <c r="L435" s="146"/>
      <c r="M435" s="146"/>
      <c r="N435" s="146"/>
      <c r="O435" s="146"/>
      <c r="P435" s="146">
        <f>IFERROR(__xludf.DUMMYFUNCTION("""COMPUTED_VALUE"""),270.0)</f>
        <v>270</v>
      </c>
      <c r="Q435" s="146"/>
      <c r="R435" s="146"/>
      <c r="T435" s="131" t="str">
        <f>IFERROR(__xludf.DUMMYFUNCTION("""COMPUTED_VALUE"""),"Y")</f>
        <v>Y</v>
      </c>
      <c r="U435" s="131" t="str">
        <f>IFERROR(__xludf.DUMMYFUNCTION("""COMPUTED_VALUE"""),"6")</f>
        <v>6</v>
      </c>
      <c r="V435" s="131" t="str">
        <f>IFERROR(__xludf.DUMMYFUNCTION("""COMPUTED_VALUE"""),"1087-1092")</f>
        <v>1087-1092</v>
      </c>
      <c r="W435" s="144">
        <f>IFERROR(__xludf.DUMMYFUNCTION("""COMPUTED_VALUE"""),45743.0)</f>
        <v>45743</v>
      </c>
      <c r="X435" s="144">
        <f>IFERROR(__xludf.DUMMYFUNCTION("""COMPUTED_VALUE"""),45750.0)</f>
        <v>45750</v>
      </c>
      <c r="Y435" s="144">
        <f>IFERROR(__xludf.DUMMYFUNCTION("""COMPUTED_VALUE"""),45771.0)</f>
        <v>45771</v>
      </c>
      <c r="Z435" s="131" t="str">
        <f>IFERROR(__xludf.DUMMYFUNCTION("""COMPUTED_VALUE"""),"D41-3L")</f>
        <v>D41-3L</v>
      </c>
      <c r="AA435" s="131"/>
      <c r="AB435" s="131"/>
      <c r="AC435" s="131"/>
      <c r="AD435" s="131"/>
      <c r="AE435" s="131">
        <f>IFERROR(__xludf.DUMMYFUNCTION("""COMPUTED_VALUE"""),250.0)</f>
        <v>250</v>
      </c>
      <c r="AF435" s="131">
        <f>IFERROR(__xludf.DUMMYFUNCTION("""COMPUTED_VALUE"""),308.0)</f>
        <v>308</v>
      </c>
      <c r="AG435" s="131">
        <f>IFERROR(__xludf.DUMMYFUNCTION("""COMPUTED_VALUE"""),30.0)</f>
        <v>30</v>
      </c>
      <c r="AH435" s="131">
        <f>IFERROR(__xludf.DUMMYFUNCTION("""COMPUTED_VALUE"""),30.0)</f>
        <v>30</v>
      </c>
      <c r="AI435" s="131">
        <f>IFERROR(__xludf.DUMMYFUNCTION("""COMPUTED_VALUE"""),270.0)</f>
        <v>270</v>
      </c>
      <c r="AJ435" s="131"/>
      <c r="AK435" s="131"/>
    </row>
    <row r="436">
      <c r="A436" s="145" t="str">
        <f>IFERROR(__xludf.DUMMYFUNCTION("""COMPUTED_VALUE"""),"Y")</f>
        <v>Y</v>
      </c>
      <c r="B436" s="146" t="str">
        <f>IFERROR(__xludf.DUMMYFUNCTION("""COMPUTED_VALUE"""),"6")</f>
        <v>6</v>
      </c>
      <c r="C436" s="146" t="str">
        <f>IFERROR(__xludf.DUMMYFUNCTION("""COMPUTED_VALUE"""),"1087-1092")</f>
        <v>1087-1092</v>
      </c>
      <c r="D436" s="147">
        <f>IFERROR(__xludf.DUMMYFUNCTION("""COMPUTED_VALUE"""),45743.0)</f>
        <v>45743</v>
      </c>
      <c r="E436" s="147">
        <f>IFERROR(__xludf.DUMMYFUNCTION("""COMPUTED_VALUE"""),45750.0)</f>
        <v>45750</v>
      </c>
      <c r="F436" s="147">
        <f>IFERROR(__xludf.DUMMYFUNCTION("""COMPUTED_VALUE"""),45771.0)</f>
        <v>45771</v>
      </c>
      <c r="G436" s="146" t="str">
        <f>IFERROR(__xludf.DUMMYFUNCTION("""COMPUTED_VALUE"""),"D41-3L")</f>
        <v>D41-3L</v>
      </c>
      <c r="H436" s="148"/>
      <c r="I436" s="148"/>
      <c r="J436" s="146"/>
      <c r="K436" s="146"/>
      <c r="L436" s="146">
        <f>IFERROR(__xludf.DUMMYFUNCTION("""COMPUTED_VALUE"""),250.0)</f>
        <v>250</v>
      </c>
      <c r="M436" s="146">
        <f>IFERROR(__xludf.DUMMYFUNCTION("""COMPUTED_VALUE"""),308.0)</f>
        <v>308</v>
      </c>
      <c r="N436" s="146">
        <f>IFERROR(__xludf.DUMMYFUNCTION("""COMPUTED_VALUE"""),30.0)</f>
        <v>30</v>
      </c>
      <c r="O436" s="146">
        <f>IFERROR(__xludf.DUMMYFUNCTION("""COMPUTED_VALUE"""),30.0)</f>
        <v>30</v>
      </c>
      <c r="P436" s="146">
        <f>IFERROR(__xludf.DUMMYFUNCTION("""COMPUTED_VALUE"""),270.0)</f>
        <v>270</v>
      </c>
      <c r="Q436" s="146"/>
      <c r="R436" s="146"/>
      <c r="T436" s="131" t="str">
        <f>IFERROR(__xludf.DUMMYFUNCTION("""COMPUTED_VALUE"""),"Y")</f>
        <v>Y</v>
      </c>
      <c r="U436" s="131" t="str">
        <f>IFERROR(__xludf.DUMMYFUNCTION("""COMPUTED_VALUE"""),"6")</f>
        <v>6</v>
      </c>
      <c r="V436" s="131"/>
      <c r="W436" s="144">
        <f>IFERROR(__xludf.DUMMYFUNCTION("""COMPUTED_VALUE"""),45754.0)</f>
        <v>45754</v>
      </c>
      <c r="X436" s="144">
        <f>IFERROR(__xludf.DUMMYFUNCTION("""COMPUTED_VALUE"""),45761.0)</f>
        <v>45761</v>
      </c>
      <c r="Y436" s="144">
        <f>IFERROR(__xludf.DUMMYFUNCTION("""COMPUTED_VALUE"""),45782.0)</f>
        <v>45782</v>
      </c>
      <c r="Z436" s="131" t="str">
        <f>IFERROR(__xludf.DUMMYFUNCTION("""COMPUTED_VALUE"""),"BRG12")</f>
        <v>BRG12</v>
      </c>
      <c r="AA436" s="131">
        <f>IFERROR(__xludf.DUMMYFUNCTION("""COMPUTED_VALUE"""),955.0)</f>
        <v>955</v>
      </c>
      <c r="AB436" s="131">
        <f>IFERROR(__xludf.DUMMYFUNCTION("""COMPUTED_VALUE"""),1015.0)</f>
        <v>1015</v>
      </c>
      <c r="AC436" s="131">
        <f>IFERROR(__xludf.DUMMYFUNCTION("""COMPUTED_VALUE"""),31.0)</f>
        <v>31</v>
      </c>
      <c r="AD436" s="131">
        <f>IFERROR(__xludf.DUMMYFUNCTION("""COMPUTED_VALUE"""),31.0)</f>
        <v>31</v>
      </c>
      <c r="AE436" s="131"/>
      <c r="AF436" s="131"/>
      <c r="AG436" s="131"/>
      <c r="AH436" s="131"/>
      <c r="AI436" s="131">
        <f>IFERROR(__xludf.DUMMYFUNCTION("""COMPUTED_VALUE"""),272.0)</f>
        <v>272</v>
      </c>
      <c r="AJ436" s="131"/>
      <c r="AK436" s="131"/>
    </row>
    <row r="437">
      <c r="A437" s="145" t="str">
        <f>IFERROR(__xludf.DUMMYFUNCTION("""COMPUTED_VALUE"""),"Y")</f>
        <v>Y</v>
      </c>
      <c r="B437" s="146" t="str">
        <f>IFERROR(__xludf.DUMMYFUNCTION("""COMPUTED_VALUE"""),"6")</f>
        <v>6</v>
      </c>
      <c r="C437" s="146"/>
      <c r="D437" s="147">
        <f>IFERROR(__xludf.DUMMYFUNCTION("""COMPUTED_VALUE"""),45754.0)</f>
        <v>45754</v>
      </c>
      <c r="E437" s="147">
        <f>IFERROR(__xludf.DUMMYFUNCTION("""COMPUTED_VALUE"""),45761.0)</f>
        <v>45761</v>
      </c>
      <c r="F437" s="147">
        <f>IFERROR(__xludf.DUMMYFUNCTION("""COMPUTED_VALUE"""),45782.0)</f>
        <v>45782</v>
      </c>
      <c r="G437" s="146" t="str">
        <f>IFERROR(__xludf.DUMMYFUNCTION("""COMPUTED_VALUE"""),"BRG12")</f>
        <v>BRG12</v>
      </c>
      <c r="H437" s="148">
        <f>IFERROR(__xludf.DUMMYFUNCTION("""COMPUTED_VALUE"""),955.0)</f>
        <v>955</v>
      </c>
      <c r="I437" s="148">
        <f>IFERROR(__xludf.DUMMYFUNCTION("""COMPUTED_VALUE"""),1015.0)</f>
        <v>1015</v>
      </c>
      <c r="J437" s="146">
        <f>IFERROR(__xludf.DUMMYFUNCTION("""COMPUTED_VALUE"""),31.0)</f>
        <v>31</v>
      </c>
      <c r="K437" s="146">
        <f>IFERROR(__xludf.DUMMYFUNCTION("""COMPUTED_VALUE"""),31.0)</f>
        <v>31</v>
      </c>
      <c r="L437" s="146"/>
      <c r="M437" s="146"/>
      <c r="N437" s="146"/>
      <c r="O437" s="146"/>
      <c r="P437" s="146">
        <f>IFERROR(__xludf.DUMMYFUNCTION("""COMPUTED_VALUE"""),272.0)</f>
        <v>272</v>
      </c>
      <c r="Q437" s="146"/>
      <c r="R437" s="146"/>
      <c r="T437" s="131" t="str">
        <f>IFERROR(__xludf.DUMMYFUNCTION("""COMPUTED_VALUE"""),"Y")</f>
        <v>Y</v>
      </c>
      <c r="U437" s="131" t="str">
        <f>IFERROR(__xludf.DUMMYFUNCTION("""COMPUTED_VALUE"""),"6")</f>
        <v>6</v>
      </c>
      <c r="V437" s="131" t="str">
        <f>IFERROR(__xludf.DUMMYFUNCTION("""COMPUTED_VALUE"""),"1105-1110")</f>
        <v>1105-1110</v>
      </c>
      <c r="W437" s="144">
        <f>IFERROR(__xludf.DUMMYFUNCTION("""COMPUTED_VALUE"""),45754.0)</f>
        <v>45754</v>
      </c>
      <c r="X437" s="144">
        <f>IFERROR(__xludf.DUMMYFUNCTION("""COMPUTED_VALUE"""),45761.0)</f>
        <v>45761</v>
      </c>
      <c r="Y437" s="144">
        <f>IFERROR(__xludf.DUMMYFUNCTION("""COMPUTED_VALUE"""),45782.0)</f>
        <v>45782</v>
      </c>
      <c r="Z437" s="131" t="str">
        <f>IFERROR(__xludf.DUMMYFUNCTION("""COMPUTED_VALUE"""),"BRG10")</f>
        <v>BRG10</v>
      </c>
      <c r="AA437" s="131">
        <f>IFERROR(__xludf.DUMMYFUNCTION("""COMPUTED_VALUE"""),525.0)</f>
        <v>525</v>
      </c>
      <c r="AB437" s="131">
        <f>IFERROR(__xludf.DUMMYFUNCTION("""COMPUTED_VALUE"""),581.0)</f>
        <v>581</v>
      </c>
      <c r="AC437" s="131">
        <f>IFERROR(__xludf.DUMMYFUNCTION("""COMPUTED_VALUE"""),29.0)</f>
        <v>29</v>
      </c>
      <c r="AD437" s="131">
        <f>IFERROR(__xludf.DUMMYFUNCTION("""COMPUTED_VALUE"""),29.0)</f>
        <v>29</v>
      </c>
      <c r="AE437" s="131">
        <f>IFERROR(__xludf.DUMMYFUNCTION("""COMPUTED_VALUE"""),464.0)</f>
        <v>464</v>
      </c>
      <c r="AF437" s="131">
        <f>IFERROR(__xludf.DUMMYFUNCTION("""COMPUTED_VALUE"""),518.0)</f>
        <v>518</v>
      </c>
      <c r="AG437" s="131">
        <f>IFERROR(__xludf.DUMMYFUNCTION("""COMPUTED_VALUE"""),28.0)</f>
        <v>28</v>
      </c>
      <c r="AH437" s="131">
        <f>IFERROR(__xludf.DUMMYFUNCTION("""COMPUTED_VALUE"""),28.0)</f>
        <v>28</v>
      </c>
      <c r="AI437" s="131">
        <f>IFERROR(__xludf.DUMMYFUNCTION("""COMPUTED_VALUE"""),271.0)</f>
        <v>271</v>
      </c>
      <c r="AJ437" s="131"/>
      <c r="AK437" s="131"/>
    </row>
    <row r="438">
      <c r="A438" s="145" t="str">
        <f>IFERROR(__xludf.DUMMYFUNCTION("""COMPUTED_VALUE"""),"Y")</f>
        <v>Y</v>
      </c>
      <c r="B438" s="146" t="str">
        <f>IFERROR(__xludf.DUMMYFUNCTION("""COMPUTED_VALUE"""),"6")</f>
        <v>6</v>
      </c>
      <c r="C438" s="146" t="str">
        <f>IFERROR(__xludf.DUMMYFUNCTION("""COMPUTED_VALUE"""),"1105-1110")</f>
        <v>1105-1110</v>
      </c>
      <c r="D438" s="147">
        <f>IFERROR(__xludf.DUMMYFUNCTION("""COMPUTED_VALUE"""),45754.0)</f>
        <v>45754</v>
      </c>
      <c r="E438" s="147">
        <f>IFERROR(__xludf.DUMMYFUNCTION("""COMPUTED_VALUE"""),45761.0)</f>
        <v>45761</v>
      </c>
      <c r="F438" s="147">
        <f>IFERROR(__xludf.DUMMYFUNCTION("""COMPUTED_VALUE"""),45782.0)</f>
        <v>45782</v>
      </c>
      <c r="G438" s="146" t="str">
        <f>IFERROR(__xludf.DUMMYFUNCTION("""COMPUTED_VALUE"""),"BRG10")</f>
        <v>BRG10</v>
      </c>
      <c r="H438" s="148">
        <f>IFERROR(__xludf.DUMMYFUNCTION("""COMPUTED_VALUE"""),525.0)</f>
        <v>525</v>
      </c>
      <c r="I438" s="148">
        <f>IFERROR(__xludf.DUMMYFUNCTION("""COMPUTED_VALUE"""),581.0)</f>
        <v>581</v>
      </c>
      <c r="J438" s="146">
        <f>IFERROR(__xludf.DUMMYFUNCTION("""COMPUTED_VALUE"""),29.0)</f>
        <v>29</v>
      </c>
      <c r="K438" s="146">
        <f>IFERROR(__xludf.DUMMYFUNCTION("""COMPUTED_VALUE"""),29.0)</f>
        <v>29</v>
      </c>
      <c r="L438" s="146">
        <f>IFERROR(__xludf.DUMMYFUNCTION("""COMPUTED_VALUE"""),464.0)</f>
        <v>464</v>
      </c>
      <c r="M438" s="146">
        <f>IFERROR(__xludf.DUMMYFUNCTION("""COMPUTED_VALUE"""),518.0)</f>
        <v>518</v>
      </c>
      <c r="N438" s="146">
        <f>IFERROR(__xludf.DUMMYFUNCTION("""COMPUTED_VALUE"""),28.0)</f>
        <v>28</v>
      </c>
      <c r="O438" s="146">
        <f>IFERROR(__xludf.DUMMYFUNCTION("""COMPUTED_VALUE"""),28.0)</f>
        <v>28</v>
      </c>
      <c r="P438" s="146">
        <f>IFERROR(__xludf.DUMMYFUNCTION("""COMPUTED_VALUE"""),271.0)</f>
        <v>271</v>
      </c>
      <c r="Q438" s="146"/>
      <c r="R438" s="146"/>
      <c r="T438" s="131" t="str">
        <f>IFERROR(__xludf.DUMMYFUNCTION("""COMPUTED_VALUE"""),"Y")</f>
        <v>Y</v>
      </c>
      <c r="U438" s="131" t="str">
        <f>IFERROR(__xludf.DUMMYFUNCTION("""COMPUTED_VALUE"""),"6")</f>
        <v>6</v>
      </c>
      <c r="V438" s="131" t="str">
        <f>IFERROR(__xludf.DUMMYFUNCTION("""COMPUTED_VALUE"""),"1117-1122")</f>
        <v>1117-1122</v>
      </c>
      <c r="W438" s="144">
        <f>IFERROR(__xludf.DUMMYFUNCTION("""COMPUTED_VALUE"""),45755.0)</f>
        <v>45755</v>
      </c>
      <c r="X438" s="144">
        <f>IFERROR(__xludf.DUMMYFUNCTION("""COMPUTED_VALUE"""),45762.0)</f>
        <v>45762</v>
      </c>
      <c r="Y438" s="144">
        <f>IFERROR(__xludf.DUMMYFUNCTION("""COMPUTED_VALUE"""),45783.0)</f>
        <v>45783</v>
      </c>
      <c r="Z438" s="131" t="str">
        <f>IFERROR(__xludf.DUMMYFUNCTION("""COMPUTED_VALUE"""),"D39-3R")</f>
        <v>D39-3R</v>
      </c>
      <c r="AA438" s="131"/>
      <c r="AB438" s="131"/>
      <c r="AC438" s="131"/>
      <c r="AD438" s="131"/>
      <c r="AE438" s="131">
        <f>IFERROR(__xludf.DUMMYFUNCTION("""COMPUTED_VALUE"""),2.0)</f>
        <v>2</v>
      </c>
      <c r="AF438" s="131">
        <f>IFERROR(__xludf.DUMMYFUNCTION("""COMPUTED_VALUE"""),104.0)</f>
        <v>104</v>
      </c>
      <c r="AG438" s="131">
        <f>IFERROR(__xludf.DUMMYFUNCTION("""COMPUTED_VALUE"""),52.0)</f>
        <v>52</v>
      </c>
      <c r="AH438" s="131">
        <f>IFERROR(__xludf.DUMMYFUNCTION("""COMPUTED_VALUE"""),52.0)</f>
        <v>52</v>
      </c>
      <c r="AI438" s="131">
        <f>IFERROR(__xludf.DUMMYFUNCTION("""COMPUTED_VALUE"""),273.0)</f>
        <v>273</v>
      </c>
      <c r="AJ438" s="131"/>
      <c r="AK438" s="131"/>
    </row>
    <row r="439">
      <c r="A439" s="145" t="str">
        <f>IFERROR(__xludf.DUMMYFUNCTION("""COMPUTED_VALUE"""),"Y")</f>
        <v>Y</v>
      </c>
      <c r="B439" s="146" t="str">
        <f>IFERROR(__xludf.DUMMYFUNCTION("""COMPUTED_VALUE"""),"6")</f>
        <v>6</v>
      </c>
      <c r="C439" s="146" t="str">
        <f>IFERROR(__xludf.DUMMYFUNCTION("""COMPUTED_VALUE"""),"1117-1122")</f>
        <v>1117-1122</v>
      </c>
      <c r="D439" s="147">
        <f>IFERROR(__xludf.DUMMYFUNCTION("""COMPUTED_VALUE"""),45755.0)</f>
        <v>45755</v>
      </c>
      <c r="E439" s="147">
        <f>IFERROR(__xludf.DUMMYFUNCTION("""COMPUTED_VALUE"""),45762.0)</f>
        <v>45762</v>
      </c>
      <c r="F439" s="147">
        <f>IFERROR(__xludf.DUMMYFUNCTION("""COMPUTED_VALUE"""),45783.0)</f>
        <v>45783</v>
      </c>
      <c r="G439" s="146" t="str">
        <f>IFERROR(__xludf.DUMMYFUNCTION("""COMPUTED_VALUE"""),"D39-3R")</f>
        <v>D39-3R</v>
      </c>
      <c r="H439" s="148"/>
      <c r="I439" s="148"/>
      <c r="J439" s="146"/>
      <c r="K439" s="146"/>
      <c r="L439" s="146">
        <f>IFERROR(__xludf.DUMMYFUNCTION("""COMPUTED_VALUE"""),2.0)</f>
        <v>2</v>
      </c>
      <c r="M439" s="146">
        <f>IFERROR(__xludf.DUMMYFUNCTION("""COMPUTED_VALUE"""),104.0)</f>
        <v>104</v>
      </c>
      <c r="N439" s="146">
        <f>IFERROR(__xludf.DUMMYFUNCTION("""COMPUTED_VALUE"""),52.0)</f>
        <v>52</v>
      </c>
      <c r="O439" s="146">
        <f>IFERROR(__xludf.DUMMYFUNCTION("""COMPUTED_VALUE"""),52.0)</f>
        <v>52</v>
      </c>
      <c r="P439" s="146">
        <f>IFERROR(__xludf.DUMMYFUNCTION("""COMPUTED_VALUE"""),273.0)</f>
        <v>273</v>
      </c>
      <c r="Q439" s="146"/>
      <c r="R439" s="146"/>
      <c r="T439" s="131" t="str">
        <f>IFERROR(__xludf.DUMMYFUNCTION("""COMPUTED_VALUE"""),"Y")</f>
        <v>Y</v>
      </c>
      <c r="U439" s="131" t="str">
        <f>IFERROR(__xludf.DUMMYFUNCTION("""COMPUTED_VALUE"""),"6")</f>
        <v>6</v>
      </c>
      <c r="V439" s="131" t="str">
        <f>IFERROR(__xludf.DUMMYFUNCTION("""COMPUTED_VALUE"""),"1111-1116")</f>
        <v>1111-1116</v>
      </c>
      <c r="W439" s="144">
        <f>IFERROR(__xludf.DUMMYFUNCTION("""COMPUTED_VALUE"""),45755.0)</f>
        <v>45755</v>
      </c>
      <c r="X439" s="144">
        <f>IFERROR(__xludf.DUMMYFUNCTION("""COMPUTED_VALUE"""),45762.0)</f>
        <v>45762</v>
      </c>
      <c r="Y439" s="144">
        <f>IFERROR(__xludf.DUMMYFUNCTION("""COMPUTED_VALUE"""),45783.0)</f>
        <v>45783</v>
      </c>
      <c r="Z439" s="131" t="str">
        <f>IFERROR(__xludf.DUMMYFUNCTION("""COMPUTED_VALUE"""),"BRG10")</f>
        <v>BRG10</v>
      </c>
      <c r="AA439" s="131"/>
      <c r="AB439" s="131"/>
      <c r="AC439" s="131"/>
      <c r="AD439" s="131"/>
      <c r="AE439" s="131">
        <f>IFERROR(__xludf.DUMMYFUNCTION("""COMPUTED_VALUE"""),520.0)</f>
        <v>520</v>
      </c>
      <c r="AF439" s="131">
        <f>IFERROR(__xludf.DUMMYFUNCTION("""COMPUTED_VALUE"""),580.0)</f>
        <v>580</v>
      </c>
      <c r="AG439" s="131">
        <f>IFERROR(__xludf.DUMMYFUNCTION("""COMPUTED_VALUE"""),31.0)</f>
        <v>31</v>
      </c>
      <c r="AH439" s="131">
        <f>IFERROR(__xludf.DUMMYFUNCTION("""COMPUTED_VALUE"""),31.0)</f>
        <v>31</v>
      </c>
      <c r="AI439" s="131">
        <f>IFERROR(__xludf.DUMMYFUNCTION("""COMPUTED_VALUE"""),274.0)</f>
        <v>274</v>
      </c>
      <c r="AJ439" s="131"/>
      <c r="AK439" s="131"/>
    </row>
    <row r="440">
      <c r="A440" s="145" t="str">
        <f>IFERROR(__xludf.DUMMYFUNCTION("""COMPUTED_VALUE"""),"Y")</f>
        <v>Y</v>
      </c>
      <c r="B440" s="146" t="str">
        <f>IFERROR(__xludf.DUMMYFUNCTION("""COMPUTED_VALUE"""),"6")</f>
        <v>6</v>
      </c>
      <c r="C440" s="146" t="str">
        <f>IFERROR(__xludf.DUMMYFUNCTION("""COMPUTED_VALUE"""),"1111-1116")</f>
        <v>1111-1116</v>
      </c>
      <c r="D440" s="147">
        <f>IFERROR(__xludf.DUMMYFUNCTION("""COMPUTED_VALUE"""),45755.0)</f>
        <v>45755</v>
      </c>
      <c r="E440" s="147">
        <f>IFERROR(__xludf.DUMMYFUNCTION("""COMPUTED_VALUE"""),45762.0)</f>
        <v>45762</v>
      </c>
      <c r="F440" s="147">
        <f>IFERROR(__xludf.DUMMYFUNCTION("""COMPUTED_VALUE"""),45783.0)</f>
        <v>45783</v>
      </c>
      <c r="G440" s="146" t="str">
        <f>IFERROR(__xludf.DUMMYFUNCTION("""COMPUTED_VALUE"""),"BRG10")</f>
        <v>BRG10</v>
      </c>
      <c r="H440" s="148"/>
      <c r="I440" s="148"/>
      <c r="J440" s="146"/>
      <c r="K440" s="146"/>
      <c r="L440" s="146">
        <f>IFERROR(__xludf.DUMMYFUNCTION("""COMPUTED_VALUE"""),520.0)</f>
        <v>520</v>
      </c>
      <c r="M440" s="146">
        <f>IFERROR(__xludf.DUMMYFUNCTION("""COMPUTED_VALUE"""),580.0)</f>
        <v>580</v>
      </c>
      <c r="N440" s="146">
        <f>IFERROR(__xludf.DUMMYFUNCTION("""COMPUTED_VALUE"""),31.0)</f>
        <v>31</v>
      </c>
      <c r="O440" s="146">
        <f>IFERROR(__xludf.DUMMYFUNCTION("""COMPUTED_VALUE"""),31.0)</f>
        <v>31</v>
      </c>
      <c r="P440" s="146">
        <f>IFERROR(__xludf.DUMMYFUNCTION("""COMPUTED_VALUE"""),274.0)</f>
        <v>274</v>
      </c>
      <c r="Q440" s="146"/>
      <c r="R440" s="146"/>
      <c r="T440" s="131" t="str">
        <f>IFERROR(__xludf.DUMMYFUNCTION("""COMPUTED_VALUE"""),"Y")</f>
        <v>Y</v>
      </c>
      <c r="U440" s="131" t="str">
        <f>IFERROR(__xludf.DUMMYFUNCTION("""COMPUTED_VALUE"""),"6")</f>
        <v>6</v>
      </c>
      <c r="V440" s="131" t="str">
        <f>IFERROR(__xludf.DUMMYFUNCTION("""COMPUTED_VALUE"""),"1129-1134")</f>
        <v>1129-1134</v>
      </c>
      <c r="W440" s="144">
        <f>IFERROR(__xludf.DUMMYFUNCTION("""COMPUTED_VALUE"""),45757.0)</f>
        <v>45757</v>
      </c>
      <c r="X440" s="144">
        <f>IFERROR(__xludf.DUMMYFUNCTION("""COMPUTED_VALUE"""),45764.0)</f>
        <v>45764</v>
      </c>
      <c r="Y440" s="144">
        <f>IFERROR(__xludf.DUMMYFUNCTION("""COMPUTED_VALUE"""),45785.0)</f>
        <v>45785</v>
      </c>
      <c r="Z440" s="131" t="str">
        <f>IFERROR(__xludf.DUMMYFUNCTION("""COMPUTED_VALUE"""),"D39-2R")</f>
        <v>D39-2R</v>
      </c>
      <c r="AA440" s="131"/>
      <c r="AB440" s="131"/>
      <c r="AC440" s="131"/>
      <c r="AD440" s="131"/>
      <c r="AE440" s="131">
        <f>IFERROR(__xludf.DUMMYFUNCTION("""COMPUTED_VALUE"""),2.0)</f>
        <v>2</v>
      </c>
      <c r="AF440" s="131">
        <f>IFERROR(__xludf.DUMMYFUNCTION("""COMPUTED_VALUE"""),164.0)</f>
        <v>164</v>
      </c>
      <c r="AG440" s="131">
        <f>IFERROR(__xludf.DUMMYFUNCTION("""COMPUTED_VALUE"""),82.0)</f>
        <v>82</v>
      </c>
      <c r="AH440" s="131">
        <f>IFERROR(__xludf.DUMMYFUNCTION("""COMPUTED_VALUE"""),82.0)</f>
        <v>82</v>
      </c>
      <c r="AI440" s="131">
        <f>IFERROR(__xludf.DUMMYFUNCTION("""COMPUTED_VALUE"""),275.0)</f>
        <v>275</v>
      </c>
      <c r="AJ440" s="131"/>
      <c r="AK440" s="131"/>
    </row>
    <row r="441">
      <c r="A441" s="145" t="str">
        <f>IFERROR(__xludf.DUMMYFUNCTION("""COMPUTED_VALUE"""),"Y")</f>
        <v>Y</v>
      </c>
      <c r="B441" s="146" t="str">
        <f>IFERROR(__xludf.DUMMYFUNCTION("""COMPUTED_VALUE"""),"6")</f>
        <v>6</v>
      </c>
      <c r="C441" s="146" t="str">
        <f>IFERROR(__xludf.DUMMYFUNCTION("""COMPUTED_VALUE"""),"1129-1134")</f>
        <v>1129-1134</v>
      </c>
      <c r="D441" s="147">
        <f>IFERROR(__xludf.DUMMYFUNCTION("""COMPUTED_VALUE"""),45757.0)</f>
        <v>45757</v>
      </c>
      <c r="E441" s="147">
        <f>IFERROR(__xludf.DUMMYFUNCTION("""COMPUTED_VALUE"""),45764.0)</f>
        <v>45764</v>
      </c>
      <c r="F441" s="147">
        <f>IFERROR(__xludf.DUMMYFUNCTION("""COMPUTED_VALUE"""),45785.0)</f>
        <v>45785</v>
      </c>
      <c r="G441" s="146" t="str">
        <f>IFERROR(__xludf.DUMMYFUNCTION("""COMPUTED_VALUE"""),"D39-2R")</f>
        <v>D39-2R</v>
      </c>
      <c r="H441" s="148"/>
      <c r="I441" s="148"/>
      <c r="J441" s="146"/>
      <c r="K441" s="146"/>
      <c r="L441" s="146">
        <f>IFERROR(__xludf.DUMMYFUNCTION("""COMPUTED_VALUE"""),2.0)</f>
        <v>2</v>
      </c>
      <c r="M441" s="146">
        <f>IFERROR(__xludf.DUMMYFUNCTION("""COMPUTED_VALUE"""),164.0)</f>
        <v>164</v>
      </c>
      <c r="N441" s="146">
        <f>IFERROR(__xludf.DUMMYFUNCTION("""COMPUTED_VALUE"""),82.0)</f>
        <v>82</v>
      </c>
      <c r="O441" s="146">
        <f>IFERROR(__xludf.DUMMYFUNCTION("""COMPUTED_VALUE"""),82.0)</f>
        <v>82</v>
      </c>
      <c r="P441" s="146">
        <f>IFERROR(__xludf.DUMMYFUNCTION("""COMPUTED_VALUE"""),275.0)</f>
        <v>275</v>
      </c>
      <c r="Q441" s="146"/>
      <c r="R441" s="146"/>
      <c r="T441" s="131" t="str">
        <f>IFERROR(__xludf.DUMMYFUNCTION("""COMPUTED_VALUE"""),"Y")</f>
        <v>Y</v>
      </c>
      <c r="U441" s="131" t="str">
        <f>IFERROR(__xludf.DUMMYFUNCTION("""COMPUTED_VALUE"""),"6")</f>
        <v>6</v>
      </c>
      <c r="V441" s="131" t="str">
        <f>IFERROR(__xludf.DUMMYFUNCTION("""COMPUTED_VALUE"""),"1129-1134")</f>
        <v>1129-1134</v>
      </c>
      <c r="W441" s="144">
        <f>IFERROR(__xludf.DUMMYFUNCTION("""COMPUTED_VALUE"""),45757.0)</f>
        <v>45757</v>
      </c>
      <c r="X441" s="144">
        <f>IFERROR(__xludf.DUMMYFUNCTION("""COMPUTED_VALUE"""),45764.0)</f>
        <v>45764</v>
      </c>
      <c r="Y441" s="144">
        <f>IFERROR(__xludf.DUMMYFUNCTION("""COMPUTED_VALUE"""),45785.0)</f>
        <v>45785</v>
      </c>
      <c r="Z441" s="131" t="str">
        <f>IFERROR(__xludf.DUMMYFUNCTION("""COMPUTED_VALUE"""),"D39-3R")</f>
        <v>D39-3R</v>
      </c>
      <c r="AA441" s="131">
        <f>IFERROR(__xludf.DUMMYFUNCTION("""COMPUTED_VALUE"""),3.0)</f>
        <v>3</v>
      </c>
      <c r="AB441" s="131">
        <f>IFERROR(__xludf.DUMMYFUNCTION("""COMPUTED_VALUE"""),87.0)</f>
        <v>87</v>
      </c>
      <c r="AC441" s="131">
        <f>IFERROR(__xludf.DUMMYFUNCTION("""COMPUTED_VALUE"""),43.0)</f>
        <v>43</v>
      </c>
      <c r="AD441" s="131">
        <f>IFERROR(__xludf.DUMMYFUNCTION("""COMPUTED_VALUE"""),43.0)</f>
        <v>43</v>
      </c>
      <c r="AE441" s="131"/>
      <c r="AF441" s="131"/>
      <c r="AG441" s="131"/>
      <c r="AH441" s="131"/>
      <c r="AI441" s="131">
        <f>IFERROR(__xludf.DUMMYFUNCTION("""COMPUTED_VALUE"""),275.0)</f>
        <v>275</v>
      </c>
      <c r="AJ441" s="131"/>
      <c r="AK441" s="131"/>
    </row>
    <row r="442">
      <c r="A442" s="145" t="str">
        <f>IFERROR(__xludf.DUMMYFUNCTION("""COMPUTED_VALUE"""),"Y")</f>
        <v>Y</v>
      </c>
      <c r="B442" s="146" t="str">
        <f>IFERROR(__xludf.DUMMYFUNCTION("""COMPUTED_VALUE"""),"6")</f>
        <v>6</v>
      </c>
      <c r="C442" s="146" t="str">
        <f>IFERROR(__xludf.DUMMYFUNCTION("""COMPUTED_VALUE"""),"1129-1134")</f>
        <v>1129-1134</v>
      </c>
      <c r="D442" s="147">
        <f>IFERROR(__xludf.DUMMYFUNCTION("""COMPUTED_VALUE"""),45757.0)</f>
        <v>45757</v>
      </c>
      <c r="E442" s="147">
        <f>IFERROR(__xludf.DUMMYFUNCTION("""COMPUTED_VALUE"""),45764.0)</f>
        <v>45764</v>
      </c>
      <c r="F442" s="147">
        <f>IFERROR(__xludf.DUMMYFUNCTION("""COMPUTED_VALUE"""),45785.0)</f>
        <v>45785</v>
      </c>
      <c r="G442" s="146" t="str">
        <f>IFERROR(__xludf.DUMMYFUNCTION("""COMPUTED_VALUE"""),"D39-3R")</f>
        <v>D39-3R</v>
      </c>
      <c r="H442" s="148">
        <f>IFERROR(__xludf.DUMMYFUNCTION("""COMPUTED_VALUE"""),3.0)</f>
        <v>3</v>
      </c>
      <c r="I442" s="148">
        <f>IFERROR(__xludf.DUMMYFUNCTION("""COMPUTED_VALUE"""),87.0)</f>
        <v>87</v>
      </c>
      <c r="J442" s="146">
        <f>IFERROR(__xludf.DUMMYFUNCTION("""COMPUTED_VALUE"""),43.0)</f>
        <v>43</v>
      </c>
      <c r="K442" s="146">
        <f>IFERROR(__xludf.DUMMYFUNCTION("""COMPUTED_VALUE"""),43.0)</f>
        <v>43</v>
      </c>
      <c r="L442" s="146"/>
      <c r="M442" s="146"/>
      <c r="N442" s="146"/>
      <c r="O442" s="146"/>
      <c r="P442" s="146">
        <f>IFERROR(__xludf.DUMMYFUNCTION("""COMPUTED_VALUE"""),275.0)</f>
        <v>275</v>
      </c>
      <c r="Q442" s="146"/>
      <c r="R442" s="146"/>
      <c r="T442" s="131" t="str">
        <f>IFERROR(__xludf.DUMMYFUNCTION("""COMPUTED_VALUE"""),"Y")</f>
        <v>Y</v>
      </c>
      <c r="U442" s="131" t="str">
        <f>IFERROR(__xludf.DUMMYFUNCTION("""COMPUTED_VALUE"""),"6")</f>
        <v>6</v>
      </c>
      <c r="V442" s="131" t="str">
        <f>IFERROR(__xludf.DUMMYFUNCTION("""COMPUTED_VALUE"""),"1123-1128")</f>
        <v>1123-1128</v>
      </c>
      <c r="W442" s="144">
        <f>IFERROR(__xludf.DUMMYFUNCTION("""COMPUTED_VALUE"""),45757.0)</f>
        <v>45757</v>
      </c>
      <c r="X442" s="144">
        <f>IFERROR(__xludf.DUMMYFUNCTION("""COMPUTED_VALUE"""),45764.0)</f>
        <v>45764</v>
      </c>
      <c r="Y442" s="144">
        <f>IFERROR(__xludf.DUMMYFUNCTION("""COMPUTED_VALUE"""),45785.0)</f>
        <v>45785</v>
      </c>
      <c r="Z442" s="131" t="str">
        <f>IFERROR(__xludf.DUMMYFUNCTION("""COMPUTED_VALUE"""),"BRG10")</f>
        <v>BRG10</v>
      </c>
      <c r="AA442" s="131">
        <f>IFERROR(__xludf.DUMMYFUNCTION("""COMPUTED_VALUE"""),591.0)</f>
        <v>591</v>
      </c>
      <c r="AB442" s="131">
        <f>IFERROR(__xludf.DUMMYFUNCTION("""COMPUTED_VALUE"""),697.0)</f>
        <v>697</v>
      </c>
      <c r="AC442" s="131">
        <f>IFERROR(__xludf.DUMMYFUNCTION("""COMPUTED_VALUE"""),54.0)</f>
        <v>54</v>
      </c>
      <c r="AD442" s="131">
        <f>IFERROR(__xludf.DUMMYFUNCTION("""COMPUTED_VALUE"""),54.0)</f>
        <v>54</v>
      </c>
      <c r="AE442" s="131"/>
      <c r="AF442" s="131"/>
      <c r="AG442" s="131"/>
      <c r="AH442" s="131"/>
      <c r="AI442" s="131">
        <f>IFERROR(__xludf.DUMMYFUNCTION("""COMPUTED_VALUE"""),276.0)</f>
        <v>276</v>
      </c>
      <c r="AJ442" s="131"/>
      <c r="AK442" s="131"/>
    </row>
    <row r="443">
      <c r="A443" s="145" t="str">
        <f>IFERROR(__xludf.DUMMYFUNCTION("""COMPUTED_VALUE"""),"Y")</f>
        <v>Y</v>
      </c>
      <c r="B443" s="146" t="str">
        <f>IFERROR(__xludf.DUMMYFUNCTION("""COMPUTED_VALUE"""),"6")</f>
        <v>6</v>
      </c>
      <c r="C443" s="146" t="str">
        <f>IFERROR(__xludf.DUMMYFUNCTION("""COMPUTED_VALUE"""),"1123-1128")</f>
        <v>1123-1128</v>
      </c>
      <c r="D443" s="147">
        <f>IFERROR(__xludf.DUMMYFUNCTION("""COMPUTED_VALUE"""),45757.0)</f>
        <v>45757</v>
      </c>
      <c r="E443" s="147">
        <f>IFERROR(__xludf.DUMMYFUNCTION("""COMPUTED_VALUE"""),45764.0)</f>
        <v>45764</v>
      </c>
      <c r="F443" s="147">
        <f>IFERROR(__xludf.DUMMYFUNCTION("""COMPUTED_VALUE"""),45785.0)</f>
        <v>45785</v>
      </c>
      <c r="G443" s="146" t="str">
        <f>IFERROR(__xludf.DUMMYFUNCTION("""COMPUTED_VALUE"""),"BRG10")</f>
        <v>BRG10</v>
      </c>
      <c r="H443" s="148">
        <f>IFERROR(__xludf.DUMMYFUNCTION("""COMPUTED_VALUE"""),591.0)</f>
        <v>591</v>
      </c>
      <c r="I443" s="148">
        <f>IFERROR(__xludf.DUMMYFUNCTION("""COMPUTED_VALUE"""),697.0)</f>
        <v>697</v>
      </c>
      <c r="J443" s="146">
        <f>IFERROR(__xludf.DUMMYFUNCTION("""COMPUTED_VALUE"""),54.0)</f>
        <v>54</v>
      </c>
      <c r="K443" s="146">
        <f>IFERROR(__xludf.DUMMYFUNCTION("""COMPUTED_VALUE"""),54.0)</f>
        <v>54</v>
      </c>
      <c r="L443" s="146"/>
      <c r="M443" s="146"/>
      <c r="N443" s="146"/>
      <c r="O443" s="146"/>
      <c r="P443" s="146">
        <f>IFERROR(__xludf.DUMMYFUNCTION("""COMPUTED_VALUE"""),276.0)</f>
        <v>276</v>
      </c>
      <c r="Q443" s="146"/>
      <c r="R443" s="146"/>
      <c r="T443" s="131" t="str">
        <f>IFERROR(__xludf.DUMMYFUNCTION("""COMPUTED_VALUE"""),"Y")</f>
        <v>Y</v>
      </c>
      <c r="U443" s="131" t="str">
        <f>IFERROR(__xludf.DUMMYFUNCTION("""COMPUTED_VALUE"""),"6")</f>
        <v>6</v>
      </c>
      <c r="V443" s="131" t="str">
        <f>IFERROR(__xludf.DUMMYFUNCTION("""COMPUTED_VALUE"""),"1147-1152")</f>
        <v>1147-1152</v>
      </c>
      <c r="W443" s="144">
        <f>IFERROR(__xludf.DUMMYFUNCTION("""COMPUTED_VALUE"""),45759.0)</f>
        <v>45759</v>
      </c>
      <c r="X443" s="144">
        <f>IFERROR(__xludf.DUMMYFUNCTION("""COMPUTED_VALUE"""),45766.0)</f>
        <v>45766</v>
      </c>
      <c r="Y443" s="144">
        <f>IFERROR(__xludf.DUMMYFUNCTION("""COMPUTED_VALUE"""),45787.0)</f>
        <v>45787</v>
      </c>
      <c r="Z443" s="131" t="str">
        <f>IFERROR(__xludf.DUMMYFUNCTION("""COMPUTED_VALUE"""),"D39-2R")</f>
        <v>D39-2R</v>
      </c>
      <c r="AA443" s="131">
        <f>IFERROR(__xludf.DUMMYFUNCTION("""COMPUTED_VALUE"""),3.0)</f>
        <v>3</v>
      </c>
      <c r="AB443" s="131">
        <f>IFERROR(__xludf.DUMMYFUNCTION("""COMPUTED_VALUE"""),49.0)</f>
        <v>49</v>
      </c>
      <c r="AC443" s="131">
        <f>IFERROR(__xludf.DUMMYFUNCTION("""COMPUTED_VALUE"""),24.0)</f>
        <v>24</v>
      </c>
      <c r="AD443" s="131">
        <f>IFERROR(__xludf.DUMMYFUNCTION("""COMPUTED_VALUE"""),24.0)</f>
        <v>24</v>
      </c>
      <c r="AE443" s="131"/>
      <c r="AF443" s="131"/>
      <c r="AG443" s="131"/>
      <c r="AH443" s="131"/>
      <c r="AI443" s="131">
        <f>IFERROR(__xludf.DUMMYFUNCTION("""COMPUTED_VALUE"""),278.0)</f>
        <v>278</v>
      </c>
      <c r="AJ443" s="131"/>
      <c r="AK443" s="131"/>
    </row>
    <row r="444">
      <c r="A444" s="145" t="str">
        <f>IFERROR(__xludf.DUMMYFUNCTION("""COMPUTED_VALUE"""),"Y")</f>
        <v>Y</v>
      </c>
      <c r="B444" s="146" t="str">
        <f>IFERROR(__xludf.DUMMYFUNCTION("""COMPUTED_VALUE"""),"6")</f>
        <v>6</v>
      </c>
      <c r="C444" s="146" t="str">
        <f>IFERROR(__xludf.DUMMYFUNCTION("""COMPUTED_VALUE"""),"1147-1152")</f>
        <v>1147-1152</v>
      </c>
      <c r="D444" s="147">
        <f>IFERROR(__xludf.DUMMYFUNCTION("""COMPUTED_VALUE"""),45759.0)</f>
        <v>45759</v>
      </c>
      <c r="E444" s="147">
        <f>IFERROR(__xludf.DUMMYFUNCTION("""COMPUTED_VALUE"""),45766.0)</f>
        <v>45766</v>
      </c>
      <c r="F444" s="147">
        <f>IFERROR(__xludf.DUMMYFUNCTION("""COMPUTED_VALUE"""),45787.0)</f>
        <v>45787</v>
      </c>
      <c r="G444" s="146" t="str">
        <f>IFERROR(__xludf.DUMMYFUNCTION("""COMPUTED_VALUE"""),"D39-2R")</f>
        <v>D39-2R</v>
      </c>
      <c r="H444" s="148">
        <f>IFERROR(__xludf.DUMMYFUNCTION("""COMPUTED_VALUE"""),3.0)</f>
        <v>3</v>
      </c>
      <c r="I444" s="148">
        <f>IFERROR(__xludf.DUMMYFUNCTION("""COMPUTED_VALUE"""),49.0)</f>
        <v>49</v>
      </c>
      <c r="J444" s="146">
        <f>IFERROR(__xludf.DUMMYFUNCTION("""COMPUTED_VALUE"""),24.0)</f>
        <v>24</v>
      </c>
      <c r="K444" s="146">
        <f>IFERROR(__xludf.DUMMYFUNCTION("""COMPUTED_VALUE"""),24.0)</f>
        <v>24</v>
      </c>
      <c r="L444" s="146"/>
      <c r="M444" s="146"/>
      <c r="N444" s="146"/>
      <c r="O444" s="146"/>
      <c r="P444" s="146">
        <f>IFERROR(__xludf.DUMMYFUNCTION("""COMPUTED_VALUE"""),278.0)</f>
        <v>278</v>
      </c>
      <c r="Q444" s="146"/>
      <c r="R444" s="146"/>
      <c r="T444" s="131" t="str">
        <f>IFERROR(__xludf.DUMMYFUNCTION("""COMPUTED_VALUE"""),"Y")</f>
        <v>Y</v>
      </c>
      <c r="U444" s="131" t="str">
        <f>IFERROR(__xludf.DUMMYFUNCTION("""COMPUTED_VALUE"""),"6")</f>
        <v>6</v>
      </c>
      <c r="V444" s="131" t="str">
        <f>IFERROR(__xludf.DUMMYFUNCTION("""COMPUTED_VALUE"""),"1147-1152")</f>
        <v>1147-1152</v>
      </c>
      <c r="W444" s="144">
        <f>IFERROR(__xludf.DUMMYFUNCTION("""COMPUTED_VALUE"""),45759.0)</f>
        <v>45759</v>
      </c>
      <c r="X444" s="144">
        <f>IFERROR(__xludf.DUMMYFUNCTION("""COMPUTED_VALUE"""),45766.0)</f>
        <v>45766</v>
      </c>
      <c r="Y444" s="144">
        <f>IFERROR(__xludf.DUMMYFUNCTION("""COMPUTED_VALUE"""),45787.0)</f>
        <v>45787</v>
      </c>
      <c r="Z444" s="131" t="str">
        <f>IFERROR(__xludf.DUMMYFUNCTION("""COMPUTED_VALUE"""),"D39-2R")</f>
        <v>D39-2R</v>
      </c>
      <c r="AA444" s="131">
        <f>IFERROR(__xludf.DUMMYFUNCTION("""COMPUTED_VALUE"""),53.0)</f>
        <v>53</v>
      </c>
      <c r="AB444" s="131">
        <f>IFERROR(__xludf.DUMMYFUNCTION("""COMPUTED_VALUE"""),99.0)</f>
        <v>99</v>
      </c>
      <c r="AC444" s="131">
        <f>IFERROR(__xludf.DUMMYFUNCTION("""COMPUTED_VALUE"""),24.0)</f>
        <v>24</v>
      </c>
      <c r="AD444" s="131">
        <f>IFERROR(__xludf.DUMMYFUNCTION("""COMPUTED_VALUE"""),24.0)</f>
        <v>24</v>
      </c>
      <c r="AE444" s="131"/>
      <c r="AF444" s="131"/>
      <c r="AG444" s="131"/>
      <c r="AH444" s="131"/>
      <c r="AI444" s="131">
        <f>IFERROR(__xludf.DUMMYFUNCTION("""COMPUTED_VALUE"""),278.0)</f>
        <v>278</v>
      </c>
      <c r="AJ444" s="131"/>
      <c r="AK444" s="131"/>
    </row>
    <row r="445">
      <c r="A445" s="145" t="str">
        <f>IFERROR(__xludf.DUMMYFUNCTION("""COMPUTED_VALUE"""),"Y")</f>
        <v>Y</v>
      </c>
      <c r="B445" s="146" t="str">
        <f>IFERROR(__xludf.DUMMYFUNCTION("""COMPUTED_VALUE"""),"6")</f>
        <v>6</v>
      </c>
      <c r="C445" s="146" t="str">
        <f>IFERROR(__xludf.DUMMYFUNCTION("""COMPUTED_VALUE"""),"1147-1152")</f>
        <v>1147-1152</v>
      </c>
      <c r="D445" s="147">
        <f>IFERROR(__xludf.DUMMYFUNCTION("""COMPUTED_VALUE"""),45759.0)</f>
        <v>45759</v>
      </c>
      <c r="E445" s="147">
        <f>IFERROR(__xludf.DUMMYFUNCTION("""COMPUTED_VALUE"""),45766.0)</f>
        <v>45766</v>
      </c>
      <c r="F445" s="147">
        <f>IFERROR(__xludf.DUMMYFUNCTION("""COMPUTED_VALUE"""),45787.0)</f>
        <v>45787</v>
      </c>
      <c r="G445" s="146" t="str">
        <f>IFERROR(__xludf.DUMMYFUNCTION("""COMPUTED_VALUE"""),"D39-2R")</f>
        <v>D39-2R</v>
      </c>
      <c r="H445" s="148">
        <f>IFERROR(__xludf.DUMMYFUNCTION("""COMPUTED_VALUE"""),53.0)</f>
        <v>53</v>
      </c>
      <c r="I445" s="148">
        <f>IFERROR(__xludf.DUMMYFUNCTION("""COMPUTED_VALUE"""),99.0)</f>
        <v>99</v>
      </c>
      <c r="J445" s="146">
        <f>IFERROR(__xludf.DUMMYFUNCTION("""COMPUTED_VALUE"""),24.0)</f>
        <v>24</v>
      </c>
      <c r="K445" s="146">
        <f>IFERROR(__xludf.DUMMYFUNCTION("""COMPUTED_VALUE"""),24.0)</f>
        <v>24</v>
      </c>
      <c r="L445" s="146"/>
      <c r="M445" s="146"/>
      <c r="N445" s="146"/>
      <c r="O445" s="146"/>
      <c r="P445" s="146">
        <f>IFERROR(__xludf.DUMMYFUNCTION("""COMPUTED_VALUE"""),278.0)</f>
        <v>278</v>
      </c>
      <c r="Q445" s="146"/>
      <c r="R445" s="146"/>
      <c r="T445" s="131" t="str">
        <f>IFERROR(__xludf.DUMMYFUNCTION("""COMPUTED_VALUE"""),"Y")</f>
        <v>Y</v>
      </c>
      <c r="U445" s="131" t="str">
        <f>IFERROR(__xludf.DUMMYFUNCTION("""COMPUTED_VALUE"""),"6")</f>
        <v>6</v>
      </c>
      <c r="V445" s="131" t="str">
        <f>IFERROR(__xludf.DUMMYFUNCTION("""COMPUTED_VALUE"""),"1147-1152")</f>
        <v>1147-1152</v>
      </c>
      <c r="W445" s="144">
        <f>IFERROR(__xludf.DUMMYFUNCTION("""COMPUTED_VALUE"""),45759.0)</f>
        <v>45759</v>
      </c>
      <c r="X445" s="144">
        <f>IFERROR(__xludf.DUMMYFUNCTION("""COMPUTED_VALUE"""),45766.0)</f>
        <v>45766</v>
      </c>
      <c r="Y445" s="144">
        <f>IFERROR(__xludf.DUMMYFUNCTION("""COMPUTED_VALUE"""),45787.0)</f>
        <v>45787</v>
      </c>
      <c r="Z445" s="131" t="str">
        <f>IFERROR(__xludf.DUMMYFUNCTION("""COMPUTED_VALUE"""),"D39-2R")</f>
        <v>D39-2R</v>
      </c>
      <c r="AA445" s="131">
        <f>IFERROR(__xludf.DUMMYFUNCTION("""COMPUTED_VALUE"""),103.0)</f>
        <v>103</v>
      </c>
      <c r="AB445" s="131">
        <f>IFERROR(__xludf.DUMMYFUNCTION("""COMPUTED_VALUE"""),149.0)</f>
        <v>149</v>
      </c>
      <c r="AC445" s="131">
        <f>IFERROR(__xludf.DUMMYFUNCTION("""COMPUTED_VALUE"""),24.0)</f>
        <v>24</v>
      </c>
      <c r="AD445" s="131">
        <f>IFERROR(__xludf.DUMMYFUNCTION("""COMPUTED_VALUE"""),24.0)</f>
        <v>24</v>
      </c>
      <c r="AE445" s="131"/>
      <c r="AF445" s="131"/>
      <c r="AG445" s="131"/>
      <c r="AH445" s="131"/>
      <c r="AI445" s="131">
        <f>IFERROR(__xludf.DUMMYFUNCTION("""COMPUTED_VALUE"""),278.0)</f>
        <v>278</v>
      </c>
      <c r="AJ445" s="131"/>
      <c r="AK445" s="131"/>
    </row>
    <row r="446">
      <c r="A446" s="145" t="str">
        <f>IFERROR(__xludf.DUMMYFUNCTION("""COMPUTED_VALUE"""),"Y")</f>
        <v>Y</v>
      </c>
      <c r="B446" s="146" t="str">
        <f>IFERROR(__xludf.DUMMYFUNCTION("""COMPUTED_VALUE"""),"6")</f>
        <v>6</v>
      </c>
      <c r="C446" s="146" t="str">
        <f>IFERROR(__xludf.DUMMYFUNCTION("""COMPUTED_VALUE"""),"1147-1152")</f>
        <v>1147-1152</v>
      </c>
      <c r="D446" s="147">
        <f>IFERROR(__xludf.DUMMYFUNCTION("""COMPUTED_VALUE"""),45759.0)</f>
        <v>45759</v>
      </c>
      <c r="E446" s="147">
        <f>IFERROR(__xludf.DUMMYFUNCTION("""COMPUTED_VALUE"""),45766.0)</f>
        <v>45766</v>
      </c>
      <c r="F446" s="147">
        <f>IFERROR(__xludf.DUMMYFUNCTION("""COMPUTED_VALUE"""),45787.0)</f>
        <v>45787</v>
      </c>
      <c r="G446" s="146" t="str">
        <f>IFERROR(__xludf.DUMMYFUNCTION("""COMPUTED_VALUE"""),"D39-2R")</f>
        <v>D39-2R</v>
      </c>
      <c r="H446" s="148">
        <f>IFERROR(__xludf.DUMMYFUNCTION("""COMPUTED_VALUE"""),103.0)</f>
        <v>103</v>
      </c>
      <c r="I446" s="148">
        <f>IFERROR(__xludf.DUMMYFUNCTION("""COMPUTED_VALUE"""),149.0)</f>
        <v>149</v>
      </c>
      <c r="J446" s="146">
        <f>IFERROR(__xludf.DUMMYFUNCTION("""COMPUTED_VALUE"""),24.0)</f>
        <v>24</v>
      </c>
      <c r="K446" s="146">
        <f>IFERROR(__xludf.DUMMYFUNCTION("""COMPUTED_VALUE"""),24.0)</f>
        <v>24</v>
      </c>
      <c r="L446" s="146"/>
      <c r="M446" s="146"/>
      <c r="N446" s="146"/>
      <c r="O446" s="146"/>
      <c r="P446" s="146">
        <f>IFERROR(__xludf.DUMMYFUNCTION("""COMPUTED_VALUE"""),278.0)</f>
        <v>278</v>
      </c>
      <c r="Q446" s="146"/>
      <c r="R446" s="146"/>
      <c r="T446" s="131" t="str">
        <f>IFERROR(__xludf.DUMMYFUNCTION("""COMPUTED_VALUE"""),"Y")</f>
        <v>Y</v>
      </c>
      <c r="U446" s="131" t="str">
        <f>IFERROR(__xludf.DUMMYFUNCTION("""COMPUTED_VALUE"""),"6")</f>
        <v>6</v>
      </c>
      <c r="V446" s="131" t="str">
        <f>IFERROR(__xludf.DUMMYFUNCTION("""COMPUTED_VALUE"""),"1147-1152")</f>
        <v>1147-1152</v>
      </c>
      <c r="W446" s="144">
        <f>IFERROR(__xludf.DUMMYFUNCTION("""COMPUTED_VALUE"""),45759.0)</f>
        <v>45759</v>
      </c>
      <c r="X446" s="144">
        <f>IFERROR(__xludf.DUMMYFUNCTION("""COMPUTED_VALUE"""),45766.0)</f>
        <v>45766</v>
      </c>
      <c r="Y446" s="144">
        <f>IFERROR(__xludf.DUMMYFUNCTION("""COMPUTED_VALUE"""),45787.0)</f>
        <v>45787</v>
      </c>
      <c r="Z446" s="131" t="str">
        <f>IFERROR(__xludf.DUMMYFUNCTION("""COMPUTED_VALUE"""),"D39-2R")</f>
        <v>D39-2R</v>
      </c>
      <c r="AA446" s="131">
        <f>IFERROR(__xludf.DUMMYFUNCTION("""COMPUTED_VALUE"""),153.0)</f>
        <v>153</v>
      </c>
      <c r="AB446" s="131">
        <f>IFERROR(__xludf.DUMMYFUNCTION("""COMPUTED_VALUE"""),165.0)</f>
        <v>165</v>
      </c>
      <c r="AC446" s="131">
        <f>IFERROR(__xludf.DUMMYFUNCTION("""COMPUTED_VALUE"""),7.0)</f>
        <v>7</v>
      </c>
      <c r="AD446" s="131">
        <f>IFERROR(__xludf.DUMMYFUNCTION("""COMPUTED_VALUE"""),7.0)</f>
        <v>7</v>
      </c>
      <c r="AE446" s="131"/>
      <c r="AF446" s="131"/>
      <c r="AG446" s="131"/>
      <c r="AH446" s="131"/>
      <c r="AI446" s="131">
        <f>IFERROR(__xludf.DUMMYFUNCTION("""COMPUTED_VALUE"""),278.0)</f>
        <v>278</v>
      </c>
      <c r="AJ446" s="131"/>
      <c r="AK446" s="131"/>
    </row>
    <row r="447">
      <c r="A447" s="145" t="str">
        <f>IFERROR(__xludf.DUMMYFUNCTION("""COMPUTED_VALUE"""),"Y")</f>
        <v>Y</v>
      </c>
      <c r="B447" s="146" t="str">
        <f>IFERROR(__xludf.DUMMYFUNCTION("""COMPUTED_VALUE"""),"6")</f>
        <v>6</v>
      </c>
      <c r="C447" s="146" t="str">
        <f>IFERROR(__xludf.DUMMYFUNCTION("""COMPUTED_VALUE"""),"1147-1152")</f>
        <v>1147-1152</v>
      </c>
      <c r="D447" s="147">
        <f>IFERROR(__xludf.DUMMYFUNCTION("""COMPUTED_VALUE"""),45759.0)</f>
        <v>45759</v>
      </c>
      <c r="E447" s="147">
        <f>IFERROR(__xludf.DUMMYFUNCTION("""COMPUTED_VALUE"""),45766.0)</f>
        <v>45766</v>
      </c>
      <c r="F447" s="147">
        <f>IFERROR(__xludf.DUMMYFUNCTION("""COMPUTED_VALUE"""),45787.0)</f>
        <v>45787</v>
      </c>
      <c r="G447" s="146" t="str">
        <f>IFERROR(__xludf.DUMMYFUNCTION("""COMPUTED_VALUE"""),"D39-2R")</f>
        <v>D39-2R</v>
      </c>
      <c r="H447" s="148">
        <f>IFERROR(__xludf.DUMMYFUNCTION("""COMPUTED_VALUE"""),153.0)</f>
        <v>153</v>
      </c>
      <c r="I447" s="148">
        <f>IFERROR(__xludf.DUMMYFUNCTION("""COMPUTED_VALUE"""),165.0)</f>
        <v>165</v>
      </c>
      <c r="J447" s="146">
        <f>IFERROR(__xludf.DUMMYFUNCTION("""COMPUTED_VALUE"""),7.0)</f>
        <v>7</v>
      </c>
      <c r="K447" s="146">
        <f>IFERROR(__xludf.DUMMYFUNCTION("""COMPUTED_VALUE"""),7.0)</f>
        <v>7</v>
      </c>
      <c r="L447" s="146"/>
      <c r="M447" s="146"/>
      <c r="N447" s="146"/>
      <c r="O447" s="146"/>
      <c r="P447" s="146">
        <f>IFERROR(__xludf.DUMMYFUNCTION("""COMPUTED_VALUE"""),278.0)</f>
        <v>278</v>
      </c>
      <c r="Q447" s="146"/>
      <c r="R447" s="146"/>
      <c r="T447" s="131" t="str">
        <f>IFERROR(__xludf.DUMMYFUNCTION("""COMPUTED_VALUE"""),"Y")</f>
        <v>Y</v>
      </c>
      <c r="U447" s="131" t="str">
        <f>IFERROR(__xludf.DUMMYFUNCTION("""COMPUTED_VALUE"""),"6")</f>
        <v>6</v>
      </c>
      <c r="V447" s="131" t="str">
        <f>IFERROR(__xludf.DUMMYFUNCTION("""COMPUTED_VALUE"""),"1147-1152")</f>
        <v>1147-1152</v>
      </c>
      <c r="W447" s="144">
        <f>IFERROR(__xludf.DUMMYFUNCTION("""COMPUTED_VALUE"""),45759.0)</f>
        <v>45759</v>
      </c>
      <c r="X447" s="144">
        <f>IFERROR(__xludf.DUMMYFUNCTION("""COMPUTED_VALUE"""),45766.0)</f>
        <v>45766</v>
      </c>
      <c r="Y447" s="144">
        <f>IFERROR(__xludf.DUMMYFUNCTION("""COMPUTED_VALUE"""),45787.0)</f>
        <v>45787</v>
      </c>
      <c r="Z447" s="131" t="str">
        <f>IFERROR(__xludf.DUMMYFUNCTION("""COMPUTED_VALUE"""),"D39-3R")</f>
        <v>D39-3R</v>
      </c>
      <c r="AA447" s="131">
        <f>IFERROR(__xludf.DUMMYFUNCTION("""COMPUTED_VALUE"""),89.0)</f>
        <v>89</v>
      </c>
      <c r="AB447" s="131">
        <f>IFERROR(__xludf.DUMMYFUNCTION("""COMPUTED_VALUE"""),215.0)</f>
        <v>215</v>
      </c>
      <c r="AC447" s="131">
        <f>IFERROR(__xludf.DUMMYFUNCTION("""COMPUTED_VALUE"""),64.0)</f>
        <v>64</v>
      </c>
      <c r="AD447" s="131">
        <f>IFERROR(__xludf.DUMMYFUNCTION("""COMPUTED_VALUE"""),64.0)</f>
        <v>64</v>
      </c>
      <c r="AE447" s="131"/>
      <c r="AF447" s="131"/>
      <c r="AG447" s="131"/>
      <c r="AH447" s="131"/>
      <c r="AI447" s="131">
        <f>IFERROR(__xludf.DUMMYFUNCTION("""COMPUTED_VALUE"""),278.0)</f>
        <v>278</v>
      </c>
      <c r="AJ447" s="131"/>
      <c r="AK447" s="131"/>
    </row>
    <row r="448">
      <c r="A448" s="145" t="str">
        <f>IFERROR(__xludf.DUMMYFUNCTION("""COMPUTED_VALUE"""),"Y")</f>
        <v>Y</v>
      </c>
      <c r="B448" s="146" t="str">
        <f>IFERROR(__xludf.DUMMYFUNCTION("""COMPUTED_VALUE"""),"6")</f>
        <v>6</v>
      </c>
      <c r="C448" s="146" t="str">
        <f>IFERROR(__xludf.DUMMYFUNCTION("""COMPUTED_VALUE"""),"1147-1152")</f>
        <v>1147-1152</v>
      </c>
      <c r="D448" s="147">
        <f>IFERROR(__xludf.DUMMYFUNCTION("""COMPUTED_VALUE"""),45759.0)</f>
        <v>45759</v>
      </c>
      <c r="E448" s="147">
        <f>IFERROR(__xludf.DUMMYFUNCTION("""COMPUTED_VALUE"""),45766.0)</f>
        <v>45766</v>
      </c>
      <c r="F448" s="147">
        <f>IFERROR(__xludf.DUMMYFUNCTION("""COMPUTED_VALUE"""),45787.0)</f>
        <v>45787</v>
      </c>
      <c r="G448" s="146" t="str">
        <f>IFERROR(__xludf.DUMMYFUNCTION("""COMPUTED_VALUE"""),"D39-3R")</f>
        <v>D39-3R</v>
      </c>
      <c r="H448" s="148">
        <f>IFERROR(__xludf.DUMMYFUNCTION("""COMPUTED_VALUE"""),89.0)</f>
        <v>89</v>
      </c>
      <c r="I448" s="148">
        <f>IFERROR(__xludf.DUMMYFUNCTION("""COMPUTED_VALUE"""),215.0)</f>
        <v>215</v>
      </c>
      <c r="J448" s="146">
        <f>IFERROR(__xludf.DUMMYFUNCTION("""COMPUTED_VALUE"""),64.0)</f>
        <v>64</v>
      </c>
      <c r="K448" s="146">
        <f>IFERROR(__xludf.DUMMYFUNCTION("""COMPUTED_VALUE"""),64.0)</f>
        <v>64</v>
      </c>
      <c r="L448" s="146"/>
      <c r="M448" s="146"/>
      <c r="N448" s="146"/>
      <c r="O448" s="146"/>
      <c r="P448" s="146">
        <f>IFERROR(__xludf.DUMMYFUNCTION("""COMPUTED_VALUE"""),278.0)</f>
        <v>278</v>
      </c>
      <c r="Q448" s="146"/>
      <c r="R448" s="146"/>
      <c r="T448" s="131" t="str">
        <f>IFERROR(__xludf.DUMMYFUNCTION("""COMPUTED_VALUE"""),"Y")</f>
        <v>Y</v>
      </c>
      <c r="U448" s="131" t="str">
        <f>IFERROR(__xludf.DUMMYFUNCTION("""COMPUTED_VALUE"""),"6")</f>
        <v>6</v>
      </c>
      <c r="V448" s="131" t="str">
        <f>IFERROR(__xludf.DUMMYFUNCTION("""COMPUTED_VALUE"""),"1135-1140")</f>
        <v>1135-1140</v>
      </c>
      <c r="W448" s="144">
        <f>IFERROR(__xludf.DUMMYFUNCTION("""COMPUTED_VALUE"""),45759.0)</f>
        <v>45759</v>
      </c>
      <c r="X448" s="144">
        <f>IFERROR(__xludf.DUMMYFUNCTION("""COMPUTED_VALUE"""),45766.0)</f>
        <v>45766</v>
      </c>
      <c r="Y448" s="144">
        <f>IFERROR(__xludf.DUMMYFUNCTION("""COMPUTED_VALUE"""),45787.0)</f>
        <v>45787</v>
      </c>
      <c r="Z448" s="131" t="str">
        <f>IFERROR(__xludf.DUMMYFUNCTION("""COMPUTED_VALUE"""),"D40-2R")</f>
        <v>D40-2R</v>
      </c>
      <c r="AA448" s="131">
        <f>IFERROR(__xludf.DUMMYFUNCTION("""COMPUTED_VALUE"""),203.0)</f>
        <v>203</v>
      </c>
      <c r="AB448" s="131">
        <f>IFERROR(__xludf.DUMMYFUNCTION("""COMPUTED_VALUE"""),213.0)</f>
        <v>213</v>
      </c>
      <c r="AC448" s="131">
        <f>IFERROR(__xludf.DUMMYFUNCTION("""COMPUTED_VALUE"""),6.0)</f>
        <v>6</v>
      </c>
      <c r="AD448" s="131">
        <f>IFERROR(__xludf.DUMMYFUNCTION("""COMPUTED_VALUE"""),6.0)</f>
        <v>6</v>
      </c>
      <c r="AE448" s="131">
        <f>IFERROR(__xludf.DUMMYFUNCTION("""COMPUTED_VALUE"""),170.0)</f>
        <v>170</v>
      </c>
      <c r="AF448" s="131">
        <f>IFERROR(__xludf.DUMMYFUNCTION("""COMPUTED_VALUE"""),200.0)</f>
        <v>200</v>
      </c>
      <c r="AG448" s="131">
        <f>IFERROR(__xludf.DUMMYFUNCTION("""COMPUTED_VALUE"""),16.0)</f>
        <v>16</v>
      </c>
      <c r="AH448" s="131">
        <f>IFERROR(__xludf.DUMMYFUNCTION("""COMPUTED_VALUE"""),16.0)</f>
        <v>16</v>
      </c>
      <c r="AI448" s="131">
        <f>IFERROR(__xludf.DUMMYFUNCTION("""COMPUTED_VALUE"""),281.0)</f>
        <v>281</v>
      </c>
      <c r="AJ448" s="131"/>
      <c r="AK448" s="131"/>
    </row>
    <row r="449">
      <c r="A449" s="145" t="str">
        <f>IFERROR(__xludf.DUMMYFUNCTION("""COMPUTED_VALUE"""),"Y")</f>
        <v>Y</v>
      </c>
      <c r="B449" s="146" t="str">
        <f>IFERROR(__xludf.DUMMYFUNCTION("""COMPUTED_VALUE"""),"6")</f>
        <v>6</v>
      </c>
      <c r="C449" s="146" t="str">
        <f>IFERROR(__xludf.DUMMYFUNCTION("""COMPUTED_VALUE"""),"1135-1140")</f>
        <v>1135-1140</v>
      </c>
      <c r="D449" s="147">
        <f>IFERROR(__xludf.DUMMYFUNCTION("""COMPUTED_VALUE"""),45759.0)</f>
        <v>45759</v>
      </c>
      <c r="E449" s="147">
        <f>IFERROR(__xludf.DUMMYFUNCTION("""COMPUTED_VALUE"""),45766.0)</f>
        <v>45766</v>
      </c>
      <c r="F449" s="147">
        <f>IFERROR(__xludf.DUMMYFUNCTION("""COMPUTED_VALUE"""),45787.0)</f>
        <v>45787</v>
      </c>
      <c r="G449" s="146" t="str">
        <f>IFERROR(__xludf.DUMMYFUNCTION("""COMPUTED_VALUE"""),"D40-2R")</f>
        <v>D40-2R</v>
      </c>
      <c r="H449" s="148">
        <f>IFERROR(__xludf.DUMMYFUNCTION("""COMPUTED_VALUE"""),203.0)</f>
        <v>203</v>
      </c>
      <c r="I449" s="148">
        <f>IFERROR(__xludf.DUMMYFUNCTION("""COMPUTED_VALUE"""),213.0)</f>
        <v>213</v>
      </c>
      <c r="J449" s="146">
        <f>IFERROR(__xludf.DUMMYFUNCTION("""COMPUTED_VALUE"""),6.0)</f>
        <v>6</v>
      </c>
      <c r="K449" s="146">
        <f>IFERROR(__xludf.DUMMYFUNCTION("""COMPUTED_VALUE"""),6.0)</f>
        <v>6</v>
      </c>
      <c r="L449" s="146">
        <f>IFERROR(__xludf.DUMMYFUNCTION("""COMPUTED_VALUE"""),170.0)</f>
        <v>170</v>
      </c>
      <c r="M449" s="146">
        <f>IFERROR(__xludf.DUMMYFUNCTION("""COMPUTED_VALUE"""),200.0)</f>
        <v>200</v>
      </c>
      <c r="N449" s="146">
        <f>IFERROR(__xludf.DUMMYFUNCTION("""COMPUTED_VALUE"""),16.0)</f>
        <v>16</v>
      </c>
      <c r="O449" s="146">
        <f>IFERROR(__xludf.DUMMYFUNCTION("""COMPUTED_VALUE"""),16.0)</f>
        <v>16</v>
      </c>
      <c r="P449" s="146">
        <f>IFERROR(__xludf.DUMMYFUNCTION("""COMPUTED_VALUE"""),281.0)</f>
        <v>281</v>
      </c>
      <c r="Q449" s="146"/>
      <c r="R449" s="146"/>
      <c r="T449" s="131" t="str">
        <f>IFERROR(__xludf.DUMMYFUNCTION("""COMPUTED_VALUE"""),"Y")</f>
        <v>Y</v>
      </c>
      <c r="U449" s="131" t="str">
        <f>IFERROR(__xludf.DUMMYFUNCTION("""COMPUTED_VALUE"""),"6")</f>
        <v>6</v>
      </c>
      <c r="V449" s="131" t="str">
        <f>IFERROR(__xludf.DUMMYFUNCTION("""COMPUTED_VALUE"""),"1135-1140")</f>
        <v>1135-1140</v>
      </c>
      <c r="W449" s="144">
        <f>IFERROR(__xludf.DUMMYFUNCTION("""COMPUTED_VALUE"""),45759.0)</f>
        <v>45759</v>
      </c>
      <c r="X449" s="144">
        <f>IFERROR(__xludf.DUMMYFUNCTION("""COMPUTED_VALUE"""),45766.0)</f>
        <v>45766</v>
      </c>
      <c r="Y449" s="144">
        <f>IFERROR(__xludf.DUMMYFUNCTION("""COMPUTED_VALUE"""),45787.0)</f>
        <v>45787</v>
      </c>
      <c r="Z449" s="131" t="str">
        <f>IFERROR(__xludf.DUMMYFUNCTION("""COMPUTED_VALUE"""),"D40-2R")</f>
        <v>D40-2R</v>
      </c>
      <c r="AA449" s="131"/>
      <c r="AB449" s="131"/>
      <c r="AC449" s="131"/>
      <c r="AD449" s="131"/>
      <c r="AE449" s="131">
        <f>IFERROR(__xludf.DUMMYFUNCTION("""COMPUTED_VALUE"""),216.0)</f>
        <v>216</v>
      </c>
      <c r="AF449" s="131">
        <f>IFERROR(__xludf.DUMMYFUNCTION("""COMPUTED_VALUE"""),306.0)</f>
        <v>306</v>
      </c>
      <c r="AG449" s="131">
        <f>IFERROR(__xludf.DUMMYFUNCTION("""COMPUTED_VALUE"""),46.0)</f>
        <v>46</v>
      </c>
      <c r="AH449" s="131">
        <f>IFERROR(__xludf.DUMMYFUNCTION("""COMPUTED_VALUE"""),46.0)</f>
        <v>46</v>
      </c>
      <c r="AI449" s="131">
        <f>IFERROR(__xludf.DUMMYFUNCTION("""COMPUTED_VALUE"""),281.0)</f>
        <v>281</v>
      </c>
      <c r="AJ449" s="131"/>
      <c r="AK449" s="131"/>
    </row>
    <row r="450">
      <c r="A450" s="145" t="str">
        <f>IFERROR(__xludf.DUMMYFUNCTION("""COMPUTED_VALUE"""),"Y")</f>
        <v>Y</v>
      </c>
      <c r="B450" s="146" t="str">
        <f>IFERROR(__xludf.DUMMYFUNCTION("""COMPUTED_VALUE"""),"6")</f>
        <v>6</v>
      </c>
      <c r="C450" s="146" t="str">
        <f>IFERROR(__xludf.DUMMYFUNCTION("""COMPUTED_VALUE"""),"1135-1140")</f>
        <v>1135-1140</v>
      </c>
      <c r="D450" s="147">
        <f>IFERROR(__xludf.DUMMYFUNCTION("""COMPUTED_VALUE"""),45759.0)</f>
        <v>45759</v>
      </c>
      <c r="E450" s="147">
        <f>IFERROR(__xludf.DUMMYFUNCTION("""COMPUTED_VALUE"""),45766.0)</f>
        <v>45766</v>
      </c>
      <c r="F450" s="147">
        <f>IFERROR(__xludf.DUMMYFUNCTION("""COMPUTED_VALUE"""),45787.0)</f>
        <v>45787</v>
      </c>
      <c r="G450" s="146" t="str">
        <f>IFERROR(__xludf.DUMMYFUNCTION("""COMPUTED_VALUE"""),"D40-2R")</f>
        <v>D40-2R</v>
      </c>
      <c r="H450" s="148"/>
      <c r="I450" s="148"/>
      <c r="J450" s="146"/>
      <c r="K450" s="146"/>
      <c r="L450" s="146">
        <f>IFERROR(__xludf.DUMMYFUNCTION("""COMPUTED_VALUE"""),216.0)</f>
        <v>216</v>
      </c>
      <c r="M450" s="146">
        <f>IFERROR(__xludf.DUMMYFUNCTION("""COMPUTED_VALUE"""),306.0)</f>
        <v>306</v>
      </c>
      <c r="N450" s="146">
        <f>IFERROR(__xludf.DUMMYFUNCTION("""COMPUTED_VALUE"""),46.0)</f>
        <v>46</v>
      </c>
      <c r="O450" s="146">
        <f>IFERROR(__xludf.DUMMYFUNCTION("""COMPUTED_VALUE"""),46.0)</f>
        <v>46</v>
      </c>
      <c r="P450" s="146">
        <f>IFERROR(__xludf.DUMMYFUNCTION("""COMPUTED_VALUE"""),281.0)</f>
        <v>281</v>
      </c>
      <c r="Q450" s="146"/>
      <c r="R450" s="146"/>
      <c r="T450" s="131" t="str">
        <f>IFERROR(__xludf.DUMMYFUNCTION("""COMPUTED_VALUE"""),"Y")</f>
        <v>Y</v>
      </c>
      <c r="U450" s="131" t="str">
        <f>IFERROR(__xludf.DUMMYFUNCTION("""COMPUTED_VALUE"""),"6")</f>
        <v>6</v>
      </c>
      <c r="V450" s="131" t="str">
        <f>IFERROR(__xludf.DUMMYFUNCTION("""COMPUTED_VALUE"""),"1135-1140")</f>
        <v>1135-1140</v>
      </c>
      <c r="W450" s="144">
        <f>IFERROR(__xludf.DUMMYFUNCTION("""COMPUTED_VALUE"""),45759.0)</f>
        <v>45759</v>
      </c>
      <c r="X450" s="144">
        <f>IFERROR(__xludf.DUMMYFUNCTION("""COMPUTED_VALUE"""),45766.0)</f>
        <v>45766</v>
      </c>
      <c r="Y450" s="144">
        <f>IFERROR(__xludf.DUMMYFUNCTION("""COMPUTED_VALUE"""),45787.0)</f>
        <v>45787</v>
      </c>
      <c r="Z450" s="131" t="str">
        <f>IFERROR(__xludf.DUMMYFUNCTION("""COMPUTED_VALUE"""),"D40-1R")</f>
        <v>D40-1R</v>
      </c>
      <c r="AA450" s="131">
        <f>IFERROR(__xludf.DUMMYFUNCTION("""COMPUTED_VALUE"""),127.0)</f>
        <v>127</v>
      </c>
      <c r="AB450" s="131">
        <f>IFERROR(__xludf.DUMMYFUNCTION("""COMPUTED_VALUE"""),167.0)</f>
        <v>167</v>
      </c>
      <c r="AC450" s="131">
        <f>IFERROR(__xludf.DUMMYFUNCTION("""COMPUTED_VALUE"""),21.0)</f>
        <v>21</v>
      </c>
      <c r="AD450" s="131">
        <f>IFERROR(__xludf.DUMMYFUNCTION("""COMPUTED_VALUE"""),21.0)</f>
        <v>21</v>
      </c>
      <c r="AE450" s="131"/>
      <c r="AF450" s="131"/>
      <c r="AG450" s="131"/>
      <c r="AH450" s="131"/>
      <c r="AI450" s="131">
        <f>IFERROR(__xludf.DUMMYFUNCTION("""COMPUTED_VALUE"""),282.0)</f>
        <v>282</v>
      </c>
      <c r="AJ450" s="131"/>
      <c r="AK450" s="131"/>
    </row>
    <row r="451">
      <c r="A451" s="145" t="str">
        <f>IFERROR(__xludf.DUMMYFUNCTION("""COMPUTED_VALUE"""),"Y")</f>
        <v>Y</v>
      </c>
      <c r="B451" s="146" t="str">
        <f>IFERROR(__xludf.DUMMYFUNCTION("""COMPUTED_VALUE"""),"6")</f>
        <v>6</v>
      </c>
      <c r="C451" s="146" t="str">
        <f>IFERROR(__xludf.DUMMYFUNCTION("""COMPUTED_VALUE"""),"1135-1140")</f>
        <v>1135-1140</v>
      </c>
      <c r="D451" s="147">
        <f>IFERROR(__xludf.DUMMYFUNCTION("""COMPUTED_VALUE"""),45759.0)</f>
        <v>45759</v>
      </c>
      <c r="E451" s="147">
        <f>IFERROR(__xludf.DUMMYFUNCTION("""COMPUTED_VALUE"""),45766.0)</f>
        <v>45766</v>
      </c>
      <c r="F451" s="147">
        <f>IFERROR(__xludf.DUMMYFUNCTION("""COMPUTED_VALUE"""),45787.0)</f>
        <v>45787</v>
      </c>
      <c r="G451" s="146" t="str">
        <f>IFERROR(__xludf.DUMMYFUNCTION("""COMPUTED_VALUE"""),"D40-1R")</f>
        <v>D40-1R</v>
      </c>
      <c r="H451" s="148">
        <f>IFERROR(__xludf.DUMMYFUNCTION("""COMPUTED_VALUE"""),127.0)</f>
        <v>127</v>
      </c>
      <c r="I451" s="148">
        <f>IFERROR(__xludf.DUMMYFUNCTION("""COMPUTED_VALUE"""),167.0)</f>
        <v>167</v>
      </c>
      <c r="J451" s="146">
        <f>IFERROR(__xludf.DUMMYFUNCTION("""COMPUTED_VALUE"""),21.0)</f>
        <v>21</v>
      </c>
      <c r="K451" s="146">
        <f>IFERROR(__xludf.DUMMYFUNCTION("""COMPUTED_VALUE"""),21.0)</f>
        <v>21</v>
      </c>
      <c r="L451" s="146"/>
      <c r="M451" s="146"/>
      <c r="N451" s="146"/>
      <c r="O451" s="146"/>
      <c r="P451" s="146">
        <f>IFERROR(__xludf.DUMMYFUNCTION("""COMPUTED_VALUE"""),282.0)</f>
        <v>282</v>
      </c>
      <c r="Q451" s="146"/>
      <c r="R451" s="146"/>
      <c r="T451" s="131" t="str">
        <f>IFERROR(__xludf.DUMMYFUNCTION("""COMPUTED_VALUE"""),"Y")</f>
        <v>Y</v>
      </c>
      <c r="U451" s="131" t="str">
        <f>IFERROR(__xludf.DUMMYFUNCTION("""COMPUTED_VALUE"""),"6")</f>
        <v>6</v>
      </c>
      <c r="V451" s="131" t="str">
        <f>IFERROR(__xludf.DUMMYFUNCTION("""COMPUTED_VALUE"""),"1141-1146")</f>
        <v>1141-1146</v>
      </c>
      <c r="W451" s="144">
        <f>IFERROR(__xludf.DUMMYFUNCTION("""COMPUTED_VALUE"""),45759.0)</f>
        <v>45759</v>
      </c>
      <c r="X451" s="144">
        <f>IFERROR(__xludf.DUMMYFUNCTION("""COMPUTED_VALUE"""),45766.0)</f>
        <v>45766</v>
      </c>
      <c r="Y451" s="144">
        <f>IFERROR(__xludf.DUMMYFUNCTION("""COMPUTED_VALUE"""),45787.0)</f>
        <v>45787</v>
      </c>
      <c r="Z451" s="131" t="str">
        <f>IFERROR(__xludf.DUMMYFUNCTION("""COMPUTED_VALUE"""),"BRG10")</f>
        <v>BRG10</v>
      </c>
      <c r="AA451" s="131">
        <f>IFERROR(__xludf.DUMMYFUNCTION("""COMPUTED_VALUE"""),699.0)</f>
        <v>699</v>
      </c>
      <c r="AB451" s="131">
        <f>IFERROR(__xludf.DUMMYFUNCTION("""COMPUTED_VALUE"""),805.0)</f>
        <v>805</v>
      </c>
      <c r="AC451" s="131">
        <f>IFERROR(__xludf.DUMMYFUNCTION("""COMPUTED_VALUE"""),54.0)</f>
        <v>54</v>
      </c>
      <c r="AD451" s="131">
        <f>IFERROR(__xludf.DUMMYFUNCTION("""COMPUTED_VALUE"""),54.0)</f>
        <v>54</v>
      </c>
      <c r="AE451" s="131">
        <f>IFERROR(__xludf.DUMMYFUNCTION("""COMPUTED_VALUE"""),592.0)</f>
        <v>592</v>
      </c>
      <c r="AF451" s="131">
        <f>IFERROR(__xludf.DUMMYFUNCTION("""COMPUTED_VALUE"""),628.0)</f>
        <v>628</v>
      </c>
      <c r="AG451" s="131">
        <f>IFERROR(__xludf.DUMMYFUNCTION("""COMPUTED_VALUE"""),19.0)</f>
        <v>19</v>
      </c>
      <c r="AH451" s="131">
        <f>IFERROR(__xludf.DUMMYFUNCTION("""COMPUTED_VALUE"""),19.0)</f>
        <v>19</v>
      </c>
      <c r="AI451" s="131">
        <f>IFERROR(__xludf.DUMMYFUNCTION("""COMPUTED_VALUE"""),280.0)</f>
        <v>280</v>
      </c>
      <c r="AJ451" s="131"/>
      <c r="AK451" s="131"/>
    </row>
    <row r="452">
      <c r="A452" s="145" t="str">
        <f>IFERROR(__xludf.DUMMYFUNCTION("""COMPUTED_VALUE"""),"Y")</f>
        <v>Y</v>
      </c>
      <c r="B452" s="146" t="str">
        <f>IFERROR(__xludf.DUMMYFUNCTION("""COMPUTED_VALUE"""),"6")</f>
        <v>6</v>
      </c>
      <c r="C452" s="146" t="str">
        <f>IFERROR(__xludf.DUMMYFUNCTION("""COMPUTED_VALUE"""),"1141-1146")</f>
        <v>1141-1146</v>
      </c>
      <c r="D452" s="147">
        <f>IFERROR(__xludf.DUMMYFUNCTION("""COMPUTED_VALUE"""),45759.0)</f>
        <v>45759</v>
      </c>
      <c r="E452" s="147">
        <f>IFERROR(__xludf.DUMMYFUNCTION("""COMPUTED_VALUE"""),45766.0)</f>
        <v>45766</v>
      </c>
      <c r="F452" s="147">
        <f>IFERROR(__xludf.DUMMYFUNCTION("""COMPUTED_VALUE"""),45787.0)</f>
        <v>45787</v>
      </c>
      <c r="G452" s="146" t="str">
        <f>IFERROR(__xludf.DUMMYFUNCTION("""COMPUTED_VALUE"""),"BRG10")</f>
        <v>BRG10</v>
      </c>
      <c r="H452" s="148">
        <f>IFERROR(__xludf.DUMMYFUNCTION("""COMPUTED_VALUE"""),699.0)</f>
        <v>699</v>
      </c>
      <c r="I452" s="148">
        <f>IFERROR(__xludf.DUMMYFUNCTION("""COMPUTED_VALUE"""),805.0)</f>
        <v>805</v>
      </c>
      <c r="J452" s="146">
        <f>IFERROR(__xludf.DUMMYFUNCTION("""COMPUTED_VALUE"""),54.0)</f>
        <v>54</v>
      </c>
      <c r="K452" s="146">
        <f>IFERROR(__xludf.DUMMYFUNCTION("""COMPUTED_VALUE"""),54.0)</f>
        <v>54</v>
      </c>
      <c r="L452" s="146">
        <f>IFERROR(__xludf.DUMMYFUNCTION("""COMPUTED_VALUE"""),592.0)</f>
        <v>592</v>
      </c>
      <c r="M452" s="146">
        <f>IFERROR(__xludf.DUMMYFUNCTION("""COMPUTED_VALUE"""),628.0)</f>
        <v>628</v>
      </c>
      <c r="N452" s="146">
        <f>IFERROR(__xludf.DUMMYFUNCTION("""COMPUTED_VALUE"""),19.0)</f>
        <v>19</v>
      </c>
      <c r="O452" s="146">
        <f>IFERROR(__xludf.DUMMYFUNCTION("""COMPUTED_VALUE"""),19.0)</f>
        <v>19</v>
      </c>
      <c r="P452" s="146">
        <f>IFERROR(__xludf.DUMMYFUNCTION("""COMPUTED_VALUE"""),280.0)</f>
        <v>280</v>
      </c>
      <c r="Q452" s="146"/>
      <c r="R452" s="146"/>
      <c r="T452" s="131" t="str">
        <f>IFERROR(__xludf.DUMMYFUNCTION("""COMPUTED_VALUE"""),"Y")</f>
        <v>Y</v>
      </c>
      <c r="U452" s="131" t="str">
        <f>IFERROR(__xludf.DUMMYFUNCTION("""COMPUTED_VALUE"""),"6")</f>
        <v>6</v>
      </c>
      <c r="V452" s="131" t="str">
        <f>IFERROR(__xludf.DUMMYFUNCTION("""COMPUTED_VALUE"""),"1165-1170")</f>
        <v>1165-1170</v>
      </c>
      <c r="W452" s="144">
        <f>IFERROR(__xludf.DUMMYFUNCTION("""COMPUTED_VALUE"""),45760.0)</f>
        <v>45760</v>
      </c>
      <c r="X452" s="144">
        <f>IFERROR(__xludf.DUMMYFUNCTION("""COMPUTED_VALUE"""),45767.0)</f>
        <v>45767</v>
      </c>
      <c r="Y452" s="144">
        <f>IFERROR(__xludf.DUMMYFUNCTION("""COMPUTED_VALUE"""),45788.0)</f>
        <v>45788</v>
      </c>
      <c r="Z452" s="131" t="str">
        <f>IFERROR(__xludf.DUMMYFUNCTION("""COMPUTED_VALUE"""),"D40-1R")</f>
        <v>D40-1R</v>
      </c>
      <c r="AA452" s="131">
        <f>IFERROR(__xludf.DUMMYFUNCTION("""COMPUTED_VALUE"""),169.0)</f>
        <v>169</v>
      </c>
      <c r="AB452" s="131">
        <f>IFERROR(__xludf.DUMMYFUNCTION("""COMPUTED_VALUE"""),183.0)</f>
        <v>183</v>
      </c>
      <c r="AC452" s="131">
        <f>IFERROR(__xludf.DUMMYFUNCTION("""COMPUTED_VALUE"""),8.0)</f>
        <v>8</v>
      </c>
      <c r="AD452" s="131">
        <f>IFERROR(__xludf.DUMMYFUNCTION("""COMPUTED_VALUE"""),8.0)</f>
        <v>8</v>
      </c>
      <c r="AE452" s="131">
        <f>IFERROR(__xludf.DUMMYFUNCTION("""COMPUTED_VALUE"""),128.0)</f>
        <v>128</v>
      </c>
      <c r="AF452" s="131">
        <f>IFERROR(__xludf.DUMMYFUNCTION("""COMPUTED_VALUE"""),156.0)</f>
        <v>156</v>
      </c>
      <c r="AG452" s="131">
        <f>IFERROR(__xludf.DUMMYFUNCTION("""COMPUTED_VALUE"""),15.0)</f>
        <v>15</v>
      </c>
      <c r="AH452" s="131">
        <f>IFERROR(__xludf.DUMMYFUNCTION("""COMPUTED_VALUE"""),15.0)</f>
        <v>15</v>
      </c>
      <c r="AI452" s="131">
        <f>IFERROR(__xludf.DUMMYFUNCTION("""COMPUTED_VALUE"""),285.0)</f>
        <v>285</v>
      </c>
      <c r="AJ452" s="131"/>
      <c r="AK452" s="131"/>
    </row>
    <row r="453">
      <c r="A453" s="145" t="str">
        <f>IFERROR(__xludf.DUMMYFUNCTION("""COMPUTED_VALUE"""),"Y")</f>
        <v>Y</v>
      </c>
      <c r="B453" s="146" t="str">
        <f>IFERROR(__xludf.DUMMYFUNCTION("""COMPUTED_VALUE"""),"6")</f>
        <v>6</v>
      </c>
      <c r="C453" s="146" t="str">
        <f>IFERROR(__xludf.DUMMYFUNCTION("""COMPUTED_VALUE"""),"1165-1170")</f>
        <v>1165-1170</v>
      </c>
      <c r="D453" s="147">
        <f>IFERROR(__xludf.DUMMYFUNCTION("""COMPUTED_VALUE"""),45760.0)</f>
        <v>45760</v>
      </c>
      <c r="E453" s="147">
        <f>IFERROR(__xludf.DUMMYFUNCTION("""COMPUTED_VALUE"""),45767.0)</f>
        <v>45767</v>
      </c>
      <c r="F453" s="147">
        <f>IFERROR(__xludf.DUMMYFUNCTION("""COMPUTED_VALUE"""),45788.0)</f>
        <v>45788</v>
      </c>
      <c r="G453" s="146" t="str">
        <f>IFERROR(__xludf.DUMMYFUNCTION("""COMPUTED_VALUE"""),"D40-1R")</f>
        <v>D40-1R</v>
      </c>
      <c r="H453" s="148">
        <f>IFERROR(__xludf.DUMMYFUNCTION("""COMPUTED_VALUE"""),169.0)</f>
        <v>169</v>
      </c>
      <c r="I453" s="148">
        <f>IFERROR(__xludf.DUMMYFUNCTION("""COMPUTED_VALUE"""),183.0)</f>
        <v>183</v>
      </c>
      <c r="J453" s="146">
        <f>IFERROR(__xludf.DUMMYFUNCTION("""COMPUTED_VALUE"""),8.0)</f>
        <v>8</v>
      </c>
      <c r="K453" s="146">
        <f>IFERROR(__xludf.DUMMYFUNCTION("""COMPUTED_VALUE"""),8.0)</f>
        <v>8</v>
      </c>
      <c r="L453" s="146">
        <f>IFERROR(__xludf.DUMMYFUNCTION("""COMPUTED_VALUE"""),128.0)</f>
        <v>128</v>
      </c>
      <c r="M453" s="146">
        <f>IFERROR(__xludf.DUMMYFUNCTION("""COMPUTED_VALUE"""),156.0)</f>
        <v>156</v>
      </c>
      <c r="N453" s="146">
        <f>IFERROR(__xludf.DUMMYFUNCTION("""COMPUTED_VALUE"""),15.0)</f>
        <v>15</v>
      </c>
      <c r="O453" s="146">
        <f>IFERROR(__xludf.DUMMYFUNCTION("""COMPUTED_VALUE"""),15.0)</f>
        <v>15</v>
      </c>
      <c r="P453" s="146">
        <f>IFERROR(__xludf.DUMMYFUNCTION("""COMPUTED_VALUE"""),285.0)</f>
        <v>285</v>
      </c>
      <c r="Q453" s="146"/>
      <c r="R453" s="146"/>
      <c r="T453" s="131" t="str">
        <f>IFERROR(__xludf.DUMMYFUNCTION("""COMPUTED_VALUE"""),"Y")</f>
        <v>Y</v>
      </c>
      <c r="U453" s="131" t="str">
        <f>IFERROR(__xludf.DUMMYFUNCTION("""COMPUTED_VALUE"""),"6")</f>
        <v>6</v>
      </c>
      <c r="V453" s="131" t="str">
        <f>IFERROR(__xludf.DUMMYFUNCTION("""COMPUTED_VALUE"""),"1165-1170")</f>
        <v>1165-1170</v>
      </c>
      <c r="W453" s="144">
        <f>IFERROR(__xludf.DUMMYFUNCTION("""COMPUTED_VALUE"""),45760.0)</f>
        <v>45760</v>
      </c>
      <c r="X453" s="144">
        <f>IFERROR(__xludf.DUMMYFUNCTION("""COMPUTED_VALUE"""),45767.0)</f>
        <v>45767</v>
      </c>
      <c r="Y453" s="144">
        <f>IFERROR(__xludf.DUMMYFUNCTION("""COMPUTED_VALUE"""),45788.0)</f>
        <v>45788</v>
      </c>
      <c r="Z453" s="131" t="str">
        <f>IFERROR(__xludf.DUMMYFUNCTION("""COMPUTED_VALUE"""),"D40-1R")</f>
        <v>D40-1R</v>
      </c>
      <c r="AA453" s="131"/>
      <c r="AB453" s="131"/>
      <c r="AC453" s="131"/>
      <c r="AD453" s="131"/>
      <c r="AE453" s="131">
        <f>IFERROR(__xludf.DUMMYFUNCTION("""COMPUTED_VALUE"""),160.0)</f>
        <v>160</v>
      </c>
      <c r="AF453" s="131">
        <f>IFERROR(__xludf.DUMMYFUNCTION("""COMPUTED_VALUE"""),166.0)</f>
        <v>166</v>
      </c>
      <c r="AG453" s="131">
        <f>IFERROR(__xludf.DUMMYFUNCTION("""COMPUTED_VALUE"""),4.0)</f>
        <v>4</v>
      </c>
      <c r="AH453" s="131">
        <f>IFERROR(__xludf.DUMMYFUNCTION("""COMPUTED_VALUE"""),4.0)</f>
        <v>4</v>
      </c>
      <c r="AI453" s="131">
        <f>IFERROR(__xludf.DUMMYFUNCTION("""COMPUTED_VALUE"""),285.0)</f>
        <v>285</v>
      </c>
      <c r="AJ453" s="131"/>
      <c r="AK453" s="131"/>
    </row>
    <row r="454">
      <c r="A454" s="145" t="str">
        <f>IFERROR(__xludf.DUMMYFUNCTION("""COMPUTED_VALUE"""),"Y")</f>
        <v>Y</v>
      </c>
      <c r="B454" s="146" t="str">
        <f>IFERROR(__xludf.DUMMYFUNCTION("""COMPUTED_VALUE"""),"6")</f>
        <v>6</v>
      </c>
      <c r="C454" s="146" t="str">
        <f>IFERROR(__xludf.DUMMYFUNCTION("""COMPUTED_VALUE"""),"1165-1170")</f>
        <v>1165-1170</v>
      </c>
      <c r="D454" s="147">
        <f>IFERROR(__xludf.DUMMYFUNCTION("""COMPUTED_VALUE"""),45760.0)</f>
        <v>45760</v>
      </c>
      <c r="E454" s="147">
        <f>IFERROR(__xludf.DUMMYFUNCTION("""COMPUTED_VALUE"""),45767.0)</f>
        <v>45767</v>
      </c>
      <c r="F454" s="147">
        <f>IFERROR(__xludf.DUMMYFUNCTION("""COMPUTED_VALUE"""),45788.0)</f>
        <v>45788</v>
      </c>
      <c r="G454" s="146" t="str">
        <f>IFERROR(__xludf.DUMMYFUNCTION("""COMPUTED_VALUE"""),"D40-1R")</f>
        <v>D40-1R</v>
      </c>
      <c r="H454" s="148"/>
      <c r="I454" s="148"/>
      <c r="J454" s="146"/>
      <c r="K454" s="146"/>
      <c r="L454" s="146">
        <f>IFERROR(__xludf.DUMMYFUNCTION("""COMPUTED_VALUE"""),160.0)</f>
        <v>160</v>
      </c>
      <c r="M454" s="146">
        <f>IFERROR(__xludf.DUMMYFUNCTION("""COMPUTED_VALUE"""),166.0)</f>
        <v>166</v>
      </c>
      <c r="N454" s="146">
        <f>IFERROR(__xludf.DUMMYFUNCTION("""COMPUTED_VALUE"""),4.0)</f>
        <v>4</v>
      </c>
      <c r="O454" s="146">
        <f>IFERROR(__xludf.DUMMYFUNCTION("""COMPUTED_VALUE"""),4.0)</f>
        <v>4</v>
      </c>
      <c r="P454" s="146">
        <f>IFERROR(__xludf.DUMMYFUNCTION("""COMPUTED_VALUE"""),285.0)</f>
        <v>285</v>
      </c>
      <c r="Q454" s="146"/>
      <c r="R454" s="146"/>
      <c r="T454" s="131" t="str">
        <f>IFERROR(__xludf.DUMMYFUNCTION("""COMPUTED_VALUE"""),"Y")</f>
        <v>Y</v>
      </c>
      <c r="U454" s="131" t="str">
        <f>IFERROR(__xludf.DUMMYFUNCTION("""COMPUTED_VALUE"""),"6")</f>
        <v>6</v>
      </c>
      <c r="V454" s="131" t="str">
        <f>IFERROR(__xludf.DUMMYFUNCTION("""COMPUTED_VALUE"""),"1165-1170")</f>
        <v>1165-1170</v>
      </c>
      <c r="W454" s="144">
        <f>IFERROR(__xludf.DUMMYFUNCTION("""COMPUTED_VALUE"""),45760.0)</f>
        <v>45760</v>
      </c>
      <c r="X454" s="144">
        <f>IFERROR(__xludf.DUMMYFUNCTION("""COMPUTED_VALUE"""),45767.0)</f>
        <v>45767</v>
      </c>
      <c r="Y454" s="144">
        <f>IFERROR(__xludf.DUMMYFUNCTION("""COMPUTED_VALUE"""),45788.0)</f>
        <v>45788</v>
      </c>
      <c r="Z454" s="131" t="str">
        <f>IFERROR(__xludf.DUMMYFUNCTION("""COMPUTED_VALUE"""),"D40-1R")</f>
        <v>D40-1R</v>
      </c>
      <c r="AA454" s="131"/>
      <c r="AB454" s="131"/>
      <c r="AC454" s="131"/>
      <c r="AD454" s="131"/>
      <c r="AE454" s="131">
        <f>IFERROR(__xludf.DUMMYFUNCTION("""COMPUTED_VALUE"""),186.0)</f>
        <v>186</v>
      </c>
      <c r="AF454" s="131">
        <f>IFERROR(__xludf.DUMMYFUNCTION("""COMPUTED_VALUE"""),304.0)</f>
        <v>304</v>
      </c>
      <c r="AG454" s="131">
        <f>IFERROR(__xludf.DUMMYFUNCTION("""COMPUTED_VALUE"""),60.0)</f>
        <v>60</v>
      </c>
      <c r="AH454" s="131">
        <f>IFERROR(__xludf.DUMMYFUNCTION("""COMPUTED_VALUE"""),60.0)</f>
        <v>60</v>
      </c>
      <c r="AI454" s="131">
        <f>IFERROR(__xludf.DUMMYFUNCTION("""COMPUTED_VALUE"""),285.0)</f>
        <v>285</v>
      </c>
      <c r="AJ454" s="131"/>
      <c r="AK454" s="131"/>
    </row>
    <row r="455">
      <c r="A455" s="145" t="str">
        <f>IFERROR(__xludf.DUMMYFUNCTION("""COMPUTED_VALUE"""),"Y")</f>
        <v>Y</v>
      </c>
      <c r="B455" s="146" t="str">
        <f>IFERROR(__xludf.DUMMYFUNCTION("""COMPUTED_VALUE"""),"6")</f>
        <v>6</v>
      </c>
      <c r="C455" s="146" t="str">
        <f>IFERROR(__xludf.DUMMYFUNCTION("""COMPUTED_VALUE"""),"1165-1170")</f>
        <v>1165-1170</v>
      </c>
      <c r="D455" s="147">
        <f>IFERROR(__xludf.DUMMYFUNCTION("""COMPUTED_VALUE"""),45760.0)</f>
        <v>45760</v>
      </c>
      <c r="E455" s="147">
        <f>IFERROR(__xludf.DUMMYFUNCTION("""COMPUTED_VALUE"""),45767.0)</f>
        <v>45767</v>
      </c>
      <c r="F455" s="147">
        <f>IFERROR(__xludf.DUMMYFUNCTION("""COMPUTED_VALUE"""),45788.0)</f>
        <v>45788</v>
      </c>
      <c r="G455" s="146" t="str">
        <f>IFERROR(__xludf.DUMMYFUNCTION("""COMPUTED_VALUE"""),"D40-1R")</f>
        <v>D40-1R</v>
      </c>
      <c r="H455" s="148"/>
      <c r="I455" s="148"/>
      <c r="J455" s="146"/>
      <c r="K455" s="146"/>
      <c r="L455" s="146">
        <f>IFERROR(__xludf.DUMMYFUNCTION("""COMPUTED_VALUE"""),186.0)</f>
        <v>186</v>
      </c>
      <c r="M455" s="146">
        <f>IFERROR(__xludf.DUMMYFUNCTION("""COMPUTED_VALUE"""),304.0)</f>
        <v>304</v>
      </c>
      <c r="N455" s="146">
        <f>IFERROR(__xludf.DUMMYFUNCTION("""COMPUTED_VALUE"""),60.0)</f>
        <v>60</v>
      </c>
      <c r="O455" s="146">
        <f>IFERROR(__xludf.DUMMYFUNCTION("""COMPUTED_VALUE"""),60.0)</f>
        <v>60</v>
      </c>
      <c r="P455" s="146">
        <f>IFERROR(__xludf.DUMMYFUNCTION("""COMPUTED_VALUE"""),285.0)</f>
        <v>285</v>
      </c>
      <c r="Q455" s="146"/>
      <c r="R455" s="146"/>
      <c r="T455" s="131" t="str">
        <f>IFERROR(__xludf.DUMMYFUNCTION("""COMPUTED_VALUE"""),"Y")</f>
        <v>Y</v>
      </c>
      <c r="U455" s="131" t="str">
        <f>IFERROR(__xludf.DUMMYFUNCTION("""COMPUTED_VALUE"""),"6")</f>
        <v>6</v>
      </c>
      <c r="V455" s="131" t="str">
        <f>IFERROR(__xludf.DUMMYFUNCTION("""COMPUTED_VALUE"""),"1159-1164")</f>
        <v>1159-1164</v>
      </c>
      <c r="W455" s="144">
        <f>IFERROR(__xludf.DUMMYFUNCTION("""COMPUTED_VALUE"""),45760.0)</f>
        <v>45760</v>
      </c>
      <c r="X455" s="144">
        <f>IFERROR(__xludf.DUMMYFUNCTION("""COMPUTED_VALUE"""),45767.0)</f>
        <v>45767</v>
      </c>
      <c r="Y455" s="144">
        <f>IFERROR(__xludf.DUMMYFUNCTION("""COMPUTED_VALUE"""),45788.0)</f>
        <v>45788</v>
      </c>
      <c r="Z455" s="131" t="str">
        <f>IFERROR(__xludf.DUMMYFUNCTION("""COMPUTED_VALUE"""),"D39-3R")</f>
        <v>D39-3R</v>
      </c>
      <c r="AA455" s="131">
        <f>IFERROR(__xludf.DUMMYFUNCTION("""COMPUTED_VALUE"""),217.0)</f>
        <v>217</v>
      </c>
      <c r="AB455" s="131">
        <f>IFERROR(__xludf.DUMMYFUNCTION("""COMPUTED_VALUE"""),457.0)</f>
        <v>457</v>
      </c>
      <c r="AC455" s="131">
        <f>IFERROR(__xludf.DUMMYFUNCTION("""COMPUTED_VALUE"""),121.0)</f>
        <v>121</v>
      </c>
      <c r="AD455" s="131">
        <f>IFERROR(__xludf.DUMMYFUNCTION("""COMPUTED_VALUE"""),121.0)</f>
        <v>121</v>
      </c>
      <c r="AE455" s="131"/>
      <c r="AF455" s="131"/>
      <c r="AG455" s="131"/>
      <c r="AH455" s="131"/>
      <c r="AI455" s="131">
        <f>IFERROR(__xludf.DUMMYFUNCTION("""COMPUTED_VALUE"""),286.0)</f>
        <v>286</v>
      </c>
      <c r="AJ455" s="131"/>
      <c r="AK455" s="131"/>
    </row>
    <row r="456">
      <c r="A456" s="145" t="str">
        <f>IFERROR(__xludf.DUMMYFUNCTION("""COMPUTED_VALUE"""),"Y")</f>
        <v>Y</v>
      </c>
      <c r="B456" s="146" t="str">
        <f>IFERROR(__xludf.DUMMYFUNCTION("""COMPUTED_VALUE"""),"6")</f>
        <v>6</v>
      </c>
      <c r="C456" s="146" t="str">
        <f>IFERROR(__xludf.DUMMYFUNCTION("""COMPUTED_VALUE"""),"1159-1164")</f>
        <v>1159-1164</v>
      </c>
      <c r="D456" s="147">
        <f>IFERROR(__xludf.DUMMYFUNCTION("""COMPUTED_VALUE"""),45760.0)</f>
        <v>45760</v>
      </c>
      <c r="E456" s="147">
        <f>IFERROR(__xludf.DUMMYFUNCTION("""COMPUTED_VALUE"""),45767.0)</f>
        <v>45767</v>
      </c>
      <c r="F456" s="147">
        <f>IFERROR(__xludf.DUMMYFUNCTION("""COMPUTED_VALUE"""),45788.0)</f>
        <v>45788</v>
      </c>
      <c r="G456" s="146" t="str">
        <f>IFERROR(__xludf.DUMMYFUNCTION("""COMPUTED_VALUE"""),"D39-3R")</f>
        <v>D39-3R</v>
      </c>
      <c r="H456" s="148">
        <f>IFERROR(__xludf.DUMMYFUNCTION("""COMPUTED_VALUE"""),217.0)</f>
        <v>217</v>
      </c>
      <c r="I456" s="148">
        <f>IFERROR(__xludf.DUMMYFUNCTION("""COMPUTED_VALUE"""),457.0)</f>
        <v>457</v>
      </c>
      <c r="J456" s="146">
        <f>IFERROR(__xludf.DUMMYFUNCTION("""COMPUTED_VALUE"""),121.0)</f>
        <v>121</v>
      </c>
      <c r="K456" s="146">
        <f>IFERROR(__xludf.DUMMYFUNCTION("""COMPUTED_VALUE"""),121.0)</f>
        <v>121</v>
      </c>
      <c r="L456" s="146"/>
      <c r="M456" s="146"/>
      <c r="N456" s="146"/>
      <c r="O456" s="146"/>
      <c r="P456" s="146">
        <f>IFERROR(__xludf.DUMMYFUNCTION("""COMPUTED_VALUE"""),286.0)</f>
        <v>286</v>
      </c>
      <c r="Q456" s="146"/>
      <c r="R456" s="146"/>
      <c r="T456" s="131" t="str">
        <f>IFERROR(__xludf.DUMMYFUNCTION("""COMPUTED_VALUE"""),"Y")</f>
        <v>Y</v>
      </c>
      <c r="U456" s="131" t="str">
        <f>IFERROR(__xludf.DUMMYFUNCTION("""COMPUTED_VALUE"""),"6")</f>
        <v>6</v>
      </c>
      <c r="V456" s="131" t="str">
        <f>IFERROR(__xludf.DUMMYFUNCTION("""COMPUTED_VALUE"""),"1171-1176")</f>
        <v>1171-1176</v>
      </c>
      <c r="W456" s="144">
        <f>IFERROR(__xludf.DUMMYFUNCTION("""COMPUTED_VALUE"""),45760.0)</f>
        <v>45760</v>
      </c>
      <c r="X456" s="144">
        <f>IFERROR(__xludf.DUMMYFUNCTION("""COMPUTED_VALUE"""),45767.0)</f>
        <v>45767</v>
      </c>
      <c r="Y456" s="144">
        <f>IFERROR(__xludf.DUMMYFUNCTION("""COMPUTED_VALUE"""),45788.0)</f>
        <v>45788</v>
      </c>
      <c r="Z456" s="131" t="str">
        <f>IFERROR(__xludf.DUMMYFUNCTION("""COMPUTED_VALUE"""),"BRG10")</f>
        <v>BRG10</v>
      </c>
      <c r="AA456" s="131">
        <f>IFERROR(__xludf.DUMMYFUNCTION("""COMPUTED_VALUE"""),807.0)</f>
        <v>807</v>
      </c>
      <c r="AB456" s="131">
        <f>IFERROR(__xludf.DUMMYFUNCTION("""COMPUTED_VALUE"""),837.0)</f>
        <v>837</v>
      </c>
      <c r="AC456" s="131">
        <f>IFERROR(__xludf.DUMMYFUNCTION("""COMPUTED_VALUE"""),16.0)</f>
        <v>16</v>
      </c>
      <c r="AD456" s="131">
        <f>IFERROR(__xludf.DUMMYFUNCTION("""COMPUTED_VALUE"""),16.0)</f>
        <v>16</v>
      </c>
      <c r="AE456" s="131">
        <f>IFERROR(__xludf.DUMMYFUNCTION("""COMPUTED_VALUE"""),630.0)</f>
        <v>630</v>
      </c>
      <c r="AF456" s="131">
        <f>IFERROR(__xludf.DUMMYFUNCTION("""COMPUTED_VALUE"""),744.0)</f>
        <v>744</v>
      </c>
      <c r="AG456" s="131">
        <f>IFERROR(__xludf.DUMMYFUNCTION("""COMPUTED_VALUE"""),58.0)</f>
        <v>58</v>
      </c>
      <c r="AH456" s="131">
        <f>IFERROR(__xludf.DUMMYFUNCTION("""COMPUTED_VALUE"""),58.0)</f>
        <v>58</v>
      </c>
      <c r="AI456" s="131">
        <f>IFERROR(__xludf.DUMMYFUNCTION("""COMPUTED_VALUE"""),284.0)</f>
        <v>284</v>
      </c>
      <c r="AJ456" s="131"/>
      <c r="AK456" s="131"/>
    </row>
    <row r="457">
      <c r="A457" s="145" t="str">
        <f>IFERROR(__xludf.DUMMYFUNCTION("""COMPUTED_VALUE"""),"Y")</f>
        <v>Y</v>
      </c>
      <c r="B457" s="146" t="str">
        <f>IFERROR(__xludf.DUMMYFUNCTION("""COMPUTED_VALUE"""),"6")</f>
        <v>6</v>
      </c>
      <c r="C457" s="146" t="str">
        <f>IFERROR(__xludf.DUMMYFUNCTION("""COMPUTED_VALUE"""),"1171-1176")</f>
        <v>1171-1176</v>
      </c>
      <c r="D457" s="147">
        <f>IFERROR(__xludf.DUMMYFUNCTION("""COMPUTED_VALUE"""),45760.0)</f>
        <v>45760</v>
      </c>
      <c r="E457" s="147">
        <f>IFERROR(__xludf.DUMMYFUNCTION("""COMPUTED_VALUE"""),45767.0)</f>
        <v>45767</v>
      </c>
      <c r="F457" s="147">
        <f>IFERROR(__xludf.DUMMYFUNCTION("""COMPUTED_VALUE"""),45788.0)</f>
        <v>45788</v>
      </c>
      <c r="G457" s="146" t="str">
        <f>IFERROR(__xludf.DUMMYFUNCTION("""COMPUTED_VALUE"""),"BRG10")</f>
        <v>BRG10</v>
      </c>
      <c r="H457" s="148">
        <f>IFERROR(__xludf.DUMMYFUNCTION("""COMPUTED_VALUE"""),807.0)</f>
        <v>807</v>
      </c>
      <c r="I457" s="148">
        <f>IFERROR(__xludf.DUMMYFUNCTION("""COMPUTED_VALUE"""),837.0)</f>
        <v>837</v>
      </c>
      <c r="J457" s="146">
        <f>IFERROR(__xludf.DUMMYFUNCTION("""COMPUTED_VALUE"""),16.0)</f>
        <v>16</v>
      </c>
      <c r="K457" s="146">
        <f>IFERROR(__xludf.DUMMYFUNCTION("""COMPUTED_VALUE"""),16.0)</f>
        <v>16</v>
      </c>
      <c r="L457" s="146">
        <f>IFERROR(__xludf.DUMMYFUNCTION("""COMPUTED_VALUE"""),630.0)</f>
        <v>630</v>
      </c>
      <c r="M457" s="146">
        <f>IFERROR(__xludf.DUMMYFUNCTION("""COMPUTED_VALUE"""),744.0)</f>
        <v>744</v>
      </c>
      <c r="N457" s="146">
        <f>IFERROR(__xludf.DUMMYFUNCTION("""COMPUTED_VALUE"""),58.0)</f>
        <v>58</v>
      </c>
      <c r="O457" s="146">
        <f>IFERROR(__xludf.DUMMYFUNCTION("""COMPUTED_VALUE"""),58.0)</f>
        <v>58</v>
      </c>
      <c r="P457" s="146">
        <f>IFERROR(__xludf.DUMMYFUNCTION("""COMPUTED_VALUE"""),284.0)</f>
        <v>284</v>
      </c>
      <c r="Q457" s="146"/>
      <c r="R457" s="146"/>
      <c r="T457" s="131" t="str">
        <f>IFERROR(__xludf.DUMMYFUNCTION("""COMPUTED_VALUE"""),"Y")</f>
        <v>Y</v>
      </c>
      <c r="U457" s="131" t="str">
        <f>IFERROR(__xludf.DUMMYFUNCTION("""COMPUTED_VALUE"""),"6")</f>
        <v>6</v>
      </c>
      <c r="V457" s="131" t="str">
        <f>IFERROR(__xludf.DUMMYFUNCTION("""COMPUTED_VALUE"""),"1183-1188")</f>
        <v>1183-1188</v>
      </c>
      <c r="W457" s="144">
        <f>IFERROR(__xludf.DUMMYFUNCTION("""COMPUTED_VALUE"""),45761.0)</f>
        <v>45761</v>
      </c>
      <c r="X457" s="144">
        <f>IFERROR(__xludf.DUMMYFUNCTION("""COMPUTED_VALUE"""),45768.0)</f>
        <v>45768</v>
      </c>
      <c r="Y457" s="144">
        <f>IFERROR(__xludf.DUMMYFUNCTION("""COMPUTED_VALUE"""),45789.0)</f>
        <v>45789</v>
      </c>
      <c r="Z457" s="131" t="str">
        <f>IFERROR(__xludf.DUMMYFUNCTION("""COMPUTED_VALUE"""),"D39-3R")</f>
        <v>D39-3R</v>
      </c>
      <c r="AA457" s="131"/>
      <c r="AB457" s="131"/>
      <c r="AC457" s="131"/>
      <c r="AD457" s="131"/>
      <c r="AE457" s="131">
        <f>IFERROR(__xludf.DUMMYFUNCTION("""COMPUTED_VALUE"""),106.0)</f>
        <v>106</v>
      </c>
      <c r="AF457" s="131">
        <f>IFERROR(__xludf.DUMMYFUNCTION("""COMPUTED_VALUE"""),184.0)</f>
        <v>184</v>
      </c>
      <c r="AG457" s="131">
        <f>IFERROR(__xludf.DUMMYFUNCTION("""COMPUTED_VALUE"""),40.0)</f>
        <v>40</v>
      </c>
      <c r="AH457" s="131">
        <f>IFERROR(__xludf.DUMMYFUNCTION("""COMPUTED_VALUE"""),40.0)</f>
        <v>40</v>
      </c>
      <c r="AI457" s="131">
        <f>IFERROR(__xludf.DUMMYFUNCTION("""COMPUTED_VALUE"""),287.0)</f>
        <v>287</v>
      </c>
      <c r="AJ457" s="131"/>
      <c r="AK457" s="131"/>
    </row>
    <row r="458">
      <c r="A458" s="145" t="str">
        <f>IFERROR(__xludf.DUMMYFUNCTION("""COMPUTED_VALUE"""),"Y")</f>
        <v>Y</v>
      </c>
      <c r="B458" s="146" t="str">
        <f>IFERROR(__xludf.DUMMYFUNCTION("""COMPUTED_VALUE"""),"6")</f>
        <v>6</v>
      </c>
      <c r="C458" s="146" t="str">
        <f>IFERROR(__xludf.DUMMYFUNCTION("""COMPUTED_VALUE"""),"1183-1188")</f>
        <v>1183-1188</v>
      </c>
      <c r="D458" s="147">
        <f>IFERROR(__xludf.DUMMYFUNCTION("""COMPUTED_VALUE"""),45761.0)</f>
        <v>45761</v>
      </c>
      <c r="E458" s="147">
        <f>IFERROR(__xludf.DUMMYFUNCTION("""COMPUTED_VALUE"""),45768.0)</f>
        <v>45768</v>
      </c>
      <c r="F458" s="147">
        <f>IFERROR(__xludf.DUMMYFUNCTION("""COMPUTED_VALUE"""),45789.0)</f>
        <v>45789</v>
      </c>
      <c r="G458" s="146" t="str">
        <f>IFERROR(__xludf.DUMMYFUNCTION("""COMPUTED_VALUE"""),"D39-3R")</f>
        <v>D39-3R</v>
      </c>
      <c r="H458" s="148"/>
      <c r="I458" s="148"/>
      <c r="J458" s="146"/>
      <c r="K458" s="146"/>
      <c r="L458" s="146">
        <f>IFERROR(__xludf.DUMMYFUNCTION("""COMPUTED_VALUE"""),106.0)</f>
        <v>106</v>
      </c>
      <c r="M458" s="146">
        <f>IFERROR(__xludf.DUMMYFUNCTION("""COMPUTED_VALUE"""),184.0)</f>
        <v>184</v>
      </c>
      <c r="N458" s="146">
        <f>IFERROR(__xludf.DUMMYFUNCTION("""COMPUTED_VALUE"""),40.0)</f>
        <v>40</v>
      </c>
      <c r="O458" s="146">
        <f>IFERROR(__xludf.DUMMYFUNCTION("""COMPUTED_VALUE"""),40.0)</f>
        <v>40</v>
      </c>
      <c r="P458" s="146">
        <f>IFERROR(__xludf.DUMMYFUNCTION("""COMPUTED_VALUE"""),287.0)</f>
        <v>287</v>
      </c>
      <c r="Q458" s="146"/>
      <c r="R458" s="146"/>
      <c r="T458" s="131" t="str">
        <f>IFERROR(__xludf.DUMMYFUNCTION("""COMPUTED_VALUE"""),"Y")</f>
        <v>Y</v>
      </c>
      <c r="U458" s="131" t="str">
        <f>IFERROR(__xludf.DUMMYFUNCTION("""COMPUTED_VALUE"""),"6")</f>
        <v>6</v>
      </c>
      <c r="V458" s="131" t="str">
        <f>IFERROR(__xludf.DUMMYFUNCTION("""COMPUTED_VALUE"""),"1183-1188")</f>
        <v>1183-1188</v>
      </c>
      <c r="W458" s="144">
        <f>IFERROR(__xludf.DUMMYFUNCTION("""COMPUTED_VALUE"""),45761.0)</f>
        <v>45761</v>
      </c>
      <c r="X458" s="144">
        <f>IFERROR(__xludf.DUMMYFUNCTION("""COMPUTED_VALUE"""),45768.0)</f>
        <v>45768</v>
      </c>
      <c r="Y458" s="144">
        <f>IFERROR(__xludf.DUMMYFUNCTION("""COMPUTED_VALUE"""),45789.0)</f>
        <v>45789</v>
      </c>
      <c r="Z458" s="131" t="str">
        <f>IFERROR(__xludf.DUMMYFUNCTION("""COMPUTED_VALUE"""),"D39-3R")</f>
        <v>D39-3R</v>
      </c>
      <c r="AA458" s="131"/>
      <c r="AB458" s="131"/>
      <c r="AC458" s="131"/>
      <c r="AD458" s="131"/>
      <c r="AE458" s="131">
        <f>IFERROR(__xludf.DUMMYFUNCTION("""COMPUTED_VALUE"""),188.0)</f>
        <v>188</v>
      </c>
      <c r="AF458" s="131">
        <f>IFERROR(__xludf.DUMMYFUNCTION("""COMPUTED_VALUE"""),236.0)</f>
        <v>236</v>
      </c>
      <c r="AG458" s="131">
        <f>IFERROR(__xludf.DUMMYFUNCTION("""COMPUTED_VALUE"""),25.0)</f>
        <v>25</v>
      </c>
      <c r="AH458" s="131">
        <f>IFERROR(__xludf.DUMMYFUNCTION("""COMPUTED_VALUE"""),25.0)</f>
        <v>25</v>
      </c>
      <c r="AI458" s="131">
        <f>IFERROR(__xludf.DUMMYFUNCTION("""COMPUTED_VALUE"""),287.0)</f>
        <v>287</v>
      </c>
      <c r="AJ458" s="131"/>
      <c r="AK458" s="131"/>
    </row>
    <row r="459">
      <c r="A459" s="145" t="str">
        <f>IFERROR(__xludf.DUMMYFUNCTION("""COMPUTED_VALUE"""),"Y")</f>
        <v>Y</v>
      </c>
      <c r="B459" s="146" t="str">
        <f>IFERROR(__xludf.DUMMYFUNCTION("""COMPUTED_VALUE"""),"6")</f>
        <v>6</v>
      </c>
      <c r="C459" s="146" t="str">
        <f>IFERROR(__xludf.DUMMYFUNCTION("""COMPUTED_VALUE"""),"1183-1188")</f>
        <v>1183-1188</v>
      </c>
      <c r="D459" s="147">
        <f>IFERROR(__xludf.DUMMYFUNCTION("""COMPUTED_VALUE"""),45761.0)</f>
        <v>45761</v>
      </c>
      <c r="E459" s="147">
        <f>IFERROR(__xludf.DUMMYFUNCTION("""COMPUTED_VALUE"""),45768.0)</f>
        <v>45768</v>
      </c>
      <c r="F459" s="147">
        <f>IFERROR(__xludf.DUMMYFUNCTION("""COMPUTED_VALUE"""),45789.0)</f>
        <v>45789</v>
      </c>
      <c r="G459" s="146" t="str">
        <f>IFERROR(__xludf.DUMMYFUNCTION("""COMPUTED_VALUE"""),"D39-3R")</f>
        <v>D39-3R</v>
      </c>
      <c r="H459" s="148"/>
      <c r="I459" s="148"/>
      <c r="J459" s="146"/>
      <c r="K459" s="146"/>
      <c r="L459" s="146">
        <f>IFERROR(__xludf.DUMMYFUNCTION("""COMPUTED_VALUE"""),188.0)</f>
        <v>188</v>
      </c>
      <c r="M459" s="146">
        <f>IFERROR(__xludf.DUMMYFUNCTION("""COMPUTED_VALUE"""),236.0)</f>
        <v>236</v>
      </c>
      <c r="N459" s="146">
        <f>IFERROR(__xludf.DUMMYFUNCTION("""COMPUTED_VALUE"""),25.0)</f>
        <v>25</v>
      </c>
      <c r="O459" s="146">
        <f>IFERROR(__xludf.DUMMYFUNCTION("""COMPUTED_VALUE"""),25.0)</f>
        <v>25</v>
      </c>
      <c r="P459" s="146">
        <f>IFERROR(__xludf.DUMMYFUNCTION("""COMPUTED_VALUE"""),287.0)</f>
        <v>287</v>
      </c>
      <c r="Q459" s="146"/>
      <c r="R459" s="146"/>
      <c r="T459" s="131" t="str">
        <f>IFERROR(__xludf.DUMMYFUNCTION("""COMPUTED_VALUE"""),"Y")</f>
        <v>Y</v>
      </c>
      <c r="U459" s="131" t="str">
        <f>IFERROR(__xludf.DUMMYFUNCTION("""COMPUTED_VALUE"""),"6")</f>
        <v>6</v>
      </c>
      <c r="V459" s="131" t="str">
        <f>IFERROR(__xludf.DUMMYFUNCTION("""COMPUTED_VALUE"""),"1183-1188")</f>
        <v>1183-1188</v>
      </c>
      <c r="W459" s="144">
        <f>IFERROR(__xludf.DUMMYFUNCTION("""COMPUTED_VALUE"""),45761.0)</f>
        <v>45761</v>
      </c>
      <c r="X459" s="144">
        <f>IFERROR(__xludf.DUMMYFUNCTION("""COMPUTED_VALUE"""),45768.0)</f>
        <v>45768</v>
      </c>
      <c r="Y459" s="144">
        <f>IFERROR(__xludf.DUMMYFUNCTION("""COMPUTED_VALUE"""),45789.0)</f>
        <v>45789</v>
      </c>
      <c r="Z459" s="131" t="str">
        <f>IFERROR(__xludf.DUMMYFUNCTION("""COMPUTED_VALUE"""),"D39-3R")</f>
        <v>D39-3R</v>
      </c>
      <c r="AA459" s="131"/>
      <c r="AB459" s="131"/>
      <c r="AC459" s="131"/>
      <c r="AD459" s="131"/>
      <c r="AE459" s="131">
        <f>IFERROR(__xludf.DUMMYFUNCTION("""COMPUTED_VALUE"""),240.0)</f>
        <v>240</v>
      </c>
      <c r="AF459" s="131">
        <f>IFERROR(__xludf.DUMMYFUNCTION("""COMPUTED_VALUE"""),286.0)</f>
        <v>286</v>
      </c>
      <c r="AG459" s="131">
        <f>IFERROR(__xludf.DUMMYFUNCTION("""COMPUTED_VALUE"""),24.0)</f>
        <v>24</v>
      </c>
      <c r="AH459" s="131">
        <f>IFERROR(__xludf.DUMMYFUNCTION("""COMPUTED_VALUE"""),24.0)</f>
        <v>24</v>
      </c>
      <c r="AI459" s="131">
        <f>IFERROR(__xludf.DUMMYFUNCTION("""COMPUTED_VALUE"""),287.0)</f>
        <v>287</v>
      </c>
      <c r="AJ459" s="131"/>
      <c r="AK459" s="131"/>
    </row>
    <row r="460">
      <c r="A460" s="145" t="str">
        <f>IFERROR(__xludf.DUMMYFUNCTION("""COMPUTED_VALUE"""),"Y")</f>
        <v>Y</v>
      </c>
      <c r="B460" s="146" t="str">
        <f>IFERROR(__xludf.DUMMYFUNCTION("""COMPUTED_VALUE"""),"6")</f>
        <v>6</v>
      </c>
      <c r="C460" s="146" t="str">
        <f>IFERROR(__xludf.DUMMYFUNCTION("""COMPUTED_VALUE"""),"1183-1188")</f>
        <v>1183-1188</v>
      </c>
      <c r="D460" s="147">
        <f>IFERROR(__xludf.DUMMYFUNCTION("""COMPUTED_VALUE"""),45761.0)</f>
        <v>45761</v>
      </c>
      <c r="E460" s="147">
        <f>IFERROR(__xludf.DUMMYFUNCTION("""COMPUTED_VALUE"""),45768.0)</f>
        <v>45768</v>
      </c>
      <c r="F460" s="147">
        <f>IFERROR(__xludf.DUMMYFUNCTION("""COMPUTED_VALUE"""),45789.0)</f>
        <v>45789</v>
      </c>
      <c r="G460" s="146" t="str">
        <f>IFERROR(__xludf.DUMMYFUNCTION("""COMPUTED_VALUE"""),"D39-3R")</f>
        <v>D39-3R</v>
      </c>
      <c r="H460" s="148"/>
      <c r="I460" s="148"/>
      <c r="J460" s="146"/>
      <c r="K460" s="146"/>
      <c r="L460" s="146">
        <f>IFERROR(__xludf.DUMMYFUNCTION("""COMPUTED_VALUE"""),240.0)</f>
        <v>240</v>
      </c>
      <c r="M460" s="146">
        <f>IFERROR(__xludf.DUMMYFUNCTION("""COMPUTED_VALUE"""),286.0)</f>
        <v>286</v>
      </c>
      <c r="N460" s="146">
        <f>IFERROR(__xludf.DUMMYFUNCTION("""COMPUTED_VALUE"""),24.0)</f>
        <v>24</v>
      </c>
      <c r="O460" s="146">
        <f>IFERROR(__xludf.DUMMYFUNCTION("""COMPUTED_VALUE"""),24.0)</f>
        <v>24</v>
      </c>
      <c r="P460" s="146">
        <f>IFERROR(__xludf.DUMMYFUNCTION("""COMPUTED_VALUE"""),287.0)</f>
        <v>287</v>
      </c>
      <c r="Q460" s="146"/>
      <c r="R460" s="146"/>
      <c r="T460" s="131" t="str">
        <f>IFERROR(__xludf.DUMMYFUNCTION("""COMPUTED_VALUE"""),"Y")</f>
        <v>Y</v>
      </c>
      <c r="U460" s="131" t="str">
        <f>IFERROR(__xludf.DUMMYFUNCTION("""COMPUTED_VALUE"""),"6")</f>
        <v>6</v>
      </c>
      <c r="V460" s="131" t="str">
        <f>IFERROR(__xludf.DUMMYFUNCTION("""COMPUTED_VALUE"""),"1183-1188")</f>
        <v>1183-1188</v>
      </c>
      <c r="W460" s="144">
        <f>IFERROR(__xludf.DUMMYFUNCTION("""COMPUTED_VALUE"""),45761.0)</f>
        <v>45761</v>
      </c>
      <c r="X460" s="144">
        <f>IFERROR(__xludf.DUMMYFUNCTION("""COMPUTED_VALUE"""),45768.0)</f>
        <v>45768</v>
      </c>
      <c r="Y460" s="144">
        <f>IFERROR(__xludf.DUMMYFUNCTION("""COMPUTED_VALUE"""),45789.0)</f>
        <v>45789</v>
      </c>
      <c r="Z460" s="131" t="str">
        <f>IFERROR(__xludf.DUMMYFUNCTION("""COMPUTED_VALUE"""),"D39-3R")</f>
        <v>D39-3R</v>
      </c>
      <c r="AA460" s="131"/>
      <c r="AB460" s="131"/>
      <c r="AC460" s="131"/>
      <c r="AD460" s="131"/>
      <c r="AE460" s="131">
        <f>IFERROR(__xludf.DUMMYFUNCTION("""COMPUTED_VALUE"""),290.0)</f>
        <v>290</v>
      </c>
      <c r="AF460" s="131">
        <f>IFERROR(__xludf.DUMMYFUNCTION("""COMPUTED_VALUE"""),336.0)</f>
        <v>336</v>
      </c>
      <c r="AG460" s="131">
        <f>IFERROR(__xludf.DUMMYFUNCTION("""COMPUTED_VALUE"""),24.0)</f>
        <v>24</v>
      </c>
      <c r="AH460" s="131">
        <f>IFERROR(__xludf.DUMMYFUNCTION("""COMPUTED_VALUE"""),24.0)</f>
        <v>24</v>
      </c>
      <c r="AI460" s="131">
        <f>IFERROR(__xludf.DUMMYFUNCTION("""COMPUTED_VALUE"""),287.0)</f>
        <v>287</v>
      </c>
      <c r="AJ460" s="131"/>
      <c r="AK460" s="131"/>
    </row>
    <row r="461">
      <c r="A461" s="145" t="str">
        <f>IFERROR(__xludf.DUMMYFUNCTION("""COMPUTED_VALUE"""),"Y")</f>
        <v>Y</v>
      </c>
      <c r="B461" s="146" t="str">
        <f>IFERROR(__xludf.DUMMYFUNCTION("""COMPUTED_VALUE"""),"6")</f>
        <v>6</v>
      </c>
      <c r="C461" s="146" t="str">
        <f>IFERROR(__xludf.DUMMYFUNCTION("""COMPUTED_VALUE"""),"1183-1188")</f>
        <v>1183-1188</v>
      </c>
      <c r="D461" s="147">
        <f>IFERROR(__xludf.DUMMYFUNCTION("""COMPUTED_VALUE"""),45761.0)</f>
        <v>45761</v>
      </c>
      <c r="E461" s="147">
        <f>IFERROR(__xludf.DUMMYFUNCTION("""COMPUTED_VALUE"""),45768.0)</f>
        <v>45768</v>
      </c>
      <c r="F461" s="147">
        <f>IFERROR(__xludf.DUMMYFUNCTION("""COMPUTED_VALUE"""),45789.0)</f>
        <v>45789</v>
      </c>
      <c r="G461" s="146" t="str">
        <f>IFERROR(__xludf.DUMMYFUNCTION("""COMPUTED_VALUE"""),"D39-3R")</f>
        <v>D39-3R</v>
      </c>
      <c r="H461" s="148"/>
      <c r="I461" s="148"/>
      <c r="J461" s="146"/>
      <c r="K461" s="146"/>
      <c r="L461" s="146">
        <f>IFERROR(__xludf.DUMMYFUNCTION("""COMPUTED_VALUE"""),290.0)</f>
        <v>290</v>
      </c>
      <c r="M461" s="146">
        <f>IFERROR(__xludf.DUMMYFUNCTION("""COMPUTED_VALUE"""),336.0)</f>
        <v>336</v>
      </c>
      <c r="N461" s="146">
        <f>IFERROR(__xludf.DUMMYFUNCTION("""COMPUTED_VALUE"""),24.0)</f>
        <v>24</v>
      </c>
      <c r="O461" s="146">
        <f>IFERROR(__xludf.DUMMYFUNCTION("""COMPUTED_VALUE"""),24.0)</f>
        <v>24</v>
      </c>
      <c r="P461" s="146">
        <f>IFERROR(__xludf.DUMMYFUNCTION("""COMPUTED_VALUE"""),287.0)</f>
        <v>287</v>
      </c>
      <c r="Q461" s="146"/>
      <c r="R461" s="146"/>
      <c r="T461" s="131" t="str">
        <f>IFERROR(__xludf.DUMMYFUNCTION("""COMPUTED_VALUE"""),"Y")</f>
        <v>Y</v>
      </c>
      <c r="U461" s="131" t="str">
        <f>IFERROR(__xludf.DUMMYFUNCTION("""COMPUTED_VALUE"""),"6")</f>
        <v>6</v>
      </c>
      <c r="V461" s="131" t="str">
        <f>IFERROR(__xludf.DUMMYFUNCTION("""COMPUTED_VALUE"""),"1183-1188")</f>
        <v>1183-1188</v>
      </c>
      <c r="W461" s="144">
        <f>IFERROR(__xludf.DUMMYFUNCTION("""COMPUTED_VALUE"""),45761.0)</f>
        <v>45761</v>
      </c>
      <c r="X461" s="144">
        <f>IFERROR(__xludf.DUMMYFUNCTION("""COMPUTED_VALUE"""),45768.0)</f>
        <v>45768</v>
      </c>
      <c r="Y461" s="144">
        <f>IFERROR(__xludf.DUMMYFUNCTION("""COMPUTED_VALUE"""),45789.0)</f>
        <v>45789</v>
      </c>
      <c r="Z461" s="131" t="str">
        <f>IFERROR(__xludf.DUMMYFUNCTION("""COMPUTED_VALUE"""),"D39-3R")</f>
        <v>D39-3R</v>
      </c>
      <c r="AA461" s="131"/>
      <c r="AB461" s="131"/>
      <c r="AC461" s="131"/>
      <c r="AD461" s="131"/>
      <c r="AE461" s="131">
        <f>IFERROR(__xludf.DUMMYFUNCTION("""COMPUTED_VALUE"""),340.0)</f>
        <v>340</v>
      </c>
      <c r="AF461" s="131">
        <f>IFERROR(__xludf.DUMMYFUNCTION("""COMPUTED_VALUE"""),346.0)</f>
        <v>346</v>
      </c>
      <c r="AG461" s="131">
        <f>IFERROR(__xludf.DUMMYFUNCTION("""COMPUTED_VALUE"""),4.0)</f>
        <v>4</v>
      </c>
      <c r="AH461" s="131">
        <f>IFERROR(__xludf.DUMMYFUNCTION("""COMPUTED_VALUE"""),4.0)</f>
        <v>4</v>
      </c>
      <c r="AI461" s="131">
        <f>IFERROR(__xludf.DUMMYFUNCTION("""COMPUTED_VALUE"""),287.0)</f>
        <v>287</v>
      </c>
      <c r="AJ461" s="131"/>
      <c r="AK461" s="131"/>
    </row>
    <row r="462">
      <c r="A462" s="145" t="str">
        <f>IFERROR(__xludf.DUMMYFUNCTION("""COMPUTED_VALUE"""),"Y")</f>
        <v>Y</v>
      </c>
      <c r="B462" s="146" t="str">
        <f>IFERROR(__xludf.DUMMYFUNCTION("""COMPUTED_VALUE"""),"6")</f>
        <v>6</v>
      </c>
      <c r="C462" s="146" t="str">
        <f>IFERROR(__xludf.DUMMYFUNCTION("""COMPUTED_VALUE"""),"1183-1188")</f>
        <v>1183-1188</v>
      </c>
      <c r="D462" s="147">
        <f>IFERROR(__xludf.DUMMYFUNCTION("""COMPUTED_VALUE"""),45761.0)</f>
        <v>45761</v>
      </c>
      <c r="E462" s="147">
        <f>IFERROR(__xludf.DUMMYFUNCTION("""COMPUTED_VALUE"""),45768.0)</f>
        <v>45768</v>
      </c>
      <c r="F462" s="147">
        <f>IFERROR(__xludf.DUMMYFUNCTION("""COMPUTED_VALUE"""),45789.0)</f>
        <v>45789</v>
      </c>
      <c r="G462" s="146" t="str">
        <f>IFERROR(__xludf.DUMMYFUNCTION("""COMPUTED_VALUE"""),"D39-3R")</f>
        <v>D39-3R</v>
      </c>
      <c r="H462" s="148"/>
      <c r="I462" s="148"/>
      <c r="J462" s="146"/>
      <c r="K462" s="146"/>
      <c r="L462" s="146">
        <f>IFERROR(__xludf.DUMMYFUNCTION("""COMPUTED_VALUE"""),340.0)</f>
        <v>340</v>
      </c>
      <c r="M462" s="146">
        <f>IFERROR(__xludf.DUMMYFUNCTION("""COMPUTED_VALUE"""),346.0)</f>
        <v>346</v>
      </c>
      <c r="N462" s="146">
        <f>IFERROR(__xludf.DUMMYFUNCTION("""COMPUTED_VALUE"""),4.0)</f>
        <v>4</v>
      </c>
      <c r="O462" s="146">
        <f>IFERROR(__xludf.DUMMYFUNCTION("""COMPUTED_VALUE"""),4.0)</f>
        <v>4</v>
      </c>
      <c r="P462" s="146">
        <f>IFERROR(__xludf.DUMMYFUNCTION("""COMPUTED_VALUE"""),287.0)</f>
        <v>287</v>
      </c>
      <c r="Q462" s="146"/>
      <c r="R462" s="146"/>
      <c r="T462" s="131" t="str">
        <f>IFERROR(__xludf.DUMMYFUNCTION("""COMPUTED_VALUE"""),"Y")</f>
        <v>Y</v>
      </c>
      <c r="U462" s="131" t="str">
        <f>IFERROR(__xludf.DUMMYFUNCTION("""COMPUTED_VALUE"""),"6")</f>
        <v>6</v>
      </c>
      <c r="V462" s="131" t="str">
        <f>IFERROR(__xludf.DUMMYFUNCTION("""COMPUTED_VALUE"""),"1189-1194")</f>
        <v>1189-1194</v>
      </c>
      <c r="W462" s="144">
        <f>IFERROR(__xludf.DUMMYFUNCTION("""COMPUTED_VALUE"""),45761.0)</f>
        <v>45761</v>
      </c>
      <c r="X462" s="144">
        <f>IFERROR(__xludf.DUMMYFUNCTION("""COMPUTED_VALUE"""),45768.0)</f>
        <v>45768</v>
      </c>
      <c r="Y462" s="144">
        <f>IFERROR(__xludf.DUMMYFUNCTION("""COMPUTED_VALUE"""),45789.0)</f>
        <v>45789</v>
      </c>
      <c r="Z462" s="131" t="str">
        <f>IFERROR(__xludf.DUMMYFUNCTION("""COMPUTED_VALUE"""),"D40-1R")</f>
        <v>D40-1R</v>
      </c>
      <c r="AA462" s="131">
        <f>IFERROR(__xludf.DUMMYFUNCTION("""COMPUTED_VALUE"""),185.0)</f>
        <v>185</v>
      </c>
      <c r="AB462" s="131">
        <f>IFERROR(__xludf.DUMMYFUNCTION("""COMPUTED_VALUE"""),205.0)</f>
        <v>205</v>
      </c>
      <c r="AC462" s="131">
        <f>IFERROR(__xludf.DUMMYFUNCTION("""COMPUTED_VALUE"""),11.0)</f>
        <v>11</v>
      </c>
      <c r="AD462" s="131">
        <f>IFERROR(__xludf.DUMMYFUNCTION("""COMPUTED_VALUE"""),11.0)</f>
        <v>11</v>
      </c>
      <c r="AE462" s="131">
        <f>IFERROR(__xludf.DUMMYFUNCTION("""COMPUTED_VALUE"""),168.0)</f>
        <v>168</v>
      </c>
      <c r="AF462" s="131">
        <f>IFERROR(__xludf.DUMMYFUNCTION("""COMPUTED_VALUE"""),182.0)</f>
        <v>182</v>
      </c>
      <c r="AG462" s="131">
        <f>IFERROR(__xludf.DUMMYFUNCTION("""COMPUTED_VALUE"""),8.0)</f>
        <v>8</v>
      </c>
      <c r="AH462" s="131">
        <f>IFERROR(__xludf.DUMMYFUNCTION("""COMPUTED_VALUE"""),8.0)</f>
        <v>8</v>
      </c>
      <c r="AI462" s="131">
        <f>IFERROR(__xludf.DUMMYFUNCTION("""COMPUTED_VALUE"""),288.0)</f>
        <v>288</v>
      </c>
      <c r="AJ462" s="131"/>
      <c r="AK462" s="131"/>
    </row>
    <row r="463">
      <c r="A463" s="145" t="str">
        <f>IFERROR(__xludf.DUMMYFUNCTION("""COMPUTED_VALUE"""),"Y")</f>
        <v>Y</v>
      </c>
      <c r="B463" s="146" t="str">
        <f>IFERROR(__xludf.DUMMYFUNCTION("""COMPUTED_VALUE"""),"6")</f>
        <v>6</v>
      </c>
      <c r="C463" s="146" t="str">
        <f>IFERROR(__xludf.DUMMYFUNCTION("""COMPUTED_VALUE"""),"1189-1194")</f>
        <v>1189-1194</v>
      </c>
      <c r="D463" s="147">
        <f>IFERROR(__xludf.DUMMYFUNCTION("""COMPUTED_VALUE"""),45761.0)</f>
        <v>45761</v>
      </c>
      <c r="E463" s="147">
        <f>IFERROR(__xludf.DUMMYFUNCTION("""COMPUTED_VALUE"""),45768.0)</f>
        <v>45768</v>
      </c>
      <c r="F463" s="147">
        <f>IFERROR(__xludf.DUMMYFUNCTION("""COMPUTED_VALUE"""),45789.0)</f>
        <v>45789</v>
      </c>
      <c r="G463" s="146" t="str">
        <f>IFERROR(__xludf.DUMMYFUNCTION("""COMPUTED_VALUE"""),"D40-1R")</f>
        <v>D40-1R</v>
      </c>
      <c r="H463" s="148">
        <f>IFERROR(__xludf.DUMMYFUNCTION("""COMPUTED_VALUE"""),185.0)</f>
        <v>185</v>
      </c>
      <c r="I463" s="148">
        <f>IFERROR(__xludf.DUMMYFUNCTION("""COMPUTED_VALUE"""),205.0)</f>
        <v>205</v>
      </c>
      <c r="J463" s="146">
        <f>IFERROR(__xludf.DUMMYFUNCTION("""COMPUTED_VALUE"""),11.0)</f>
        <v>11</v>
      </c>
      <c r="K463" s="146">
        <f>IFERROR(__xludf.DUMMYFUNCTION("""COMPUTED_VALUE"""),11.0)</f>
        <v>11</v>
      </c>
      <c r="L463" s="146">
        <f>IFERROR(__xludf.DUMMYFUNCTION("""COMPUTED_VALUE"""),168.0)</f>
        <v>168</v>
      </c>
      <c r="M463" s="146">
        <f>IFERROR(__xludf.DUMMYFUNCTION("""COMPUTED_VALUE"""),182.0)</f>
        <v>182</v>
      </c>
      <c r="N463" s="146">
        <f>IFERROR(__xludf.DUMMYFUNCTION("""COMPUTED_VALUE"""),8.0)</f>
        <v>8</v>
      </c>
      <c r="O463" s="146">
        <f>IFERROR(__xludf.DUMMYFUNCTION("""COMPUTED_VALUE"""),8.0)</f>
        <v>8</v>
      </c>
      <c r="P463" s="146">
        <f>IFERROR(__xludf.DUMMYFUNCTION("""COMPUTED_VALUE"""),288.0)</f>
        <v>288</v>
      </c>
      <c r="Q463" s="146"/>
      <c r="R463" s="146"/>
      <c r="T463" s="131" t="str">
        <f>IFERROR(__xludf.DUMMYFUNCTION("""COMPUTED_VALUE"""),"Y")</f>
        <v>Y</v>
      </c>
      <c r="U463" s="131" t="str">
        <f>IFERROR(__xludf.DUMMYFUNCTION("""COMPUTED_VALUE"""),"6")</f>
        <v>6</v>
      </c>
      <c r="V463" s="131" t="str">
        <f>IFERROR(__xludf.DUMMYFUNCTION("""COMPUTED_VALUE"""),"1189-1194")</f>
        <v>1189-1194</v>
      </c>
      <c r="W463" s="144">
        <f>IFERROR(__xludf.DUMMYFUNCTION("""COMPUTED_VALUE"""),45761.0)</f>
        <v>45761</v>
      </c>
      <c r="X463" s="144">
        <f>IFERROR(__xludf.DUMMYFUNCTION("""COMPUTED_VALUE"""),45768.0)</f>
        <v>45768</v>
      </c>
      <c r="Y463" s="144">
        <f>IFERROR(__xludf.DUMMYFUNCTION("""COMPUTED_VALUE"""),45789.0)</f>
        <v>45789</v>
      </c>
      <c r="Z463" s="131" t="str">
        <f>IFERROR(__xludf.DUMMYFUNCTION("""COMPUTED_VALUE"""),"D40-1R")</f>
        <v>D40-1R</v>
      </c>
      <c r="AA463" s="131">
        <f>IFERROR(__xludf.DUMMYFUNCTION("""COMPUTED_VALUE"""),209.0)</f>
        <v>209</v>
      </c>
      <c r="AB463" s="131">
        <f>IFERROR(__xludf.DUMMYFUNCTION("""COMPUTED_VALUE"""),255.0)</f>
        <v>255</v>
      </c>
      <c r="AC463" s="131">
        <f>IFERROR(__xludf.DUMMYFUNCTION("""COMPUTED_VALUE"""),24.0)</f>
        <v>24</v>
      </c>
      <c r="AD463" s="131">
        <f>IFERROR(__xludf.DUMMYFUNCTION("""COMPUTED_VALUE"""),24.0)</f>
        <v>24</v>
      </c>
      <c r="AE463" s="131">
        <f>IFERROR(__xludf.DUMMYFUNCTION("""COMPUTED_VALUE"""),184.0)</f>
        <v>184</v>
      </c>
      <c r="AF463" s="131">
        <f>IFERROR(__xludf.DUMMYFUNCTION("""COMPUTED_VALUE"""),184.0)</f>
        <v>184</v>
      </c>
      <c r="AG463" s="131">
        <f>IFERROR(__xludf.DUMMYFUNCTION("""COMPUTED_VALUE"""),1.0)</f>
        <v>1</v>
      </c>
      <c r="AH463" s="131">
        <f>IFERROR(__xludf.DUMMYFUNCTION("""COMPUTED_VALUE"""),1.0)</f>
        <v>1</v>
      </c>
      <c r="AI463" s="131">
        <f>IFERROR(__xludf.DUMMYFUNCTION("""COMPUTED_VALUE"""),288.0)</f>
        <v>288</v>
      </c>
      <c r="AJ463" s="131"/>
      <c r="AK463" s="131"/>
    </row>
    <row r="464">
      <c r="A464" s="145" t="str">
        <f>IFERROR(__xludf.DUMMYFUNCTION("""COMPUTED_VALUE"""),"Y")</f>
        <v>Y</v>
      </c>
      <c r="B464" s="146" t="str">
        <f>IFERROR(__xludf.DUMMYFUNCTION("""COMPUTED_VALUE"""),"6")</f>
        <v>6</v>
      </c>
      <c r="C464" s="146" t="str">
        <f>IFERROR(__xludf.DUMMYFUNCTION("""COMPUTED_VALUE"""),"1189-1194")</f>
        <v>1189-1194</v>
      </c>
      <c r="D464" s="147">
        <f>IFERROR(__xludf.DUMMYFUNCTION("""COMPUTED_VALUE"""),45761.0)</f>
        <v>45761</v>
      </c>
      <c r="E464" s="147">
        <f>IFERROR(__xludf.DUMMYFUNCTION("""COMPUTED_VALUE"""),45768.0)</f>
        <v>45768</v>
      </c>
      <c r="F464" s="147">
        <f>IFERROR(__xludf.DUMMYFUNCTION("""COMPUTED_VALUE"""),45789.0)</f>
        <v>45789</v>
      </c>
      <c r="G464" s="146" t="str">
        <f>IFERROR(__xludf.DUMMYFUNCTION("""COMPUTED_VALUE"""),"D40-1R")</f>
        <v>D40-1R</v>
      </c>
      <c r="H464" s="148">
        <f>IFERROR(__xludf.DUMMYFUNCTION("""COMPUTED_VALUE"""),209.0)</f>
        <v>209</v>
      </c>
      <c r="I464" s="148">
        <f>IFERROR(__xludf.DUMMYFUNCTION("""COMPUTED_VALUE"""),255.0)</f>
        <v>255</v>
      </c>
      <c r="J464" s="146">
        <f>IFERROR(__xludf.DUMMYFUNCTION("""COMPUTED_VALUE"""),24.0)</f>
        <v>24</v>
      </c>
      <c r="K464" s="146">
        <f>IFERROR(__xludf.DUMMYFUNCTION("""COMPUTED_VALUE"""),24.0)</f>
        <v>24</v>
      </c>
      <c r="L464" s="146">
        <f>IFERROR(__xludf.DUMMYFUNCTION("""COMPUTED_VALUE"""),184.0)</f>
        <v>184</v>
      </c>
      <c r="M464" s="146">
        <f>IFERROR(__xludf.DUMMYFUNCTION("""COMPUTED_VALUE"""),184.0)</f>
        <v>184</v>
      </c>
      <c r="N464" s="146">
        <f>IFERROR(__xludf.DUMMYFUNCTION("""COMPUTED_VALUE"""),1.0)</f>
        <v>1</v>
      </c>
      <c r="O464" s="146">
        <f>IFERROR(__xludf.DUMMYFUNCTION("""COMPUTED_VALUE"""),1.0)</f>
        <v>1</v>
      </c>
      <c r="P464" s="146">
        <f>IFERROR(__xludf.DUMMYFUNCTION("""COMPUTED_VALUE"""),288.0)</f>
        <v>288</v>
      </c>
      <c r="Q464" s="146"/>
      <c r="R464" s="146"/>
      <c r="T464" s="131" t="str">
        <f>IFERROR(__xludf.DUMMYFUNCTION("""COMPUTED_VALUE"""),"Y")</f>
        <v>Y</v>
      </c>
      <c r="U464" s="131" t="str">
        <f>IFERROR(__xludf.DUMMYFUNCTION("""COMPUTED_VALUE"""),"6")</f>
        <v>6</v>
      </c>
      <c r="V464" s="131" t="str">
        <f>IFERROR(__xludf.DUMMYFUNCTION("""COMPUTED_VALUE"""),"1189-1194")</f>
        <v>1189-1194</v>
      </c>
      <c r="W464" s="144">
        <f>IFERROR(__xludf.DUMMYFUNCTION("""COMPUTED_VALUE"""),45761.0)</f>
        <v>45761</v>
      </c>
      <c r="X464" s="144">
        <f>IFERROR(__xludf.DUMMYFUNCTION("""COMPUTED_VALUE"""),45768.0)</f>
        <v>45768</v>
      </c>
      <c r="Y464" s="144">
        <f>IFERROR(__xludf.DUMMYFUNCTION("""COMPUTED_VALUE"""),45789.0)</f>
        <v>45789</v>
      </c>
      <c r="Z464" s="131" t="str">
        <f>IFERROR(__xludf.DUMMYFUNCTION("""COMPUTED_VALUE"""),"D40-1R")</f>
        <v>D40-1R</v>
      </c>
      <c r="AA464" s="131">
        <f>IFERROR(__xludf.DUMMYFUNCTION("""COMPUTED_VALUE"""),259.0)</f>
        <v>259</v>
      </c>
      <c r="AB464" s="131">
        <f>IFERROR(__xludf.DUMMYFUNCTION("""COMPUTED_VALUE"""),303.0)</f>
        <v>303</v>
      </c>
      <c r="AC464" s="131">
        <f>IFERROR(__xludf.DUMMYFUNCTION("""COMPUTED_VALUE"""),23.0)</f>
        <v>23</v>
      </c>
      <c r="AD464" s="131">
        <f>IFERROR(__xludf.DUMMYFUNCTION("""COMPUTED_VALUE"""),23.0)</f>
        <v>23</v>
      </c>
      <c r="AE464" s="131">
        <f>IFERROR(__xludf.DUMMYFUNCTION("""COMPUTED_VALUE"""),304.0)</f>
        <v>304</v>
      </c>
      <c r="AF464" s="131">
        <f>IFERROR(__xludf.DUMMYFUNCTION("""COMPUTED_VALUE"""),304.0)</f>
        <v>304</v>
      </c>
      <c r="AG464" s="131">
        <f>IFERROR(__xludf.DUMMYFUNCTION("""COMPUTED_VALUE"""),1.0)</f>
        <v>1</v>
      </c>
      <c r="AH464" s="131">
        <f>IFERROR(__xludf.DUMMYFUNCTION("""COMPUTED_VALUE"""),1.0)</f>
        <v>1</v>
      </c>
      <c r="AI464" s="131">
        <f>IFERROR(__xludf.DUMMYFUNCTION("""COMPUTED_VALUE"""),288.0)</f>
        <v>288</v>
      </c>
      <c r="AJ464" s="131"/>
      <c r="AK464" s="131"/>
    </row>
    <row r="465">
      <c r="A465" s="145" t="str">
        <f>IFERROR(__xludf.DUMMYFUNCTION("""COMPUTED_VALUE"""),"Y")</f>
        <v>Y</v>
      </c>
      <c r="B465" s="146" t="str">
        <f>IFERROR(__xludf.DUMMYFUNCTION("""COMPUTED_VALUE"""),"6")</f>
        <v>6</v>
      </c>
      <c r="C465" s="146" t="str">
        <f>IFERROR(__xludf.DUMMYFUNCTION("""COMPUTED_VALUE"""),"1189-1194")</f>
        <v>1189-1194</v>
      </c>
      <c r="D465" s="147">
        <f>IFERROR(__xludf.DUMMYFUNCTION("""COMPUTED_VALUE"""),45761.0)</f>
        <v>45761</v>
      </c>
      <c r="E465" s="147">
        <f>IFERROR(__xludf.DUMMYFUNCTION("""COMPUTED_VALUE"""),45768.0)</f>
        <v>45768</v>
      </c>
      <c r="F465" s="147">
        <f>IFERROR(__xludf.DUMMYFUNCTION("""COMPUTED_VALUE"""),45789.0)</f>
        <v>45789</v>
      </c>
      <c r="G465" s="146" t="str">
        <f>IFERROR(__xludf.DUMMYFUNCTION("""COMPUTED_VALUE"""),"D40-1R")</f>
        <v>D40-1R</v>
      </c>
      <c r="H465" s="148">
        <f>IFERROR(__xludf.DUMMYFUNCTION("""COMPUTED_VALUE"""),259.0)</f>
        <v>259</v>
      </c>
      <c r="I465" s="148">
        <f>IFERROR(__xludf.DUMMYFUNCTION("""COMPUTED_VALUE"""),303.0)</f>
        <v>303</v>
      </c>
      <c r="J465" s="146">
        <f>IFERROR(__xludf.DUMMYFUNCTION("""COMPUTED_VALUE"""),23.0)</f>
        <v>23</v>
      </c>
      <c r="K465" s="146">
        <f>IFERROR(__xludf.DUMMYFUNCTION("""COMPUTED_VALUE"""),23.0)</f>
        <v>23</v>
      </c>
      <c r="L465" s="146">
        <f>IFERROR(__xludf.DUMMYFUNCTION("""COMPUTED_VALUE"""),304.0)</f>
        <v>304</v>
      </c>
      <c r="M465" s="146">
        <f>IFERROR(__xludf.DUMMYFUNCTION("""COMPUTED_VALUE"""),304.0)</f>
        <v>304</v>
      </c>
      <c r="N465" s="146">
        <f>IFERROR(__xludf.DUMMYFUNCTION("""COMPUTED_VALUE"""),1.0)</f>
        <v>1</v>
      </c>
      <c r="O465" s="146">
        <f>IFERROR(__xludf.DUMMYFUNCTION("""COMPUTED_VALUE"""),1.0)</f>
        <v>1</v>
      </c>
      <c r="P465" s="146">
        <f>IFERROR(__xludf.DUMMYFUNCTION("""COMPUTED_VALUE"""),288.0)</f>
        <v>288</v>
      </c>
      <c r="Q465" s="146"/>
      <c r="R465" s="146"/>
      <c r="T465" s="131" t="str">
        <f>IFERROR(__xludf.DUMMYFUNCTION("""COMPUTED_VALUE"""),"Y")</f>
        <v>Y</v>
      </c>
      <c r="U465" s="131" t="str">
        <f>IFERROR(__xludf.DUMMYFUNCTION("""COMPUTED_VALUE"""),"6")</f>
        <v>6</v>
      </c>
      <c r="V465" s="131" t="str">
        <f>IFERROR(__xludf.DUMMYFUNCTION("""COMPUTED_VALUE"""),"1189-1194")</f>
        <v>1189-1194</v>
      </c>
      <c r="W465" s="144">
        <f>IFERROR(__xludf.DUMMYFUNCTION("""COMPUTED_VALUE"""),45761.0)</f>
        <v>45761</v>
      </c>
      <c r="X465" s="144">
        <f>IFERROR(__xludf.DUMMYFUNCTION("""COMPUTED_VALUE"""),45768.0)</f>
        <v>45768</v>
      </c>
      <c r="Y465" s="144">
        <f>IFERROR(__xludf.DUMMYFUNCTION("""COMPUTED_VALUE"""),45789.0)</f>
        <v>45789</v>
      </c>
      <c r="Z465" s="131" t="str">
        <f>IFERROR(__xludf.DUMMYFUNCTION("""COMPUTED_VALUE"""),"D40-1R")</f>
        <v>D40-1R</v>
      </c>
      <c r="AA465" s="131">
        <f>IFERROR(__xludf.DUMMYFUNCTION("""COMPUTED_VALUE"""),305.0)</f>
        <v>305</v>
      </c>
      <c r="AB465" s="131">
        <f>IFERROR(__xludf.DUMMYFUNCTION("""COMPUTED_VALUE"""),305.0)</f>
        <v>305</v>
      </c>
      <c r="AC465" s="131">
        <f>IFERROR(__xludf.DUMMYFUNCTION("""COMPUTED_VALUE"""),1.0)</f>
        <v>1</v>
      </c>
      <c r="AD465" s="131">
        <f>IFERROR(__xludf.DUMMYFUNCTION("""COMPUTED_VALUE"""),1.0)</f>
        <v>1</v>
      </c>
      <c r="AE465" s="131">
        <f>IFERROR(__xludf.DUMMYFUNCTION("""COMPUTED_VALUE"""),306.0)</f>
        <v>306</v>
      </c>
      <c r="AF465" s="131">
        <f>IFERROR(__xludf.DUMMYFUNCTION("""COMPUTED_VALUE"""),306.0)</f>
        <v>306</v>
      </c>
      <c r="AG465" s="131">
        <f>IFERROR(__xludf.DUMMYFUNCTION("""COMPUTED_VALUE"""),1.0)</f>
        <v>1</v>
      </c>
      <c r="AH465" s="131">
        <f>IFERROR(__xludf.DUMMYFUNCTION("""COMPUTED_VALUE"""),1.0)</f>
        <v>1</v>
      </c>
      <c r="AI465" s="131">
        <f>IFERROR(__xludf.DUMMYFUNCTION("""COMPUTED_VALUE"""),288.0)</f>
        <v>288</v>
      </c>
      <c r="AJ465" s="131"/>
      <c r="AK465" s="131"/>
    </row>
    <row r="466">
      <c r="A466" s="145" t="str">
        <f>IFERROR(__xludf.DUMMYFUNCTION("""COMPUTED_VALUE"""),"Y")</f>
        <v>Y</v>
      </c>
      <c r="B466" s="146" t="str">
        <f>IFERROR(__xludf.DUMMYFUNCTION("""COMPUTED_VALUE"""),"6")</f>
        <v>6</v>
      </c>
      <c r="C466" s="146" t="str">
        <f>IFERROR(__xludf.DUMMYFUNCTION("""COMPUTED_VALUE"""),"1189-1194")</f>
        <v>1189-1194</v>
      </c>
      <c r="D466" s="147">
        <f>IFERROR(__xludf.DUMMYFUNCTION("""COMPUTED_VALUE"""),45761.0)</f>
        <v>45761</v>
      </c>
      <c r="E466" s="147">
        <f>IFERROR(__xludf.DUMMYFUNCTION("""COMPUTED_VALUE"""),45768.0)</f>
        <v>45768</v>
      </c>
      <c r="F466" s="147">
        <f>IFERROR(__xludf.DUMMYFUNCTION("""COMPUTED_VALUE"""),45789.0)</f>
        <v>45789</v>
      </c>
      <c r="G466" s="146" t="str">
        <f>IFERROR(__xludf.DUMMYFUNCTION("""COMPUTED_VALUE"""),"D40-1R")</f>
        <v>D40-1R</v>
      </c>
      <c r="H466" s="148">
        <f>IFERROR(__xludf.DUMMYFUNCTION("""COMPUTED_VALUE"""),305.0)</f>
        <v>305</v>
      </c>
      <c r="I466" s="148">
        <f>IFERROR(__xludf.DUMMYFUNCTION("""COMPUTED_VALUE"""),305.0)</f>
        <v>305</v>
      </c>
      <c r="J466" s="146">
        <f>IFERROR(__xludf.DUMMYFUNCTION("""COMPUTED_VALUE"""),1.0)</f>
        <v>1</v>
      </c>
      <c r="K466" s="146">
        <f>IFERROR(__xludf.DUMMYFUNCTION("""COMPUTED_VALUE"""),1.0)</f>
        <v>1</v>
      </c>
      <c r="L466" s="146">
        <f>IFERROR(__xludf.DUMMYFUNCTION("""COMPUTED_VALUE"""),306.0)</f>
        <v>306</v>
      </c>
      <c r="M466" s="146">
        <f>IFERROR(__xludf.DUMMYFUNCTION("""COMPUTED_VALUE"""),306.0)</f>
        <v>306</v>
      </c>
      <c r="N466" s="146">
        <f>IFERROR(__xludf.DUMMYFUNCTION("""COMPUTED_VALUE"""),1.0)</f>
        <v>1</v>
      </c>
      <c r="O466" s="146">
        <f>IFERROR(__xludf.DUMMYFUNCTION("""COMPUTED_VALUE"""),1.0)</f>
        <v>1</v>
      </c>
      <c r="P466" s="146">
        <f>IFERROR(__xludf.DUMMYFUNCTION("""COMPUTED_VALUE"""),288.0)</f>
        <v>288</v>
      </c>
      <c r="Q466" s="146"/>
      <c r="R466" s="146"/>
      <c r="T466" s="131" t="str">
        <f>IFERROR(__xludf.DUMMYFUNCTION("""COMPUTED_VALUE"""),"Y")</f>
        <v>Y</v>
      </c>
      <c r="U466" s="131" t="str">
        <f>IFERROR(__xludf.DUMMYFUNCTION("""COMPUTED_VALUE"""),"6")</f>
        <v>6</v>
      </c>
      <c r="V466" s="131" t="str">
        <f>IFERROR(__xludf.DUMMYFUNCTION("""COMPUTED_VALUE"""),"1189-1194")</f>
        <v>1189-1194</v>
      </c>
      <c r="W466" s="144">
        <f>IFERROR(__xludf.DUMMYFUNCTION("""COMPUTED_VALUE"""),45761.0)</f>
        <v>45761</v>
      </c>
      <c r="X466" s="144">
        <f>IFERROR(__xludf.DUMMYFUNCTION("""COMPUTED_VALUE"""),45768.0)</f>
        <v>45768</v>
      </c>
      <c r="Y466" s="144">
        <f>IFERROR(__xludf.DUMMYFUNCTION("""COMPUTED_VALUE"""),45789.0)</f>
        <v>45789</v>
      </c>
      <c r="Z466" s="131" t="str">
        <f>IFERROR(__xludf.DUMMYFUNCTION("""COMPUTED_VALUE"""),"D40-1R")</f>
        <v>D40-1R</v>
      </c>
      <c r="AA466" s="131">
        <f>IFERROR(__xludf.DUMMYFUNCTION("""COMPUTED_VALUE"""),307.0)</f>
        <v>307</v>
      </c>
      <c r="AB466" s="131">
        <f>IFERROR(__xludf.DUMMYFUNCTION("""COMPUTED_VALUE"""),307.0)</f>
        <v>307</v>
      </c>
      <c r="AC466" s="131">
        <f>IFERROR(__xludf.DUMMYFUNCTION("""COMPUTED_VALUE"""),1.0)</f>
        <v>1</v>
      </c>
      <c r="AD466" s="131">
        <f>IFERROR(__xludf.DUMMYFUNCTION("""COMPUTED_VALUE"""),1.0)</f>
        <v>1</v>
      </c>
      <c r="AE466" s="131">
        <f>IFERROR(__xludf.DUMMYFUNCTION("""COMPUTED_VALUE"""),308.0)</f>
        <v>308</v>
      </c>
      <c r="AF466" s="131">
        <f>IFERROR(__xludf.DUMMYFUNCTION("""COMPUTED_VALUE"""),308.0)</f>
        <v>308</v>
      </c>
      <c r="AG466" s="131">
        <f>IFERROR(__xludf.DUMMYFUNCTION("""COMPUTED_VALUE"""),1.0)</f>
        <v>1</v>
      </c>
      <c r="AH466" s="131">
        <f>IFERROR(__xludf.DUMMYFUNCTION("""COMPUTED_VALUE"""),1.0)</f>
        <v>1</v>
      </c>
      <c r="AI466" s="131">
        <f>IFERROR(__xludf.DUMMYFUNCTION("""COMPUTED_VALUE"""),288.0)</f>
        <v>288</v>
      </c>
      <c r="AJ466" s="131"/>
      <c r="AK466" s="131"/>
    </row>
    <row r="467">
      <c r="A467" s="145" t="str">
        <f>IFERROR(__xludf.DUMMYFUNCTION("""COMPUTED_VALUE"""),"Y")</f>
        <v>Y</v>
      </c>
      <c r="B467" s="146" t="str">
        <f>IFERROR(__xludf.DUMMYFUNCTION("""COMPUTED_VALUE"""),"6")</f>
        <v>6</v>
      </c>
      <c r="C467" s="146" t="str">
        <f>IFERROR(__xludf.DUMMYFUNCTION("""COMPUTED_VALUE"""),"1189-1194")</f>
        <v>1189-1194</v>
      </c>
      <c r="D467" s="147">
        <f>IFERROR(__xludf.DUMMYFUNCTION("""COMPUTED_VALUE"""),45761.0)</f>
        <v>45761</v>
      </c>
      <c r="E467" s="147">
        <f>IFERROR(__xludf.DUMMYFUNCTION("""COMPUTED_VALUE"""),45768.0)</f>
        <v>45768</v>
      </c>
      <c r="F467" s="147">
        <f>IFERROR(__xludf.DUMMYFUNCTION("""COMPUTED_VALUE"""),45789.0)</f>
        <v>45789</v>
      </c>
      <c r="G467" s="146" t="str">
        <f>IFERROR(__xludf.DUMMYFUNCTION("""COMPUTED_VALUE"""),"D40-1R")</f>
        <v>D40-1R</v>
      </c>
      <c r="H467" s="148">
        <f>IFERROR(__xludf.DUMMYFUNCTION("""COMPUTED_VALUE"""),307.0)</f>
        <v>307</v>
      </c>
      <c r="I467" s="148">
        <f>IFERROR(__xludf.DUMMYFUNCTION("""COMPUTED_VALUE"""),307.0)</f>
        <v>307</v>
      </c>
      <c r="J467" s="146">
        <f>IFERROR(__xludf.DUMMYFUNCTION("""COMPUTED_VALUE"""),1.0)</f>
        <v>1</v>
      </c>
      <c r="K467" s="146">
        <f>IFERROR(__xludf.DUMMYFUNCTION("""COMPUTED_VALUE"""),1.0)</f>
        <v>1</v>
      </c>
      <c r="L467" s="146">
        <f>IFERROR(__xludf.DUMMYFUNCTION("""COMPUTED_VALUE"""),308.0)</f>
        <v>308</v>
      </c>
      <c r="M467" s="146">
        <f>IFERROR(__xludf.DUMMYFUNCTION("""COMPUTED_VALUE"""),308.0)</f>
        <v>308</v>
      </c>
      <c r="N467" s="146">
        <f>IFERROR(__xludf.DUMMYFUNCTION("""COMPUTED_VALUE"""),1.0)</f>
        <v>1</v>
      </c>
      <c r="O467" s="146">
        <f>IFERROR(__xludf.DUMMYFUNCTION("""COMPUTED_VALUE"""),1.0)</f>
        <v>1</v>
      </c>
      <c r="P467" s="146">
        <f>IFERROR(__xludf.DUMMYFUNCTION("""COMPUTED_VALUE"""),288.0)</f>
        <v>288</v>
      </c>
      <c r="Q467" s="146"/>
      <c r="R467" s="146"/>
      <c r="T467" s="131" t="str">
        <f>IFERROR(__xludf.DUMMYFUNCTION("""COMPUTED_VALUE"""),"Y")</f>
        <v>Y</v>
      </c>
      <c r="U467" s="131" t="str">
        <f>IFERROR(__xludf.DUMMYFUNCTION("""COMPUTED_VALUE"""),"6")</f>
        <v>6</v>
      </c>
      <c r="V467" s="131" t="str">
        <f>IFERROR(__xludf.DUMMYFUNCTION("""COMPUTED_VALUE"""),"1195-1200")</f>
        <v>1195-1200</v>
      </c>
      <c r="W467" s="144">
        <f>IFERROR(__xludf.DUMMYFUNCTION("""COMPUTED_VALUE"""),45761.0)</f>
        <v>45761</v>
      </c>
      <c r="X467" s="144">
        <f>IFERROR(__xludf.DUMMYFUNCTION("""COMPUTED_VALUE"""),45768.0)</f>
        <v>45768</v>
      </c>
      <c r="Y467" s="144">
        <f>IFERROR(__xludf.DUMMYFUNCTION("""COMPUTED_VALUE"""),45789.0)</f>
        <v>45789</v>
      </c>
      <c r="Z467" s="131" t="str">
        <f>IFERROR(__xludf.DUMMYFUNCTION("""COMPUTED_VALUE"""),"BRG10")</f>
        <v>BRG10</v>
      </c>
      <c r="AA467" s="131">
        <f>IFERROR(__xludf.DUMMYFUNCTION("""COMPUTED_VALUE"""),839.0)</f>
        <v>839</v>
      </c>
      <c r="AB467" s="131">
        <f>IFERROR(__xludf.DUMMYFUNCTION("""COMPUTED_VALUE"""),897.0)</f>
        <v>897</v>
      </c>
      <c r="AC467" s="131">
        <f>IFERROR(__xludf.DUMMYFUNCTION("""COMPUTED_VALUE"""),30.0)</f>
        <v>30</v>
      </c>
      <c r="AD467" s="131">
        <f>IFERROR(__xludf.DUMMYFUNCTION("""COMPUTED_VALUE"""),30.0)</f>
        <v>30</v>
      </c>
      <c r="AE467" s="131">
        <f>IFERROR(__xludf.DUMMYFUNCTION("""COMPUTED_VALUE"""),746.0)</f>
        <v>746</v>
      </c>
      <c r="AF467" s="131">
        <f>IFERROR(__xludf.DUMMYFUNCTION("""COMPUTED_VALUE"""),830.0)</f>
        <v>830</v>
      </c>
      <c r="AG467" s="131">
        <f>IFERROR(__xludf.DUMMYFUNCTION("""COMPUTED_VALUE"""),43.0)</f>
        <v>43</v>
      </c>
      <c r="AH467" s="131">
        <f>IFERROR(__xludf.DUMMYFUNCTION("""COMPUTED_VALUE"""),43.0)</f>
        <v>43</v>
      </c>
      <c r="AI467" s="131">
        <f>IFERROR(__xludf.DUMMYFUNCTION("""COMPUTED_VALUE"""),289.0)</f>
        <v>289</v>
      </c>
      <c r="AJ467" s="131"/>
      <c r="AK467" s="131"/>
    </row>
    <row r="468">
      <c r="A468" s="145" t="str">
        <f>IFERROR(__xludf.DUMMYFUNCTION("""COMPUTED_VALUE"""),"Y")</f>
        <v>Y</v>
      </c>
      <c r="B468" s="146" t="str">
        <f>IFERROR(__xludf.DUMMYFUNCTION("""COMPUTED_VALUE"""),"6")</f>
        <v>6</v>
      </c>
      <c r="C468" s="146" t="str">
        <f>IFERROR(__xludf.DUMMYFUNCTION("""COMPUTED_VALUE"""),"1195-1200")</f>
        <v>1195-1200</v>
      </c>
      <c r="D468" s="147">
        <f>IFERROR(__xludf.DUMMYFUNCTION("""COMPUTED_VALUE"""),45761.0)</f>
        <v>45761</v>
      </c>
      <c r="E468" s="147">
        <f>IFERROR(__xludf.DUMMYFUNCTION("""COMPUTED_VALUE"""),45768.0)</f>
        <v>45768</v>
      </c>
      <c r="F468" s="147">
        <f>IFERROR(__xludf.DUMMYFUNCTION("""COMPUTED_VALUE"""),45789.0)</f>
        <v>45789</v>
      </c>
      <c r="G468" s="146" t="str">
        <f>IFERROR(__xludf.DUMMYFUNCTION("""COMPUTED_VALUE"""),"BRG10")</f>
        <v>BRG10</v>
      </c>
      <c r="H468" s="148">
        <f>IFERROR(__xludf.DUMMYFUNCTION("""COMPUTED_VALUE"""),839.0)</f>
        <v>839</v>
      </c>
      <c r="I468" s="148">
        <f>IFERROR(__xludf.DUMMYFUNCTION("""COMPUTED_VALUE"""),897.0)</f>
        <v>897</v>
      </c>
      <c r="J468" s="146">
        <f>IFERROR(__xludf.DUMMYFUNCTION("""COMPUTED_VALUE"""),30.0)</f>
        <v>30</v>
      </c>
      <c r="K468" s="146">
        <f>IFERROR(__xludf.DUMMYFUNCTION("""COMPUTED_VALUE"""),30.0)</f>
        <v>30</v>
      </c>
      <c r="L468" s="146">
        <f>IFERROR(__xludf.DUMMYFUNCTION("""COMPUTED_VALUE"""),746.0)</f>
        <v>746</v>
      </c>
      <c r="M468" s="146">
        <f>IFERROR(__xludf.DUMMYFUNCTION("""COMPUTED_VALUE"""),830.0)</f>
        <v>830</v>
      </c>
      <c r="N468" s="146">
        <f>IFERROR(__xludf.DUMMYFUNCTION("""COMPUTED_VALUE"""),43.0)</f>
        <v>43</v>
      </c>
      <c r="O468" s="146">
        <f>IFERROR(__xludf.DUMMYFUNCTION("""COMPUTED_VALUE"""),43.0)</f>
        <v>43</v>
      </c>
      <c r="P468" s="146">
        <f>IFERROR(__xludf.DUMMYFUNCTION("""COMPUTED_VALUE"""),289.0)</f>
        <v>289</v>
      </c>
      <c r="Q468" s="146"/>
      <c r="R468" s="146"/>
      <c r="T468" s="131" t="str">
        <f>IFERROR(__xludf.DUMMYFUNCTION("""COMPUTED_VALUE"""),"Y")</f>
        <v>Y</v>
      </c>
      <c r="U468" s="131" t="str">
        <f>IFERROR(__xludf.DUMMYFUNCTION("""COMPUTED_VALUE"""),"6")</f>
        <v>6</v>
      </c>
      <c r="V468" s="131" t="str">
        <f>IFERROR(__xludf.DUMMYFUNCTION("""COMPUTED_VALUE"""),"1201-1206")</f>
        <v>1201-1206</v>
      </c>
      <c r="W468" s="144">
        <f>IFERROR(__xludf.DUMMYFUNCTION("""COMPUTED_VALUE"""),45762.0)</f>
        <v>45762</v>
      </c>
      <c r="X468" s="144">
        <f>IFERROR(__xludf.DUMMYFUNCTION("""COMPUTED_VALUE"""),45769.0)</f>
        <v>45769</v>
      </c>
      <c r="Y468" s="144">
        <f>IFERROR(__xludf.DUMMYFUNCTION("""COMPUTED_VALUE"""),45790.0)</f>
        <v>45790</v>
      </c>
      <c r="Z468" s="131" t="str">
        <f>IFERROR(__xludf.DUMMYFUNCTION("""COMPUTED_VALUE"""),"D39-3R")</f>
        <v>D39-3R</v>
      </c>
      <c r="AA468" s="131">
        <f>IFERROR(__xludf.DUMMYFUNCTION("""COMPUTED_VALUE"""),459.0)</f>
        <v>459</v>
      </c>
      <c r="AB468" s="131">
        <f>IFERROR(__xludf.DUMMYFUNCTION("""COMPUTED_VALUE"""),479.0)</f>
        <v>479</v>
      </c>
      <c r="AC468" s="131">
        <f>IFERROR(__xludf.DUMMYFUNCTION("""COMPUTED_VALUE"""),11.0)</f>
        <v>11</v>
      </c>
      <c r="AD468" s="131">
        <f>IFERROR(__xludf.DUMMYFUNCTION("""COMPUTED_VALUE"""),11.0)</f>
        <v>11</v>
      </c>
      <c r="AE468" s="131">
        <f>IFERROR(__xludf.DUMMYFUNCTION("""COMPUTED_VALUE"""),348.0)</f>
        <v>348</v>
      </c>
      <c r="AF468" s="131">
        <f>IFERROR(__xludf.DUMMYFUNCTION("""COMPUTED_VALUE"""),384.0)</f>
        <v>384</v>
      </c>
      <c r="AG468" s="131">
        <f>IFERROR(__xludf.DUMMYFUNCTION("""COMPUTED_VALUE"""),19.0)</f>
        <v>19</v>
      </c>
      <c r="AH468" s="131">
        <f>IFERROR(__xludf.DUMMYFUNCTION("""COMPUTED_VALUE"""),19.0)</f>
        <v>19</v>
      </c>
      <c r="AI468" s="131">
        <f>IFERROR(__xludf.DUMMYFUNCTION("""COMPUTED_VALUE"""),290.0)</f>
        <v>290</v>
      </c>
      <c r="AJ468" s="131"/>
      <c r="AK468" s="131"/>
    </row>
    <row r="469">
      <c r="A469" s="145" t="str">
        <f>IFERROR(__xludf.DUMMYFUNCTION("""COMPUTED_VALUE"""),"Y")</f>
        <v>Y</v>
      </c>
      <c r="B469" s="146" t="str">
        <f>IFERROR(__xludf.DUMMYFUNCTION("""COMPUTED_VALUE"""),"6")</f>
        <v>6</v>
      </c>
      <c r="C469" s="146" t="str">
        <f>IFERROR(__xludf.DUMMYFUNCTION("""COMPUTED_VALUE"""),"1201-1206")</f>
        <v>1201-1206</v>
      </c>
      <c r="D469" s="147">
        <f>IFERROR(__xludf.DUMMYFUNCTION("""COMPUTED_VALUE"""),45762.0)</f>
        <v>45762</v>
      </c>
      <c r="E469" s="147">
        <f>IFERROR(__xludf.DUMMYFUNCTION("""COMPUTED_VALUE"""),45769.0)</f>
        <v>45769</v>
      </c>
      <c r="F469" s="147">
        <f>IFERROR(__xludf.DUMMYFUNCTION("""COMPUTED_VALUE"""),45790.0)</f>
        <v>45790</v>
      </c>
      <c r="G469" s="146" t="str">
        <f>IFERROR(__xludf.DUMMYFUNCTION("""COMPUTED_VALUE"""),"D39-3R")</f>
        <v>D39-3R</v>
      </c>
      <c r="H469" s="148">
        <f>IFERROR(__xludf.DUMMYFUNCTION("""COMPUTED_VALUE"""),459.0)</f>
        <v>459</v>
      </c>
      <c r="I469" s="148">
        <f>IFERROR(__xludf.DUMMYFUNCTION("""COMPUTED_VALUE"""),479.0)</f>
        <v>479</v>
      </c>
      <c r="J469" s="146">
        <f>IFERROR(__xludf.DUMMYFUNCTION("""COMPUTED_VALUE"""),11.0)</f>
        <v>11</v>
      </c>
      <c r="K469" s="146">
        <f>IFERROR(__xludf.DUMMYFUNCTION("""COMPUTED_VALUE"""),11.0)</f>
        <v>11</v>
      </c>
      <c r="L469" s="146">
        <f>IFERROR(__xludf.DUMMYFUNCTION("""COMPUTED_VALUE"""),348.0)</f>
        <v>348</v>
      </c>
      <c r="M469" s="146">
        <f>IFERROR(__xludf.DUMMYFUNCTION("""COMPUTED_VALUE"""),384.0)</f>
        <v>384</v>
      </c>
      <c r="N469" s="146">
        <f>IFERROR(__xludf.DUMMYFUNCTION("""COMPUTED_VALUE"""),19.0)</f>
        <v>19</v>
      </c>
      <c r="O469" s="146">
        <f>IFERROR(__xludf.DUMMYFUNCTION("""COMPUTED_VALUE"""),19.0)</f>
        <v>19</v>
      </c>
      <c r="P469" s="146">
        <f>IFERROR(__xludf.DUMMYFUNCTION("""COMPUTED_VALUE"""),290.0)</f>
        <v>290</v>
      </c>
      <c r="Q469" s="146"/>
      <c r="R469" s="146"/>
      <c r="T469" s="131" t="str">
        <f>IFERROR(__xludf.DUMMYFUNCTION("""COMPUTED_VALUE"""),"Y")</f>
        <v>Y</v>
      </c>
      <c r="U469" s="131" t="str">
        <f>IFERROR(__xludf.DUMMYFUNCTION("""COMPUTED_VALUE"""),"6")</f>
        <v>6</v>
      </c>
      <c r="V469" s="131" t="str">
        <f>IFERROR(__xludf.DUMMYFUNCTION("""COMPUTED_VALUE"""),"1201-1206")</f>
        <v>1201-1206</v>
      </c>
      <c r="W469" s="144">
        <f>IFERROR(__xludf.DUMMYFUNCTION("""COMPUTED_VALUE"""),45762.0)</f>
        <v>45762</v>
      </c>
      <c r="X469" s="144">
        <f>IFERROR(__xludf.DUMMYFUNCTION("""COMPUTED_VALUE"""),45769.0)</f>
        <v>45769</v>
      </c>
      <c r="Y469" s="144">
        <f>IFERROR(__xludf.DUMMYFUNCTION("""COMPUTED_VALUE"""),45790.0)</f>
        <v>45790</v>
      </c>
      <c r="Z469" s="131" t="str">
        <f>IFERROR(__xludf.DUMMYFUNCTION("""COMPUTED_VALUE"""),"D39-3R")</f>
        <v>D39-3R</v>
      </c>
      <c r="AA469" s="131"/>
      <c r="AB469" s="131"/>
      <c r="AC469" s="131"/>
      <c r="AD469" s="131"/>
      <c r="AE469" s="131">
        <f>IFERROR(__xludf.DUMMYFUNCTION("""COMPUTED_VALUE"""),388.0)</f>
        <v>388</v>
      </c>
      <c r="AF469" s="131">
        <f>IFERROR(__xludf.DUMMYFUNCTION("""COMPUTED_VALUE"""),434.0)</f>
        <v>434</v>
      </c>
      <c r="AG469" s="131">
        <f>IFERROR(__xludf.DUMMYFUNCTION("""COMPUTED_VALUE"""),24.0)</f>
        <v>24</v>
      </c>
      <c r="AH469" s="131">
        <f>IFERROR(__xludf.DUMMYFUNCTION("""COMPUTED_VALUE"""),24.0)</f>
        <v>24</v>
      </c>
      <c r="AI469" s="131">
        <f>IFERROR(__xludf.DUMMYFUNCTION("""COMPUTED_VALUE"""),290.0)</f>
        <v>290</v>
      </c>
      <c r="AJ469" s="131"/>
      <c r="AK469" s="131"/>
    </row>
    <row r="470">
      <c r="A470" s="145" t="str">
        <f>IFERROR(__xludf.DUMMYFUNCTION("""COMPUTED_VALUE"""),"Y")</f>
        <v>Y</v>
      </c>
      <c r="B470" s="146" t="str">
        <f>IFERROR(__xludf.DUMMYFUNCTION("""COMPUTED_VALUE"""),"6")</f>
        <v>6</v>
      </c>
      <c r="C470" s="146" t="str">
        <f>IFERROR(__xludf.DUMMYFUNCTION("""COMPUTED_VALUE"""),"1201-1206")</f>
        <v>1201-1206</v>
      </c>
      <c r="D470" s="147">
        <f>IFERROR(__xludf.DUMMYFUNCTION("""COMPUTED_VALUE"""),45762.0)</f>
        <v>45762</v>
      </c>
      <c r="E470" s="147">
        <f>IFERROR(__xludf.DUMMYFUNCTION("""COMPUTED_VALUE"""),45769.0)</f>
        <v>45769</v>
      </c>
      <c r="F470" s="147">
        <f>IFERROR(__xludf.DUMMYFUNCTION("""COMPUTED_VALUE"""),45790.0)</f>
        <v>45790</v>
      </c>
      <c r="G470" s="146" t="str">
        <f>IFERROR(__xludf.DUMMYFUNCTION("""COMPUTED_VALUE"""),"D39-3R")</f>
        <v>D39-3R</v>
      </c>
      <c r="H470" s="148"/>
      <c r="I470" s="148"/>
      <c r="J470" s="146"/>
      <c r="K470" s="146"/>
      <c r="L470" s="146">
        <f>IFERROR(__xludf.DUMMYFUNCTION("""COMPUTED_VALUE"""),388.0)</f>
        <v>388</v>
      </c>
      <c r="M470" s="146">
        <f>IFERROR(__xludf.DUMMYFUNCTION("""COMPUTED_VALUE"""),434.0)</f>
        <v>434</v>
      </c>
      <c r="N470" s="146">
        <f>IFERROR(__xludf.DUMMYFUNCTION("""COMPUTED_VALUE"""),24.0)</f>
        <v>24</v>
      </c>
      <c r="O470" s="146">
        <f>IFERROR(__xludf.DUMMYFUNCTION("""COMPUTED_VALUE"""),24.0)</f>
        <v>24</v>
      </c>
      <c r="P470" s="146">
        <f>IFERROR(__xludf.DUMMYFUNCTION("""COMPUTED_VALUE"""),290.0)</f>
        <v>290</v>
      </c>
      <c r="Q470" s="146"/>
      <c r="R470" s="146"/>
      <c r="T470" s="131" t="str">
        <f>IFERROR(__xludf.DUMMYFUNCTION("""COMPUTED_VALUE"""),"Y")</f>
        <v>Y</v>
      </c>
      <c r="U470" s="131" t="str">
        <f>IFERROR(__xludf.DUMMYFUNCTION("""COMPUTED_VALUE"""),"6")</f>
        <v>6</v>
      </c>
      <c r="V470" s="131" t="str">
        <f>IFERROR(__xludf.DUMMYFUNCTION("""COMPUTED_VALUE"""),"1201-1206")</f>
        <v>1201-1206</v>
      </c>
      <c r="W470" s="144">
        <f>IFERROR(__xludf.DUMMYFUNCTION("""COMPUTED_VALUE"""),45762.0)</f>
        <v>45762</v>
      </c>
      <c r="X470" s="144">
        <f>IFERROR(__xludf.DUMMYFUNCTION("""COMPUTED_VALUE"""),45769.0)</f>
        <v>45769</v>
      </c>
      <c r="Y470" s="144">
        <f>IFERROR(__xludf.DUMMYFUNCTION("""COMPUTED_VALUE"""),45790.0)</f>
        <v>45790</v>
      </c>
      <c r="Z470" s="131" t="str">
        <f>IFERROR(__xludf.DUMMYFUNCTION("""COMPUTED_VALUE"""),"D39-3R")</f>
        <v>D39-3R</v>
      </c>
      <c r="AA470" s="131"/>
      <c r="AB470" s="131"/>
      <c r="AC470" s="131"/>
      <c r="AD470" s="131"/>
      <c r="AE470" s="131">
        <f>IFERROR(__xludf.DUMMYFUNCTION("""COMPUTED_VALUE"""),438.0)</f>
        <v>438</v>
      </c>
      <c r="AF470" s="131">
        <f>IFERROR(__xludf.DUMMYFUNCTION("""COMPUTED_VALUE"""),456.0)</f>
        <v>456</v>
      </c>
      <c r="AG470" s="131">
        <f>IFERROR(__xludf.DUMMYFUNCTION("""COMPUTED_VALUE"""),10.0)</f>
        <v>10</v>
      </c>
      <c r="AH470" s="131">
        <f>IFERROR(__xludf.DUMMYFUNCTION("""COMPUTED_VALUE"""),10.0)</f>
        <v>10</v>
      </c>
      <c r="AI470" s="131">
        <f>IFERROR(__xludf.DUMMYFUNCTION("""COMPUTED_VALUE"""),290.0)</f>
        <v>290</v>
      </c>
      <c r="AJ470" s="131"/>
      <c r="AK470" s="131"/>
    </row>
    <row r="471">
      <c r="A471" s="145" t="str">
        <f>IFERROR(__xludf.DUMMYFUNCTION("""COMPUTED_VALUE"""),"Y")</f>
        <v>Y</v>
      </c>
      <c r="B471" s="146" t="str">
        <f>IFERROR(__xludf.DUMMYFUNCTION("""COMPUTED_VALUE"""),"6")</f>
        <v>6</v>
      </c>
      <c r="C471" s="146" t="str">
        <f>IFERROR(__xludf.DUMMYFUNCTION("""COMPUTED_VALUE"""),"1201-1206")</f>
        <v>1201-1206</v>
      </c>
      <c r="D471" s="147">
        <f>IFERROR(__xludf.DUMMYFUNCTION("""COMPUTED_VALUE"""),45762.0)</f>
        <v>45762</v>
      </c>
      <c r="E471" s="147">
        <f>IFERROR(__xludf.DUMMYFUNCTION("""COMPUTED_VALUE"""),45769.0)</f>
        <v>45769</v>
      </c>
      <c r="F471" s="147">
        <f>IFERROR(__xludf.DUMMYFUNCTION("""COMPUTED_VALUE"""),45790.0)</f>
        <v>45790</v>
      </c>
      <c r="G471" s="146" t="str">
        <f>IFERROR(__xludf.DUMMYFUNCTION("""COMPUTED_VALUE"""),"D39-3R")</f>
        <v>D39-3R</v>
      </c>
      <c r="H471" s="148"/>
      <c r="I471" s="148"/>
      <c r="J471" s="146"/>
      <c r="K471" s="146"/>
      <c r="L471" s="146">
        <f>IFERROR(__xludf.DUMMYFUNCTION("""COMPUTED_VALUE"""),438.0)</f>
        <v>438</v>
      </c>
      <c r="M471" s="146">
        <f>IFERROR(__xludf.DUMMYFUNCTION("""COMPUTED_VALUE"""),456.0)</f>
        <v>456</v>
      </c>
      <c r="N471" s="146">
        <f>IFERROR(__xludf.DUMMYFUNCTION("""COMPUTED_VALUE"""),10.0)</f>
        <v>10</v>
      </c>
      <c r="O471" s="146">
        <f>IFERROR(__xludf.DUMMYFUNCTION("""COMPUTED_VALUE"""),10.0)</f>
        <v>10</v>
      </c>
      <c r="P471" s="146">
        <f>IFERROR(__xludf.DUMMYFUNCTION("""COMPUTED_VALUE"""),290.0)</f>
        <v>290</v>
      </c>
      <c r="Q471" s="146"/>
      <c r="R471" s="146"/>
      <c r="T471" s="131" t="str">
        <f>IFERROR(__xludf.DUMMYFUNCTION("""COMPUTED_VALUE"""),"Y")</f>
        <v>Y</v>
      </c>
      <c r="U471" s="131" t="str">
        <f>IFERROR(__xludf.DUMMYFUNCTION("""COMPUTED_VALUE"""),"6")</f>
        <v>6</v>
      </c>
      <c r="V471" s="131" t="str">
        <f>IFERROR(__xludf.DUMMYFUNCTION("""COMPUTED_VALUE"""),"1207-1212")</f>
        <v>1207-1212</v>
      </c>
      <c r="W471" s="144">
        <f>IFERROR(__xludf.DUMMYFUNCTION("""COMPUTED_VALUE"""),45762.0)</f>
        <v>45762</v>
      </c>
      <c r="X471" s="144">
        <f>IFERROR(__xludf.DUMMYFUNCTION("""COMPUTED_VALUE"""),45769.0)</f>
        <v>45769</v>
      </c>
      <c r="Y471" s="144">
        <f>IFERROR(__xludf.DUMMYFUNCTION("""COMPUTED_VALUE"""),45790.0)</f>
        <v>45790</v>
      </c>
      <c r="Z471" s="131" t="str">
        <f>IFERROR(__xludf.DUMMYFUNCTION("""COMPUTED_VALUE"""),"D40-4R")</f>
        <v>D40-4R</v>
      </c>
      <c r="AA471" s="131">
        <f>IFERROR(__xludf.DUMMYFUNCTION("""COMPUTED_VALUE"""),1.0)</f>
        <v>1</v>
      </c>
      <c r="AB471" s="131">
        <f>IFERROR(__xludf.DUMMYFUNCTION("""COMPUTED_VALUE"""),149.0)</f>
        <v>149</v>
      </c>
      <c r="AC471" s="131">
        <f>IFERROR(__xludf.DUMMYFUNCTION("""COMPUTED_VALUE"""),75.0)</f>
        <v>75</v>
      </c>
      <c r="AD471" s="131">
        <f>IFERROR(__xludf.DUMMYFUNCTION("""COMPUTED_VALUE"""),75.0)</f>
        <v>75</v>
      </c>
      <c r="AE471" s="131"/>
      <c r="AF471" s="131"/>
      <c r="AG471" s="131"/>
      <c r="AH471" s="131"/>
      <c r="AI471" s="131">
        <f>IFERROR(__xludf.DUMMYFUNCTION("""COMPUTED_VALUE"""),291.0)</f>
        <v>291</v>
      </c>
      <c r="AJ471" s="131"/>
      <c r="AK471" s="131"/>
    </row>
    <row r="472">
      <c r="A472" s="145" t="str">
        <f>IFERROR(__xludf.DUMMYFUNCTION("""COMPUTED_VALUE"""),"Y")</f>
        <v>Y</v>
      </c>
      <c r="B472" s="146" t="str">
        <f>IFERROR(__xludf.DUMMYFUNCTION("""COMPUTED_VALUE"""),"6")</f>
        <v>6</v>
      </c>
      <c r="C472" s="146" t="str">
        <f>IFERROR(__xludf.DUMMYFUNCTION("""COMPUTED_VALUE"""),"1207-1212")</f>
        <v>1207-1212</v>
      </c>
      <c r="D472" s="147">
        <f>IFERROR(__xludf.DUMMYFUNCTION("""COMPUTED_VALUE"""),45762.0)</f>
        <v>45762</v>
      </c>
      <c r="E472" s="147">
        <f>IFERROR(__xludf.DUMMYFUNCTION("""COMPUTED_VALUE"""),45769.0)</f>
        <v>45769</v>
      </c>
      <c r="F472" s="147">
        <f>IFERROR(__xludf.DUMMYFUNCTION("""COMPUTED_VALUE"""),45790.0)</f>
        <v>45790</v>
      </c>
      <c r="G472" s="146" t="str">
        <f>IFERROR(__xludf.DUMMYFUNCTION("""COMPUTED_VALUE"""),"D40-4R")</f>
        <v>D40-4R</v>
      </c>
      <c r="H472" s="148">
        <f>IFERROR(__xludf.DUMMYFUNCTION("""COMPUTED_VALUE"""),1.0)</f>
        <v>1</v>
      </c>
      <c r="I472" s="148">
        <f>IFERROR(__xludf.DUMMYFUNCTION("""COMPUTED_VALUE"""),149.0)</f>
        <v>149</v>
      </c>
      <c r="J472" s="146">
        <f>IFERROR(__xludf.DUMMYFUNCTION("""COMPUTED_VALUE"""),75.0)</f>
        <v>75</v>
      </c>
      <c r="K472" s="146">
        <f>IFERROR(__xludf.DUMMYFUNCTION("""COMPUTED_VALUE"""),75.0)</f>
        <v>75</v>
      </c>
      <c r="L472" s="146"/>
      <c r="M472" s="146"/>
      <c r="N472" s="146"/>
      <c r="O472" s="146"/>
      <c r="P472" s="146">
        <f>IFERROR(__xludf.DUMMYFUNCTION("""COMPUTED_VALUE"""),291.0)</f>
        <v>291</v>
      </c>
      <c r="Q472" s="146"/>
      <c r="R472" s="146"/>
      <c r="T472" s="131" t="str">
        <f>IFERROR(__xludf.DUMMYFUNCTION("""COMPUTED_VALUE"""),"Y")</f>
        <v>Y</v>
      </c>
      <c r="U472" s="131" t="str">
        <f>IFERROR(__xludf.DUMMYFUNCTION("""COMPUTED_VALUE"""),"6")</f>
        <v>6</v>
      </c>
      <c r="V472" s="131" t="str">
        <f>IFERROR(__xludf.DUMMYFUNCTION("""COMPUTED_VALUE"""),"1219-1224")</f>
        <v>1219-1224</v>
      </c>
      <c r="W472" s="144">
        <f>IFERROR(__xludf.DUMMYFUNCTION("""COMPUTED_VALUE"""),45762.0)</f>
        <v>45762</v>
      </c>
      <c r="X472" s="144">
        <f>IFERROR(__xludf.DUMMYFUNCTION("""COMPUTED_VALUE"""),45769.0)</f>
        <v>45769</v>
      </c>
      <c r="Y472" s="144">
        <f>IFERROR(__xludf.DUMMYFUNCTION("""COMPUTED_VALUE"""),45790.0)</f>
        <v>45790</v>
      </c>
      <c r="Z472" s="131" t="str">
        <f>IFERROR(__xludf.DUMMYFUNCTION("""COMPUTED_VALUE"""),"D41-1L")</f>
        <v>D41-1L</v>
      </c>
      <c r="AA472" s="131">
        <f>IFERROR(__xludf.DUMMYFUNCTION("""COMPUTED_VALUE"""),71.0)</f>
        <v>71</v>
      </c>
      <c r="AB472" s="131">
        <f>IFERROR(__xludf.DUMMYFUNCTION("""COMPUTED_VALUE"""),209.0)</f>
        <v>209</v>
      </c>
      <c r="AC472" s="131">
        <f>IFERROR(__xludf.DUMMYFUNCTION("""COMPUTED_VALUE"""),70.0)</f>
        <v>70</v>
      </c>
      <c r="AD472" s="131">
        <f>IFERROR(__xludf.DUMMYFUNCTION("""COMPUTED_VALUE"""),70.0)</f>
        <v>70</v>
      </c>
      <c r="AE472" s="131"/>
      <c r="AF472" s="131"/>
      <c r="AG472" s="131"/>
      <c r="AH472" s="131"/>
      <c r="AI472" s="131">
        <f>IFERROR(__xludf.DUMMYFUNCTION("""COMPUTED_VALUE"""),294.0)</f>
        <v>294</v>
      </c>
      <c r="AJ472" s="131"/>
      <c r="AK472" s="131"/>
    </row>
    <row r="473">
      <c r="A473" s="145" t="str">
        <f>IFERROR(__xludf.DUMMYFUNCTION("""COMPUTED_VALUE"""),"Y")</f>
        <v>Y</v>
      </c>
      <c r="B473" s="146" t="str">
        <f>IFERROR(__xludf.DUMMYFUNCTION("""COMPUTED_VALUE"""),"6")</f>
        <v>6</v>
      </c>
      <c r="C473" s="146" t="str">
        <f>IFERROR(__xludf.DUMMYFUNCTION("""COMPUTED_VALUE"""),"1219-1224")</f>
        <v>1219-1224</v>
      </c>
      <c r="D473" s="147">
        <f>IFERROR(__xludf.DUMMYFUNCTION("""COMPUTED_VALUE"""),45762.0)</f>
        <v>45762</v>
      </c>
      <c r="E473" s="147">
        <f>IFERROR(__xludf.DUMMYFUNCTION("""COMPUTED_VALUE"""),45769.0)</f>
        <v>45769</v>
      </c>
      <c r="F473" s="147">
        <f>IFERROR(__xludf.DUMMYFUNCTION("""COMPUTED_VALUE"""),45790.0)</f>
        <v>45790</v>
      </c>
      <c r="G473" s="146" t="str">
        <f>IFERROR(__xludf.DUMMYFUNCTION("""COMPUTED_VALUE"""),"D41-1L")</f>
        <v>D41-1L</v>
      </c>
      <c r="H473" s="148">
        <f>IFERROR(__xludf.DUMMYFUNCTION("""COMPUTED_VALUE"""),71.0)</f>
        <v>71</v>
      </c>
      <c r="I473" s="148">
        <f>IFERROR(__xludf.DUMMYFUNCTION("""COMPUTED_VALUE"""),209.0)</f>
        <v>209</v>
      </c>
      <c r="J473" s="146">
        <f>IFERROR(__xludf.DUMMYFUNCTION("""COMPUTED_VALUE"""),70.0)</f>
        <v>70</v>
      </c>
      <c r="K473" s="146">
        <f>IFERROR(__xludf.DUMMYFUNCTION("""COMPUTED_VALUE"""),70.0)</f>
        <v>70</v>
      </c>
      <c r="L473" s="146"/>
      <c r="M473" s="146"/>
      <c r="N473" s="146"/>
      <c r="O473" s="146"/>
      <c r="P473" s="146">
        <f>IFERROR(__xludf.DUMMYFUNCTION("""COMPUTED_VALUE"""),294.0)</f>
        <v>294</v>
      </c>
      <c r="Q473" s="146"/>
      <c r="R473" s="146"/>
      <c r="T473" s="131" t="str">
        <f>IFERROR(__xludf.DUMMYFUNCTION("""COMPUTED_VALUE"""),"Y")</f>
        <v>Y</v>
      </c>
      <c r="U473" s="131" t="str">
        <f>IFERROR(__xludf.DUMMYFUNCTION("""COMPUTED_VALUE"""),"6")</f>
        <v>6</v>
      </c>
      <c r="V473" s="131" t="str">
        <f>IFERROR(__xludf.DUMMYFUNCTION("""COMPUTED_VALUE"""),"1213-1218")</f>
        <v>1213-1218</v>
      </c>
      <c r="W473" s="144">
        <f>IFERROR(__xludf.DUMMYFUNCTION("""COMPUTED_VALUE"""),45762.0)</f>
        <v>45762</v>
      </c>
      <c r="X473" s="144">
        <f>IFERROR(__xludf.DUMMYFUNCTION("""COMPUTED_VALUE"""),45769.0)</f>
        <v>45769</v>
      </c>
      <c r="Y473" s="144">
        <f>IFERROR(__xludf.DUMMYFUNCTION("""COMPUTED_VALUE"""),45790.0)</f>
        <v>45790</v>
      </c>
      <c r="Z473" s="131" t="str">
        <f>IFERROR(__xludf.DUMMYFUNCTION("""COMPUTED_VALUE"""),"BRG10")</f>
        <v>BRG10</v>
      </c>
      <c r="AA473" s="131"/>
      <c r="AB473" s="131"/>
      <c r="AC473" s="131"/>
      <c r="AD473" s="131"/>
      <c r="AE473" s="131">
        <f>IFERROR(__xludf.DUMMYFUNCTION("""COMPUTED_VALUE"""),832.0)</f>
        <v>832</v>
      </c>
      <c r="AF473" s="131">
        <f>IFERROR(__xludf.DUMMYFUNCTION("""COMPUTED_VALUE"""),896.0)</f>
        <v>896</v>
      </c>
      <c r="AG473" s="131">
        <f>IFERROR(__xludf.DUMMYFUNCTION("""COMPUTED_VALUE"""),33.0)</f>
        <v>33</v>
      </c>
      <c r="AH473" s="131">
        <f>IFERROR(__xludf.DUMMYFUNCTION("""COMPUTED_VALUE"""),33.0)</f>
        <v>33</v>
      </c>
      <c r="AI473" s="131">
        <f>IFERROR(__xludf.DUMMYFUNCTION("""COMPUTED_VALUE"""),292.0)</f>
        <v>292</v>
      </c>
      <c r="AJ473" s="131"/>
      <c r="AK473" s="131"/>
    </row>
    <row r="474">
      <c r="A474" s="145" t="str">
        <f>IFERROR(__xludf.DUMMYFUNCTION("""COMPUTED_VALUE"""),"Y")</f>
        <v>Y</v>
      </c>
      <c r="B474" s="146" t="str">
        <f>IFERROR(__xludf.DUMMYFUNCTION("""COMPUTED_VALUE"""),"6")</f>
        <v>6</v>
      </c>
      <c r="C474" s="146" t="str">
        <f>IFERROR(__xludf.DUMMYFUNCTION("""COMPUTED_VALUE"""),"1213-1218")</f>
        <v>1213-1218</v>
      </c>
      <c r="D474" s="147">
        <f>IFERROR(__xludf.DUMMYFUNCTION("""COMPUTED_VALUE"""),45762.0)</f>
        <v>45762</v>
      </c>
      <c r="E474" s="147">
        <f>IFERROR(__xludf.DUMMYFUNCTION("""COMPUTED_VALUE"""),45769.0)</f>
        <v>45769</v>
      </c>
      <c r="F474" s="147">
        <f>IFERROR(__xludf.DUMMYFUNCTION("""COMPUTED_VALUE"""),45790.0)</f>
        <v>45790</v>
      </c>
      <c r="G474" s="146" t="str">
        <f>IFERROR(__xludf.DUMMYFUNCTION("""COMPUTED_VALUE"""),"BRG10")</f>
        <v>BRG10</v>
      </c>
      <c r="H474" s="148"/>
      <c r="I474" s="148"/>
      <c r="J474" s="146"/>
      <c r="K474" s="146"/>
      <c r="L474" s="146">
        <f>IFERROR(__xludf.DUMMYFUNCTION("""COMPUTED_VALUE"""),832.0)</f>
        <v>832</v>
      </c>
      <c r="M474" s="146">
        <f>IFERROR(__xludf.DUMMYFUNCTION("""COMPUTED_VALUE"""),896.0)</f>
        <v>896</v>
      </c>
      <c r="N474" s="146">
        <f>IFERROR(__xludf.DUMMYFUNCTION("""COMPUTED_VALUE"""),33.0)</f>
        <v>33</v>
      </c>
      <c r="O474" s="146">
        <f>IFERROR(__xludf.DUMMYFUNCTION("""COMPUTED_VALUE"""),33.0)</f>
        <v>33</v>
      </c>
      <c r="P474" s="146">
        <f>IFERROR(__xludf.DUMMYFUNCTION("""COMPUTED_VALUE"""),292.0)</f>
        <v>292</v>
      </c>
      <c r="Q474" s="146"/>
      <c r="R474" s="146"/>
      <c r="T474" s="131" t="str">
        <f>IFERROR(__xludf.DUMMYFUNCTION("""COMPUTED_VALUE"""),"Y")</f>
        <v>Y</v>
      </c>
      <c r="U474" s="131" t="str">
        <f>IFERROR(__xludf.DUMMYFUNCTION("""COMPUTED_VALUE"""),"6")</f>
        <v>6</v>
      </c>
      <c r="V474" s="131" t="str">
        <f>IFERROR(__xludf.DUMMYFUNCTION("""COMPUTED_VALUE"""),"1237-1242")</f>
        <v>1237-1242</v>
      </c>
      <c r="W474" s="144">
        <f>IFERROR(__xludf.DUMMYFUNCTION("""COMPUTED_VALUE"""),45763.0)</f>
        <v>45763</v>
      </c>
      <c r="X474" s="144">
        <f>IFERROR(__xludf.DUMMYFUNCTION("""COMPUTED_VALUE"""),45770.0)</f>
        <v>45770</v>
      </c>
      <c r="Y474" s="144">
        <f>IFERROR(__xludf.DUMMYFUNCTION("""COMPUTED_VALUE"""),45791.0)</f>
        <v>45791</v>
      </c>
      <c r="Z474" s="131" t="str">
        <f>IFERROR(__xludf.DUMMYFUNCTION("""COMPUTED_VALUE"""),"D40-4R")</f>
        <v>D40-4R</v>
      </c>
      <c r="AA474" s="131">
        <f>IFERROR(__xludf.DUMMYFUNCTION("""COMPUTED_VALUE"""),151.0)</f>
        <v>151</v>
      </c>
      <c r="AB474" s="131">
        <f>IFERROR(__xludf.DUMMYFUNCTION("""COMPUTED_VALUE"""),197.0)</f>
        <v>197</v>
      </c>
      <c r="AC474" s="131">
        <f>IFERROR(__xludf.DUMMYFUNCTION("""COMPUTED_VALUE"""),24.0)</f>
        <v>24</v>
      </c>
      <c r="AD474" s="131">
        <f>IFERROR(__xludf.DUMMYFUNCTION("""COMPUTED_VALUE"""),24.0)</f>
        <v>24</v>
      </c>
      <c r="AE474" s="131">
        <f>IFERROR(__xludf.DUMMYFUNCTION("""COMPUTED_VALUE"""),210.0)</f>
        <v>210</v>
      </c>
      <c r="AF474" s="131">
        <f>IFERROR(__xludf.DUMMYFUNCTION("""COMPUTED_VALUE"""),238.0)</f>
        <v>238</v>
      </c>
      <c r="AG474" s="131">
        <f>IFERROR(__xludf.DUMMYFUNCTION("""COMPUTED_VALUE"""),15.0)</f>
        <v>15</v>
      </c>
      <c r="AH474" s="131">
        <f>IFERROR(__xludf.DUMMYFUNCTION("""COMPUTED_VALUE"""),15.0)</f>
        <v>15</v>
      </c>
      <c r="AI474" s="131">
        <f>IFERROR(__xludf.DUMMYFUNCTION("""COMPUTED_VALUE"""),293.0)</f>
        <v>293</v>
      </c>
      <c r="AJ474" s="131"/>
      <c r="AK474" s="131"/>
    </row>
    <row r="475">
      <c r="A475" s="145" t="str">
        <f>IFERROR(__xludf.DUMMYFUNCTION("""COMPUTED_VALUE"""),"Y")</f>
        <v>Y</v>
      </c>
      <c r="B475" s="146" t="str">
        <f>IFERROR(__xludf.DUMMYFUNCTION("""COMPUTED_VALUE"""),"6")</f>
        <v>6</v>
      </c>
      <c r="C475" s="146" t="str">
        <f>IFERROR(__xludf.DUMMYFUNCTION("""COMPUTED_VALUE"""),"1237-1242")</f>
        <v>1237-1242</v>
      </c>
      <c r="D475" s="147">
        <f>IFERROR(__xludf.DUMMYFUNCTION("""COMPUTED_VALUE"""),45763.0)</f>
        <v>45763</v>
      </c>
      <c r="E475" s="147">
        <f>IFERROR(__xludf.DUMMYFUNCTION("""COMPUTED_VALUE"""),45770.0)</f>
        <v>45770</v>
      </c>
      <c r="F475" s="147">
        <f>IFERROR(__xludf.DUMMYFUNCTION("""COMPUTED_VALUE"""),45791.0)</f>
        <v>45791</v>
      </c>
      <c r="G475" s="146" t="str">
        <f>IFERROR(__xludf.DUMMYFUNCTION("""COMPUTED_VALUE"""),"D40-4R")</f>
        <v>D40-4R</v>
      </c>
      <c r="H475" s="148">
        <f>IFERROR(__xludf.DUMMYFUNCTION("""COMPUTED_VALUE"""),151.0)</f>
        <v>151</v>
      </c>
      <c r="I475" s="148">
        <f>IFERROR(__xludf.DUMMYFUNCTION("""COMPUTED_VALUE"""),197.0)</f>
        <v>197</v>
      </c>
      <c r="J475" s="146">
        <f>IFERROR(__xludf.DUMMYFUNCTION("""COMPUTED_VALUE"""),24.0)</f>
        <v>24</v>
      </c>
      <c r="K475" s="146">
        <f>IFERROR(__xludf.DUMMYFUNCTION("""COMPUTED_VALUE"""),24.0)</f>
        <v>24</v>
      </c>
      <c r="L475" s="146">
        <f>IFERROR(__xludf.DUMMYFUNCTION("""COMPUTED_VALUE"""),210.0)</f>
        <v>210</v>
      </c>
      <c r="M475" s="146">
        <f>IFERROR(__xludf.DUMMYFUNCTION("""COMPUTED_VALUE"""),238.0)</f>
        <v>238</v>
      </c>
      <c r="N475" s="146">
        <f>IFERROR(__xludf.DUMMYFUNCTION("""COMPUTED_VALUE"""),15.0)</f>
        <v>15</v>
      </c>
      <c r="O475" s="146">
        <f>IFERROR(__xludf.DUMMYFUNCTION("""COMPUTED_VALUE"""),15.0)</f>
        <v>15</v>
      </c>
      <c r="P475" s="146">
        <f>IFERROR(__xludf.DUMMYFUNCTION("""COMPUTED_VALUE"""),293.0)</f>
        <v>293</v>
      </c>
      <c r="Q475" s="146"/>
      <c r="R475" s="146"/>
      <c r="T475" s="131" t="str">
        <f>IFERROR(__xludf.DUMMYFUNCTION("""COMPUTED_VALUE"""),"Y")</f>
        <v>Y</v>
      </c>
      <c r="U475" s="131" t="str">
        <f>IFERROR(__xludf.DUMMYFUNCTION("""COMPUTED_VALUE"""),"6")</f>
        <v>6</v>
      </c>
      <c r="V475" s="131" t="str">
        <f>IFERROR(__xludf.DUMMYFUNCTION("""COMPUTED_VALUE"""),"1237-1242")</f>
        <v>1237-1242</v>
      </c>
      <c r="W475" s="144">
        <f>IFERROR(__xludf.DUMMYFUNCTION("""COMPUTED_VALUE"""),45763.0)</f>
        <v>45763</v>
      </c>
      <c r="X475" s="144">
        <f>IFERROR(__xludf.DUMMYFUNCTION("""COMPUTED_VALUE"""),45770.0)</f>
        <v>45770</v>
      </c>
      <c r="Y475" s="144">
        <f>IFERROR(__xludf.DUMMYFUNCTION("""COMPUTED_VALUE"""),45791.0)</f>
        <v>45791</v>
      </c>
      <c r="Z475" s="131" t="str">
        <f>IFERROR(__xludf.DUMMYFUNCTION("""COMPUTED_VALUE"""),"D40-4R")</f>
        <v>D40-4R</v>
      </c>
      <c r="AA475" s="131"/>
      <c r="AB475" s="131"/>
      <c r="AC475" s="131"/>
      <c r="AD475" s="131"/>
      <c r="AE475" s="131">
        <f>IFERROR(__xludf.DUMMYFUNCTION("""COMPUTED_VALUE"""),106.0)</f>
        <v>106</v>
      </c>
      <c r="AF475" s="131">
        <f>IFERROR(__xludf.DUMMYFUNCTION("""COMPUTED_VALUE"""),148.0)</f>
        <v>148</v>
      </c>
      <c r="AG475" s="131">
        <f>IFERROR(__xludf.DUMMYFUNCTION("""COMPUTED_VALUE"""),22.0)</f>
        <v>22</v>
      </c>
      <c r="AH475" s="131">
        <f>IFERROR(__xludf.DUMMYFUNCTION("""COMPUTED_VALUE"""),22.0)</f>
        <v>22</v>
      </c>
      <c r="AI475" s="131">
        <f>IFERROR(__xludf.DUMMYFUNCTION("""COMPUTED_VALUE"""),293.0)</f>
        <v>293</v>
      </c>
      <c r="AJ475" s="131"/>
      <c r="AK475" s="131"/>
    </row>
    <row r="476">
      <c r="A476" s="145" t="str">
        <f>IFERROR(__xludf.DUMMYFUNCTION("""COMPUTED_VALUE"""),"Y")</f>
        <v>Y</v>
      </c>
      <c r="B476" s="146" t="str">
        <f>IFERROR(__xludf.DUMMYFUNCTION("""COMPUTED_VALUE"""),"6")</f>
        <v>6</v>
      </c>
      <c r="C476" s="146" t="str">
        <f>IFERROR(__xludf.DUMMYFUNCTION("""COMPUTED_VALUE"""),"1237-1242")</f>
        <v>1237-1242</v>
      </c>
      <c r="D476" s="147">
        <f>IFERROR(__xludf.DUMMYFUNCTION("""COMPUTED_VALUE"""),45763.0)</f>
        <v>45763</v>
      </c>
      <c r="E476" s="147">
        <f>IFERROR(__xludf.DUMMYFUNCTION("""COMPUTED_VALUE"""),45770.0)</f>
        <v>45770</v>
      </c>
      <c r="F476" s="147">
        <f>IFERROR(__xludf.DUMMYFUNCTION("""COMPUTED_VALUE"""),45791.0)</f>
        <v>45791</v>
      </c>
      <c r="G476" s="146" t="str">
        <f>IFERROR(__xludf.DUMMYFUNCTION("""COMPUTED_VALUE"""),"D40-4R")</f>
        <v>D40-4R</v>
      </c>
      <c r="H476" s="148"/>
      <c r="I476" s="148"/>
      <c r="J476" s="146"/>
      <c r="K476" s="146"/>
      <c r="L476" s="146">
        <f>IFERROR(__xludf.DUMMYFUNCTION("""COMPUTED_VALUE"""),106.0)</f>
        <v>106</v>
      </c>
      <c r="M476" s="146">
        <f>IFERROR(__xludf.DUMMYFUNCTION("""COMPUTED_VALUE"""),148.0)</f>
        <v>148</v>
      </c>
      <c r="N476" s="146">
        <f>IFERROR(__xludf.DUMMYFUNCTION("""COMPUTED_VALUE"""),22.0)</f>
        <v>22</v>
      </c>
      <c r="O476" s="146">
        <f>IFERROR(__xludf.DUMMYFUNCTION("""COMPUTED_VALUE"""),22.0)</f>
        <v>22</v>
      </c>
      <c r="P476" s="146">
        <f>IFERROR(__xludf.DUMMYFUNCTION("""COMPUTED_VALUE"""),293.0)</f>
        <v>293</v>
      </c>
      <c r="Q476" s="146"/>
      <c r="R476" s="146"/>
      <c r="T476" s="131" t="str">
        <f>IFERROR(__xludf.DUMMYFUNCTION("""COMPUTED_VALUE"""),"Y")</f>
        <v>Y</v>
      </c>
      <c r="U476" s="131" t="str">
        <f>IFERROR(__xludf.DUMMYFUNCTION("""COMPUTED_VALUE"""),"6")</f>
        <v>6</v>
      </c>
      <c r="V476" s="131" t="str">
        <f>IFERROR(__xludf.DUMMYFUNCTION("""COMPUTED_VALUE"""),"1237-1242")</f>
        <v>1237-1242</v>
      </c>
      <c r="W476" s="144">
        <f>IFERROR(__xludf.DUMMYFUNCTION("""COMPUTED_VALUE"""),45763.0)</f>
        <v>45763</v>
      </c>
      <c r="X476" s="144">
        <f>IFERROR(__xludf.DUMMYFUNCTION("""COMPUTED_VALUE"""),45770.0)</f>
        <v>45770</v>
      </c>
      <c r="Y476" s="144">
        <f>IFERROR(__xludf.DUMMYFUNCTION("""COMPUTED_VALUE"""),45791.0)</f>
        <v>45791</v>
      </c>
      <c r="Z476" s="131" t="str">
        <f>IFERROR(__xludf.DUMMYFUNCTION("""COMPUTED_VALUE"""),"D40-4R")</f>
        <v>D40-4R</v>
      </c>
      <c r="AA476" s="131"/>
      <c r="AB476" s="131"/>
      <c r="AC476" s="131"/>
      <c r="AD476" s="131"/>
      <c r="AE476" s="131">
        <f>IFERROR(__xludf.DUMMYFUNCTION("""COMPUTED_VALUE"""),62.0)</f>
        <v>62</v>
      </c>
      <c r="AF476" s="131">
        <f>IFERROR(__xludf.DUMMYFUNCTION("""COMPUTED_VALUE"""),104.0)</f>
        <v>104</v>
      </c>
      <c r="AG476" s="131">
        <f>IFERROR(__xludf.DUMMYFUNCTION("""COMPUTED_VALUE"""),22.0)</f>
        <v>22</v>
      </c>
      <c r="AH476" s="131">
        <f>IFERROR(__xludf.DUMMYFUNCTION("""COMPUTED_VALUE"""),22.0)</f>
        <v>22</v>
      </c>
      <c r="AI476" s="131">
        <f>IFERROR(__xludf.DUMMYFUNCTION("""COMPUTED_VALUE"""),293.0)</f>
        <v>293</v>
      </c>
      <c r="AJ476" s="131"/>
      <c r="AK476" s="131"/>
    </row>
    <row r="477">
      <c r="A477" s="145" t="str">
        <f>IFERROR(__xludf.DUMMYFUNCTION("""COMPUTED_VALUE"""),"Y")</f>
        <v>Y</v>
      </c>
      <c r="B477" s="146" t="str">
        <f>IFERROR(__xludf.DUMMYFUNCTION("""COMPUTED_VALUE"""),"6")</f>
        <v>6</v>
      </c>
      <c r="C477" s="146" t="str">
        <f>IFERROR(__xludf.DUMMYFUNCTION("""COMPUTED_VALUE"""),"1237-1242")</f>
        <v>1237-1242</v>
      </c>
      <c r="D477" s="147">
        <f>IFERROR(__xludf.DUMMYFUNCTION("""COMPUTED_VALUE"""),45763.0)</f>
        <v>45763</v>
      </c>
      <c r="E477" s="147">
        <f>IFERROR(__xludf.DUMMYFUNCTION("""COMPUTED_VALUE"""),45770.0)</f>
        <v>45770</v>
      </c>
      <c r="F477" s="147">
        <f>IFERROR(__xludf.DUMMYFUNCTION("""COMPUTED_VALUE"""),45791.0)</f>
        <v>45791</v>
      </c>
      <c r="G477" s="146" t="str">
        <f>IFERROR(__xludf.DUMMYFUNCTION("""COMPUTED_VALUE"""),"D40-4R")</f>
        <v>D40-4R</v>
      </c>
      <c r="H477" s="148"/>
      <c r="I477" s="148"/>
      <c r="J477" s="146"/>
      <c r="K477" s="146"/>
      <c r="L477" s="146">
        <f>IFERROR(__xludf.DUMMYFUNCTION("""COMPUTED_VALUE"""),62.0)</f>
        <v>62</v>
      </c>
      <c r="M477" s="146">
        <f>IFERROR(__xludf.DUMMYFUNCTION("""COMPUTED_VALUE"""),104.0)</f>
        <v>104</v>
      </c>
      <c r="N477" s="146">
        <f>IFERROR(__xludf.DUMMYFUNCTION("""COMPUTED_VALUE"""),22.0)</f>
        <v>22</v>
      </c>
      <c r="O477" s="146">
        <f>IFERROR(__xludf.DUMMYFUNCTION("""COMPUTED_VALUE"""),22.0)</f>
        <v>22</v>
      </c>
      <c r="P477" s="146">
        <f>IFERROR(__xludf.DUMMYFUNCTION("""COMPUTED_VALUE"""),293.0)</f>
        <v>293</v>
      </c>
      <c r="Q477" s="146"/>
      <c r="R477" s="146"/>
      <c r="T477" s="131" t="str">
        <f>IFERROR(__xludf.DUMMYFUNCTION("""COMPUTED_VALUE"""),"Y")</f>
        <v>Y</v>
      </c>
      <c r="U477" s="131" t="str">
        <f>IFERROR(__xludf.DUMMYFUNCTION("""COMPUTED_VALUE"""),"6")</f>
        <v>6</v>
      </c>
      <c r="V477" s="131" t="str">
        <f>IFERROR(__xludf.DUMMYFUNCTION("""COMPUTED_VALUE"""),"1231-1236")</f>
        <v>1231-1236</v>
      </c>
      <c r="W477" s="144">
        <f>IFERROR(__xludf.DUMMYFUNCTION("""COMPUTED_VALUE"""),45763.0)</f>
        <v>45763</v>
      </c>
      <c r="X477" s="144">
        <f>IFERROR(__xludf.DUMMYFUNCTION("""COMPUTED_VALUE"""),45770.0)</f>
        <v>45770</v>
      </c>
      <c r="Y477" s="144">
        <f>IFERROR(__xludf.DUMMYFUNCTION("""COMPUTED_VALUE"""),45791.0)</f>
        <v>45791</v>
      </c>
      <c r="Z477" s="131" t="str">
        <f>IFERROR(__xludf.DUMMYFUNCTION("""COMPUTED_VALUE"""),"D39-1R")</f>
        <v>D39-1R</v>
      </c>
      <c r="AA477" s="131">
        <f>IFERROR(__xludf.DUMMYFUNCTION("""COMPUTED_VALUE"""),3.0)</f>
        <v>3</v>
      </c>
      <c r="AB477" s="131">
        <f>IFERROR(__xludf.DUMMYFUNCTION("""COMPUTED_VALUE"""),103.0)</f>
        <v>103</v>
      </c>
      <c r="AC477" s="131">
        <f>IFERROR(__xludf.DUMMYFUNCTION("""COMPUTED_VALUE"""),51.0)</f>
        <v>51</v>
      </c>
      <c r="AD477" s="131">
        <f>IFERROR(__xludf.DUMMYFUNCTION("""COMPUTED_VALUE"""),51.0)</f>
        <v>51</v>
      </c>
      <c r="AE477" s="131">
        <f>IFERROR(__xludf.DUMMYFUNCTION("""COMPUTED_VALUE"""),2.0)</f>
        <v>2</v>
      </c>
      <c r="AF477" s="131">
        <f>IFERROR(__xludf.DUMMYFUNCTION("""COMPUTED_VALUE"""),48.0)</f>
        <v>48</v>
      </c>
      <c r="AG477" s="131">
        <f>IFERROR(__xludf.DUMMYFUNCTION("""COMPUTED_VALUE"""),24.0)</f>
        <v>24</v>
      </c>
      <c r="AH477" s="131">
        <f>IFERROR(__xludf.DUMMYFUNCTION("""COMPUTED_VALUE"""),24.0)</f>
        <v>24</v>
      </c>
      <c r="AI477" s="131">
        <f>IFERROR(__xludf.DUMMYFUNCTION("""COMPUTED_VALUE"""),295.0)</f>
        <v>295</v>
      </c>
      <c r="AJ477" s="131"/>
      <c r="AK477" s="131"/>
    </row>
    <row r="478">
      <c r="A478" s="145" t="str">
        <f>IFERROR(__xludf.DUMMYFUNCTION("""COMPUTED_VALUE"""),"Y")</f>
        <v>Y</v>
      </c>
      <c r="B478" s="146" t="str">
        <f>IFERROR(__xludf.DUMMYFUNCTION("""COMPUTED_VALUE"""),"6")</f>
        <v>6</v>
      </c>
      <c r="C478" s="146" t="str">
        <f>IFERROR(__xludf.DUMMYFUNCTION("""COMPUTED_VALUE"""),"1231-1236")</f>
        <v>1231-1236</v>
      </c>
      <c r="D478" s="147">
        <f>IFERROR(__xludf.DUMMYFUNCTION("""COMPUTED_VALUE"""),45763.0)</f>
        <v>45763</v>
      </c>
      <c r="E478" s="147">
        <f>IFERROR(__xludf.DUMMYFUNCTION("""COMPUTED_VALUE"""),45770.0)</f>
        <v>45770</v>
      </c>
      <c r="F478" s="147">
        <f>IFERROR(__xludf.DUMMYFUNCTION("""COMPUTED_VALUE"""),45791.0)</f>
        <v>45791</v>
      </c>
      <c r="G478" s="146" t="str">
        <f>IFERROR(__xludf.DUMMYFUNCTION("""COMPUTED_VALUE"""),"D39-1R")</f>
        <v>D39-1R</v>
      </c>
      <c r="H478" s="148">
        <f>IFERROR(__xludf.DUMMYFUNCTION("""COMPUTED_VALUE"""),3.0)</f>
        <v>3</v>
      </c>
      <c r="I478" s="148">
        <f>IFERROR(__xludf.DUMMYFUNCTION("""COMPUTED_VALUE"""),103.0)</f>
        <v>103</v>
      </c>
      <c r="J478" s="146">
        <f>IFERROR(__xludf.DUMMYFUNCTION("""COMPUTED_VALUE"""),51.0)</f>
        <v>51</v>
      </c>
      <c r="K478" s="146">
        <f>IFERROR(__xludf.DUMMYFUNCTION("""COMPUTED_VALUE"""),51.0)</f>
        <v>51</v>
      </c>
      <c r="L478" s="146">
        <f>IFERROR(__xludf.DUMMYFUNCTION("""COMPUTED_VALUE"""),2.0)</f>
        <v>2</v>
      </c>
      <c r="M478" s="146">
        <f>IFERROR(__xludf.DUMMYFUNCTION("""COMPUTED_VALUE"""),48.0)</f>
        <v>48</v>
      </c>
      <c r="N478" s="146">
        <f>IFERROR(__xludf.DUMMYFUNCTION("""COMPUTED_VALUE"""),24.0)</f>
        <v>24</v>
      </c>
      <c r="O478" s="146">
        <f>IFERROR(__xludf.DUMMYFUNCTION("""COMPUTED_VALUE"""),24.0)</f>
        <v>24</v>
      </c>
      <c r="P478" s="146">
        <f>IFERROR(__xludf.DUMMYFUNCTION("""COMPUTED_VALUE"""),295.0)</f>
        <v>295</v>
      </c>
      <c r="Q478" s="146"/>
      <c r="R478" s="146"/>
      <c r="T478" s="131" t="str">
        <f>IFERROR(__xludf.DUMMYFUNCTION("""COMPUTED_VALUE"""),"Y")</f>
        <v>Y</v>
      </c>
      <c r="U478" s="131" t="str">
        <f>IFERROR(__xludf.DUMMYFUNCTION("""COMPUTED_VALUE"""),"6")</f>
        <v>6</v>
      </c>
      <c r="V478" s="131" t="str">
        <f>IFERROR(__xludf.DUMMYFUNCTION("""COMPUTED_VALUE"""),"1231-1236")</f>
        <v>1231-1236</v>
      </c>
      <c r="W478" s="144">
        <f>IFERROR(__xludf.DUMMYFUNCTION("""COMPUTED_VALUE"""),45763.0)</f>
        <v>45763</v>
      </c>
      <c r="X478" s="144">
        <f>IFERROR(__xludf.DUMMYFUNCTION("""COMPUTED_VALUE"""),45770.0)</f>
        <v>45770</v>
      </c>
      <c r="Y478" s="144">
        <f>IFERROR(__xludf.DUMMYFUNCTION("""COMPUTED_VALUE"""),45791.0)</f>
        <v>45791</v>
      </c>
      <c r="Z478" s="131" t="str">
        <f>IFERROR(__xludf.DUMMYFUNCTION("""COMPUTED_VALUE"""),"D39-1R")</f>
        <v>D39-1R</v>
      </c>
      <c r="AA478" s="131">
        <f>IFERROR(__xludf.DUMMYFUNCTION("""COMPUTED_VALUE"""),125.0)</f>
        <v>125</v>
      </c>
      <c r="AB478" s="131">
        <f>IFERROR(__xludf.DUMMYFUNCTION("""COMPUTED_VALUE"""),205.0)</f>
        <v>205</v>
      </c>
      <c r="AC478" s="131">
        <f>IFERROR(__xludf.DUMMYFUNCTION("""COMPUTED_VALUE"""),41.0)</f>
        <v>41</v>
      </c>
      <c r="AD478" s="131">
        <f>IFERROR(__xludf.DUMMYFUNCTION("""COMPUTED_VALUE"""),41.0)</f>
        <v>41</v>
      </c>
      <c r="AE478" s="131">
        <f>IFERROR(__xludf.DUMMYFUNCTION("""COMPUTED_VALUE"""),104.0)</f>
        <v>104</v>
      </c>
      <c r="AF478" s="131">
        <f>IFERROR(__xludf.DUMMYFUNCTION("""COMPUTED_VALUE"""),104.0)</f>
        <v>104</v>
      </c>
      <c r="AG478" s="131">
        <f>IFERROR(__xludf.DUMMYFUNCTION("""COMPUTED_VALUE"""),1.0)</f>
        <v>1</v>
      </c>
      <c r="AH478" s="131">
        <f>IFERROR(__xludf.DUMMYFUNCTION("""COMPUTED_VALUE"""),1.0)</f>
        <v>1</v>
      </c>
      <c r="AI478" s="131">
        <f>IFERROR(__xludf.DUMMYFUNCTION("""COMPUTED_VALUE"""),295.0)</f>
        <v>295</v>
      </c>
      <c r="AJ478" s="131"/>
      <c r="AK478" s="131"/>
    </row>
    <row r="479">
      <c r="A479" s="145" t="str">
        <f>IFERROR(__xludf.DUMMYFUNCTION("""COMPUTED_VALUE"""),"Y")</f>
        <v>Y</v>
      </c>
      <c r="B479" s="146" t="str">
        <f>IFERROR(__xludf.DUMMYFUNCTION("""COMPUTED_VALUE"""),"6")</f>
        <v>6</v>
      </c>
      <c r="C479" s="146" t="str">
        <f>IFERROR(__xludf.DUMMYFUNCTION("""COMPUTED_VALUE"""),"1231-1236")</f>
        <v>1231-1236</v>
      </c>
      <c r="D479" s="147">
        <f>IFERROR(__xludf.DUMMYFUNCTION("""COMPUTED_VALUE"""),45763.0)</f>
        <v>45763</v>
      </c>
      <c r="E479" s="147">
        <f>IFERROR(__xludf.DUMMYFUNCTION("""COMPUTED_VALUE"""),45770.0)</f>
        <v>45770</v>
      </c>
      <c r="F479" s="147">
        <f>IFERROR(__xludf.DUMMYFUNCTION("""COMPUTED_VALUE"""),45791.0)</f>
        <v>45791</v>
      </c>
      <c r="G479" s="146" t="str">
        <f>IFERROR(__xludf.DUMMYFUNCTION("""COMPUTED_VALUE"""),"D39-1R")</f>
        <v>D39-1R</v>
      </c>
      <c r="H479" s="148">
        <f>IFERROR(__xludf.DUMMYFUNCTION("""COMPUTED_VALUE"""),125.0)</f>
        <v>125</v>
      </c>
      <c r="I479" s="148">
        <f>IFERROR(__xludf.DUMMYFUNCTION("""COMPUTED_VALUE"""),205.0)</f>
        <v>205</v>
      </c>
      <c r="J479" s="146">
        <f>IFERROR(__xludf.DUMMYFUNCTION("""COMPUTED_VALUE"""),41.0)</f>
        <v>41</v>
      </c>
      <c r="K479" s="146">
        <f>IFERROR(__xludf.DUMMYFUNCTION("""COMPUTED_VALUE"""),41.0)</f>
        <v>41</v>
      </c>
      <c r="L479" s="146">
        <f>IFERROR(__xludf.DUMMYFUNCTION("""COMPUTED_VALUE"""),104.0)</f>
        <v>104</v>
      </c>
      <c r="M479" s="146">
        <f>IFERROR(__xludf.DUMMYFUNCTION("""COMPUTED_VALUE"""),104.0)</f>
        <v>104</v>
      </c>
      <c r="N479" s="146">
        <f>IFERROR(__xludf.DUMMYFUNCTION("""COMPUTED_VALUE"""),1.0)</f>
        <v>1</v>
      </c>
      <c r="O479" s="146">
        <f>IFERROR(__xludf.DUMMYFUNCTION("""COMPUTED_VALUE"""),1.0)</f>
        <v>1</v>
      </c>
      <c r="P479" s="146">
        <f>IFERROR(__xludf.DUMMYFUNCTION("""COMPUTED_VALUE"""),295.0)</f>
        <v>295</v>
      </c>
      <c r="Q479" s="146"/>
      <c r="R479" s="146"/>
      <c r="T479" s="131" t="str">
        <f>IFERROR(__xludf.DUMMYFUNCTION("""COMPUTED_VALUE"""),"Y")</f>
        <v>Y</v>
      </c>
      <c r="U479" s="131" t="str">
        <f>IFERROR(__xludf.DUMMYFUNCTION("""COMPUTED_VALUE"""),"6")</f>
        <v>6</v>
      </c>
      <c r="V479" s="131" t="str">
        <f>IFERROR(__xludf.DUMMYFUNCTION("""COMPUTED_VALUE"""),"1231-1236")</f>
        <v>1231-1236</v>
      </c>
      <c r="W479" s="144">
        <f>IFERROR(__xludf.DUMMYFUNCTION("""COMPUTED_VALUE"""),45763.0)</f>
        <v>45763</v>
      </c>
      <c r="X479" s="144">
        <f>IFERROR(__xludf.DUMMYFUNCTION("""COMPUTED_VALUE"""),45770.0)</f>
        <v>45770</v>
      </c>
      <c r="Y479" s="144">
        <f>IFERROR(__xludf.DUMMYFUNCTION("""COMPUTED_VALUE"""),45791.0)</f>
        <v>45791</v>
      </c>
      <c r="Z479" s="131" t="str">
        <f>IFERROR(__xludf.DUMMYFUNCTION("""COMPUTED_VALUE"""),"D39-1R")</f>
        <v>D39-1R</v>
      </c>
      <c r="AA479" s="131"/>
      <c r="AB479" s="131"/>
      <c r="AC479" s="131"/>
      <c r="AD479" s="131"/>
      <c r="AE479" s="131">
        <f>IFERROR(__xludf.DUMMYFUNCTION("""COMPUTED_VALUE"""),52.0)</f>
        <v>52</v>
      </c>
      <c r="AF479" s="131">
        <f>IFERROR(__xludf.DUMMYFUNCTION("""COMPUTED_VALUE"""),100.0)</f>
        <v>100</v>
      </c>
      <c r="AG479" s="131">
        <f>IFERROR(__xludf.DUMMYFUNCTION("""COMPUTED_VALUE"""),25.0)</f>
        <v>25</v>
      </c>
      <c r="AH479" s="131">
        <f>IFERROR(__xludf.DUMMYFUNCTION("""COMPUTED_VALUE"""),25.0)</f>
        <v>25</v>
      </c>
      <c r="AI479" s="131">
        <f>IFERROR(__xludf.DUMMYFUNCTION("""COMPUTED_VALUE"""),295.0)</f>
        <v>295</v>
      </c>
      <c r="AJ479" s="131"/>
      <c r="AK479" s="131"/>
    </row>
    <row r="480">
      <c r="A480" s="145" t="str">
        <f>IFERROR(__xludf.DUMMYFUNCTION("""COMPUTED_VALUE"""),"Y")</f>
        <v>Y</v>
      </c>
      <c r="B480" s="146" t="str">
        <f>IFERROR(__xludf.DUMMYFUNCTION("""COMPUTED_VALUE"""),"6")</f>
        <v>6</v>
      </c>
      <c r="C480" s="146" t="str">
        <f>IFERROR(__xludf.DUMMYFUNCTION("""COMPUTED_VALUE"""),"1231-1236")</f>
        <v>1231-1236</v>
      </c>
      <c r="D480" s="147">
        <f>IFERROR(__xludf.DUMMYFUNCTION("""COMPUTED_VALUE"""),45763.0)</f>
        <v>45763</v>
      </c>
      <c r="E480" s="147">
        <f>IFERROR(__xludf.DUMMYFUNCTION("""COMPUTED_VALUE"""),45770.0)</f>
        <v>45770</v>
      </c>
      <c r="F480" s="147">
        <f>IFERROR(__xludf.DUMMYFUNCTION("""COMPUTED_VALUE"""),45791.0)</f>
        <v>45791</v>
      </c>
      <c r="G480" s="146" t="str">
        <f>IFERROR(__xludf.DUMMYFUNCTION("""COMPUTED_VALUE"""),"D39-1R")</f>
        <v>D39-1R</v>
      </c>
      <c r="H480" s="148"/>
      <c r="I480" s="148"/>
      <c r="J480" s="146"/>
      <c r="K480" s="146"/>
      <c r="L480" s="146">
        <f>IFERROR(__xludf.DUMMYFUNCTION("""COMPUTED_VALUE"""),52.0)</f>
        <v>52</v>
      </c>
      <c r="M480" s="146">
        <f>IFERROR(__xludf.DUMMYFUNCTION("""COMPUTED_VALUE"""),100.0)</f>
        <v>100</v>
      </c>
      <c r="N480" s="146">
        <f>IFERROR(__xludf.DUMMYFUNCTION("""COMPUTED_VALUE"""),25.0)</f>
        <v>25</v>
      </c>
      <c r="O480" s="146">
        <f>IFERROR(__xludf.DUMMYFUNCTION("""COMPUTED_VALUE"""),25.0)</f>
        <v>25</v>
      </c>
      <c r="P480" s="146">
        <f>IFERROR(__xludf.DUMMYFUNCTION("""COMPUTED_VALUE"""),295.0)</f>
        <v>295</v>
      </c>
      <c r="Q480" s="146"/>
      <c r="R480" s="146"/>
      <c r="T480" s="131" t="str">
        <f>IFERROR(__xludf.DUMMYFUNCTION("""COMPUTED_VALUE"""),"Y")</f>
        <v>Y</v>
      </c>
      <c r="U480" s="131" t="str">
        <f>IFERROR(__xludf.DUMMYFUNCTION("""COMPUTED_VALUE"""),"6")</f>
        <v>6</v>
      </c>
      <c r="V480" s="131" t="str">
        <f>IFERROR(__xludf.DUMMYFUNCTION("""COMPUTED_VALUE"""),"1231-1236")</f>
        <v>1231-1236</v>
      </c>
      <c r="W480" s="144">
        <f>IFERROR(__xludf.DUMMYFUNCTION("""COMPUTED_VALUE"""),45763.0)</f>
        <v>45763</v>
      </c>
      <c r="X480" s="144">
        <f>IFERROR(__xludf.DUMMYFUNCTION("""COMPUTED_VALUE"""),45770.0)</f>
        <v>45770</v>
      </c>
      <c r="Y480" s="144">
        <f>IFERROR(__xludf.DUMMYFUNCTION("""COMPUTED_VALUE"""),45791.0)</f>
        <v>45791</v>
      </c>
      <c r="Z480" s="131" t="str">
        <f>IFERROR(__xludf.DUMMYFUNCTION("""COMPUTED_VALUE"""),"D39-3R")</f>
        <v>D39-3R</v>
      </c>
      <c r="AA480" s="131"/>
      <c r="AB480" s="131"/>
      <c r="AC480" s="131"/>
      <c r="AD480" s="131"/>
      <c r="AE480" s="131">
        <f>IFERROR(__xludf.DUMMYFUNCTION("""COMPUTED_VALUE"""),458.0)</f>
        <v>458</v>
      </c>
      <c r="AF480" s="131">
        <f>IFERROR(__xludf.DUMMYFUNCTION("""COMPUTED_VALUE"""),476.0)</f>
        <v>476</v>
      </c>
      <c r="AG480" s="131">
        <f>IFERROR(__xludf.DUMMYFUNCTION("""COMPUTED_VALUE"""),10.0)</f>
        <v>10</v>
      </c>
      <c r="AH480" s="131">
        <f>IFERROR(__xludf.DUMMYFUNCTION("""COMPUTED_VALUE"""),10.0)</f>
        <v>10</v>
      </c>
      <c r="AI480" s="131">
        <f>IFERROR(__xludf.DUMMYFUNCTION("""COMPUTED_VALUE"""),295.0)</f>
        <v>295</v>
      </c>
      <c r="AJ480" s="131"/>
      <c r="AK480" s="131"/>
    </row>
    <row r="481">
      <c r="A481" s="145" t="str">
        <f>IFERROR(__xludf.DUMMYFUNCTION("""COMPUTED_VALUE"""),"Y")</f>
        <v>Y</v>
      </c>
      <c r="B481" s="146" t="str">
        <f>IFERROR(__xludf.DUMMYFUNCTION("""COMPUTED_VALUE"""),"6")</f>
        <v>6</v>
      </c>
      <c r="C481" s="146" t="str">
        <f>IFERROR(__xludf.DUMMYFUNCTION("""COMPUTED_VALUE"""),"1231-1236")</f>
        <v>1231-1236</v>
      </c>
      <c r="D481" s="147">
        <f>IFERROR(__xludf.DUMMYFUNCTION("""COMPUTED_VALUE"""),45763.0)</f>
        <v>45763</v>
      </c>
      <c r="E481" s="147">
        <f>IFERROR(__xludf.DUMMYFUNCTION("""COMPUTED_VALUE"""),45770.0)</f>
        <v>45770</v>
      </c>
      <c r="F481" s="147">
        <f>IFERROR(__xludf.DUMMYFUNCTION("""COMPUTED_VALUE"""),45791.0)</f>
        <v>45791</v>
      </c>
      <c r="G481" s="146" t="str">
        <f>IFERROR(__xludf.DUMMYFUNCTION("""COMPUTED_VALUE"""),"D39-3R")</f>
        <v>D39-3R</v>
      </c>
      <c r="H481" s="148"/>
      <c r="I481" s="148"/>
      <c r="J481" s="146"/>
      <c r="K481" s="146"/>
      <c r="L481" s="146">
        <f>IFERROR(__xludf.DUMMYFUNCTION("""COMPUTED_VALUE"""),458.0)</f>
        <v>458</v>
      </c>
      <c r="M481" s="146">
        <f>IFERROR(__xludf.DUMMYFUNCTION("""COMPUTED_VALUE"""),476.0)</f>
        <v>476</v>
      </c>
      <c r="N481" s="146">
        <f>IFERROR(__xludf.DUMMYFUNCTION("""COMPUTED_VALUE"""),10.0)</f>
        <v>10</v>
      </c>
      <c r="O481" s="146">
        <f>IFERROR(__xludf.DUMMYFUNCTION("""COMPUTED_VALUE"""),10.0)</f>
        <v>10</v>
      </c>
      <c r="P481" s="146">
        <f>IFERROR(__xludf.DUMMYFUNCTION("""COMPUTED_VALUE"""),295.0)</f>
        <v>295</v>
      </c>
      <c r="Q481" s="146"/>
      <c r="R481" s="146"/>
      <c r="T481" s="131" t="str">
        <f>IFERROR(__xludf.DUMMYFUNCTION("""COMPUTED_VALUE"""),"Y")</f>
        <v>Y</v>
      </c>
      <c r="U481" s="131" t="str">
        <f>IFERROR(__xludf.DUMMYFUNCTION("""COMPUTED_VALUE"""),"6")</f>
        <v>6</v>
      </c>
      <c r="V481" s="131" t="str">
        <f>IFERROR(__xludf.DUMMYFUNCTION("""COMPUTED_VALUE"""),"1234-1248")</f>
        <v>1234-1248</v>
      </c>
      <c r="W481" s="144">
        <f>IFERROR(__xludf.DUMMYFUNCTION("""COMPUTED_VALUE"""),45763.0)</f>
        <v>45763</v>
      </c>
      <c r="X481" s="144">
        <f>IFERROR(__xludf.DUMMYFUNCTION("""COMPUTED_VALUE"""),45770.0)</f>
        <v>45770</v>
      </c>
      <c r="Y481" s="144">
        <f>IFERROR(__xludf.DUMMYFUNCTION("""COMPUTED_VALUE"""),45791.0)</f>
        <v>45791</v>
      </c>
      <c r="Z481" s="131" t="str">
        <f>IFERROR(__xludf.DUMMYFUNCTION("""COMPUTED_VALUE"""),"D41-1L")</f>
        <v>D41-1L</v>
      </c>
      <c r="AA481" s="131">
        <f>IFERROR(__xludf.DUMMYFUNCTION("""COMPUTED_VALUE"""),211.0)</f>
        <v>211</v>
      </c>
      <c r="AB481" s="131">
        <f>IFERROR(__xludf.DUMMYFUNCTION("""COMPUTED_VALUE"""),313.0)</f>
        <v>313</v>
      </c>
      <c r="AC481" s="131">
        <f>IFERROR(__xludf.DUMMYFUNCTION("""COMPUTED_VALUE"""),52.0)</f>
        <v>52</v>
      </c>
      <c r="AD481" s="131">
        <f>IFERROR(__xludf.DUMMYFUNCTION("""COMPUTED_VALUE"""),52.0)</f>
        <v>52</v>
      </c>
      <c r="AE481" s="131">
        <f>IFERROR(__xludf.DUMMYFUNCTION("""COMPUTED_VALUE"""),42.0)</f>
        <v>42</v>
      </c>
      <c r="AF481" s="131">
        <f>IFERROR(__xludf.DUMMYFUNCTION("""COMPUTED_VALUE"""),56.0)</f>
        <v>56</v>
      </c>
      <c r="AG481" s="131">
        <f>IFERROR(__xludf.DUMMYFUNCTION("""COMPUTED_VALUE"""),8.0)</f>
        <v>8</v>
      </c>
      <c r="AH481" s="131">
        <f>IFERROR(__xludf.DUMMYFUNCTION("""COMPUTED_VALUE"""),8.0)</f>
        <v>8</v>
      </c>
      <c r="AI481" s="131">
        <f>IFERROR(__xludf.DUMMYFUNCTION("""COMPUTED_VALUE"""),296.0)</f>
        <v>296</v>
      </c>
      <c r="AJ481" s="131"/>
      <c r="AK481" s="131"/>
    </row>
    <row r="482">
      <c r="A482" s="145" t="str">
        <f>IFERROR(__xludf.DUMMYFUNCTION("""COMPUTED_VALUE"""),"Y")</f>
        <v>Y</v>
      </c>
      <c r="B482" s="146" t="str">
        <f>IFERROR(__xludf.DUMMYFUNCTION("""COMPUTED_VALUE"""),"6")</f>
        <v>6</v>
      </c>
      <c r="C482" s="146" t="str">
        <f>IFERROR(__xludf.DUMMYFUNCTION("""COMPUTED_VALUE"""),"1234-1248")</f>
        <v>1234-1248</v>
      </c>
      <c r="D482" s="147">
        <f>IFERROR(__xludf.DUMMYFUNCTION("""COMPUTED_VALUE"""),45763.0)</f>
        <v>45763</v>
      </c>
      <c r="E482" s="147">
        <f>IFERROR(__xludf.DUMMYFUNCTION("""COMPUTED_VALUE"""),45770.0)</f>
        <v>45770</v>
      </c>
      <c r="F482" s="147">
        <f>IFERROR(__xludf.DUMMYFUNCTION("""COMPUTED_VALUE"""),45791.0)</f>
        <v>45791</v>
      </c>
      <c r="G482" s="146" t="str">
        <f>IFERROR(__xludf.DUMMYFUNCTION("""COMPUTED_VALUE"""),"D41-1L")</f>
        <v>D41-1L</v>
      </c>
      <c r="H482" s="148">
        <f>IFERROR(__xludf.DUMMYFUNCTION("""COMPUTED_VALUE"""),211.0)</f>
        <v>211</v>
      </c>
      <c r="I482" s="148">
        <f>IFERROR(__xludf.DUMMYFUNCTION("""COMPUTED_VALUE"""),313.0)</f>
        <v>313</v>
      </c>
      <c r="J482" s="146">
        <f>IFERROR(__xludf.DUMMYFUNCTION("""COMPUTED_VALUE"""),52.0)</f>
        <v>52</v>
      </c>
      <c r="K482" s="146">
        <f>IFERROR(__xludf.DUMMYFUNCTION("""COMPUTED_VALUE"""),52.0)</f>
        <v>52</v>
      </c>
      <c r="L482" s="146">
        <f>IFERROR(__xludf.DUMMYFUNCTION("""COMPUTED_VALUE"""),42.0)</f>
        <v>42</v>
      </c>
      <c r="M482" s="146">
        <f>IFERROR(__xludf.DUMMYFUNCTION("""COMPUTED_VALUE"""),56.0)</f>
        <v>56</v>
      </c>
      <c r="N482" s="146">
        <f>IFERROR(__xludf.DUMMYFUNCTION("""COMPUTED_VALUE"""),8.0)</f>
        <v>8</v>
      </c>
      <c r="O482" s="146">
        <f>IFERROR(__xludf.DUMMYFUNCTION("""COMPUTED_VALUE"""),8.0)</f>
        <v>8</v>
      </c>
      <c r="P482" s="146">
        <f>IFERROR(__xludf.DUMMYFUNCTION("""COMPUTED_VALUE"""),296.0)</f>
        <v>296</v>
      </c>
      <c r="Q482" s="146"/>
      <c r="R482" s="146"/>
      <c r="T482" s="131" t="str">
        <f>IFERROR(__xludf.DUMMYFUNCTION("""COMPUTED_VALUE"""),"Y")</f>
        <v>Y</v>
      </c>
      <c r="U482" s="131" t="str">
        <f>IFERROR(__xludf.DUMMYFUNCTION("""COMPUTED_VALUE"""),"6")</f>
        <v>6</v>
      </c>
      <c r="V482" s="131" t="str">
        <f>IFERROR(__xludf.DUMMYFUNCTION("""COMPUTED_VALUE"""),"1234-1248")</f>
        <v>1234-1248</v>
      </c>
      <c r="W482" s="144">
        <f>IFERROR(__xludf.DUMMYFUNCTION("""COMPUTED_VALUE"""),45763.0)</f>
        <v>45763</v>
      </c>
      <c r="X482" s="144">
        <f>IFERROR(__xludf.DUMMYFUNCTION("""COMPUTED_VALUE"""),45770.0)</f>
        <v>45770</v>
      </c>
      <c r="Y482" s="144">
        <f>IFERROR(__xludf.DUMMYFUNCTION("""COMPUTED_VALUE"""),45791.0)</f>
        <v>45791</v>
      </c>
      <c r="Z482" s="131" t="str">
        <f>IFERROR(__xludf.DUMMYFUNCTION("""COMPUTED_VALUE"""),"D41-1L")</f>
        <v>D41-1L</v>
      </c>
      <c r="AA482" s="131"/>
      <c r="AB482" s="131"/>
      <c r="AC482" s="131"/>
      <c r="AD482" s="131"/>
      <c r="AE482" s="131">
        <f>IFERROR(__xludf.DUMMYFUNCTION("""COMPUTED_VALUE"""),60.0)</f>
        <v>60</v>
      </c>
      <c r="AF482" s="131">
        <f>IFERROR(__xludf.DUMMYFUNCTION("""COMPUTED_VALUE"""),106.0)</f>
        <v>106</v>
      </c>
      <c r="AG482" s="131">
        <f>IFERROR(__xludf.DUMMYFUNCTION("""COMPUTED_VALUE"""),24.0)</f>
        <v>24</v>
      </c>
      <c r="AH482" s="131">
        <f>IFERROR(__xludf.DUMMYFUNCTION("""COMPUTED_VALUE"""),24.0)</f>
        <v>24</v>
      </c>
      <c r="AI482" s="131">
        <f>IFERROR(__xludf.DUMMYFUNCTION("""COMPUTED_VALUE"""),296.0)</f>
        <v>296</v>
      </c>
      <c r="AJ482" s="131"/>
      <c r="AK482" s="131"/>
    </row>
    <row r="483">
      <c r="A483" s="145" t="str">
        <f>IFERROR(__xludf.DUMMYFUNCTION("""COMPUTED_VALUE"""),"Y")</f>
        <v>Y</v>
      </c>
      <c r="B483" s="146" t="str">
        <f>IFERROR(__xludf.DUMMYFUNCTION("""COMPUTED_VALUE"""),"6")</f>
        <v>6</v>
      </c>
      <c r="C483" s="146" t="str">
        <f>IFERROR(__xludf.DUMMYFUNCTION("""COMPUTED_VALUE"""),"1234-1248")</f>
        <v>1234-1248</v>
      </c>
      <c r="D483" s="147">
        <f>IFERROR(__xludf.DUMMYFUNCTION("""COMPUTED_VALUE"""),45763.0)</f>
        <v>45763</v>
      </c>
      <c r="E483" s="147">
        <f>IFERROR(__xludf.DUMMYFUNCTION("""COMPUTED_VALUE"""),45770.0)</f>
        <v>45770</v>
      </c>
      <c r="F483" s="147">
        <f>IFERROR(__xludf.DUMMYFUNCTION("""COMPUTED_VALUE"""),45791.0)</f>
        <v>45791</v>
      </c>
      <c r="G483" s="146" t="str">
        <f>IFERROR(__xludf.DUMMYFUNCTION("""COMPUTED_VALUE"""),"D41-1L")</f>
        <v>D41-1L</v>
      </c>
      <c r="H483" s="148"/>
      <c r="I483" s="148"/>
      <c r="J483" s="146"/>
      <c r="K483" s="146"/>
      <c r="L483" s="146">
        <f>IFERROR(__xludf.DUMMYFUNCTION("""COMPUTED_VALUE"""),60.0)</f>
        <v>60</v>
      </c>
      <c r="M483" s="146">
        <f>IFERROR(__xludf.DUMMYFUNCTION("""COMPUTED_VALUE"""),106.0)</f>
        <v>106</v>
      </c>
      <c r="N483" s="146">
        <f>IFERROR(__xludf.DUMMYFUNCTION("""COMPUTED_VALUE"""),24.0)</f>
        <v>24</v>
      </c>
      <c r="O483" s="146">
        <f>IFERROR(__xludf.DUMMYFUNCTION("""COMPUTED_VALUE"""),24.0)</f>
        <v>24</v>
      </c>
      <c r="P483" s="146">
        <f>IFERROR(__xludf.DUMMYFUNCTION("""COMPUTED_VALUE"""),296.0)</f>
        <v>296</v>
      </c>
      <c r="Q483" s="146"/>
      <c r="R483" s="146"/>
      <c r="T483" s="131" t="str">
        <f>IFERROR(__xludf.DUMMYFUNCTION("""COMPUTED_VALUE"""),"Y")</f>
        <v>Y</v>
      </c>
      <c r="U483" s="131" t="str">
        <f>IFERROR(__xludf.DUMMYFUNCTION("""COMPUTED_VALUE"""),"6")</f>
        <v>6</v>
      </c>
      <c r="V483" s="131" t="str">
        <f>IFERROR(__xludf.DUMMYFUNCTION("""COMPUTED_VALUE"""),"1234-1248")</f>
        <v>1234-1248</v>
      </c>
      <c r="W483" s="144">
        <f>IFERROR(__xludf.DUMMYFUNCTION("""COMPUTED_VALUE"""),45763.0)</f>
        <v>45763</v>
      </c>
      <c r="X483" s="144">
        <f>IFERROR(__xludf.DUMMYFUNCTION("""COMPUTED_VALUE"""),45770.0)</f>
        <v>45770</v>
      </c>
      <c r="Y483" s="144">
        <f>IFERROR(__xludf.DUMMYFUNCTION("""COMPUTED_VALUE"""),45791.0)</f>
        <v>45791</v>
      </c>
      <c r="Z483" s="131" t="str">
        <f>IFERROR(__xludf.DUMMYFUNCTION("""COMPUTED_VALUE"""),"D41-1L")</f>
        <v>D41-1L</v>
      </c>
      <c r="AA483" s="131"/>
      <c r="AB483" s="131"/>
      <c r="AC483" s="131"/>
      <c r="AD483" s="131"/>
      <c r="AE483" s="131">
        <f>IFERROR(__xludf.DUMMYFUNCTION("""COMPUTED_VALUE"""),110.0)</f>
        <v>110</v>
      </c>
      <c r="AF483" s="131">
        <f>IFERROR(__xludf.DUMMYFUNCTION("""COMPUTED_VALUE"""),156.0)</f>
        <v>156</v>
      </c>
      <c r="AG483" s="131">
        <f>IFERROR(__xludf.DUMMYFUNCTION("""COMPUTED_VALUE"""),24.0)</f>
        <v>24</v>
      </c>
      <c r="AH483" s="131">
        <f>IFERROR(__xludf.DUMMYFUNCTION("""COMPUTED_VALUE"""),24.0)</f>
        <v>24</v>
      </c>
      <c r="AI483" s="131">
        <f>IFERROR(__xludf.DUMMYFUNCTION("""COMPUTED_VALUE"""),296.0)</f>
        <v>296</v>
      </c>
      <c r="AJ483" s="131"/>
      <c r="AK483" s="131"/>
    </row>
    <row r="484">
      <c r="A484" s="145" t="str">
        <f>IFERROR(__xludf.DUMMYFUNCTION("""COMPUTED_VALUE"""),"Y")</f>
        <v>Y</v>
      </c>
      <c r="B484" s="146" t="str">
        <f>IFERROR(__xludf.DUMMYFUNCTION("""COMPUTED_VALUE"""),"6")</f>
        <v>6</v>
      </c>
      <c r="C484" s="146" t="str">
        <f>IFERROR(__xludf.DUMMYFUNCTION("""COMPUTED_VALUE"""),"1234-1248")</f>
        <v>1234-1248</v>
      </c>
      <c r="D484" s="147">
        <f>IFERROR(__xludf.DUMMYFUNCTION("""COMPUTED_VALUE"""),45763.0)</f>
        <v>45763</v>
      </c>
      <c r="E484" s="147">
        <f>IFERROR(__xludf.DUMMYFUNCTION("""COMPUTED_VALUE"""),45770.0)</f>
        <v>45770</v>
      </c>
      <c r="F484" s="147">
        <f>IFERROR(__xludf.DUMMYFUNCTION("""COMPUTED_VALUE"""),45791.0)</f>
        <v>45791</v>
      </c>
      <c r="G484" s="146" t="str">
        <f>IFERROR(__xludf.DUMMYFUNCTION("""COMPUTED_VALUE"""),"D41-1L")</f>
        <v>D41-1L</v>
      </c>
      <c r="H484" s="148"/>
      <c r="I484" s="148"/>
      <c r="J484" s="146"/>
      <c r="K484" s="146"/>
      <c r="L484" s="146">
        <f>IFERROR(__xludf.DUMMYFUNCTION("""COMPUTED_VALUE"""),110.0)</f>
        <v>110</v>
      </c>
      <c r="M484" s="146">
        <f>IFERROR(__xludf.DUMMYFUNCTION("""COMPUTED_VALUE"""),156.0)</f>
        <v>156</v>
      </c>
      <c r="N484" s="146">
        <f>IFERROR(__xludf.DUMMYFUNCTION("""COMPUTED_VALUE"""),24.0)</f>
        <v>24</v>
      </c>
      <c r="O484" s="146">
        <f>IFERROR(__xludf.DUMMYFUNCTION("""COMPUTED_VALUE"""),24.0)</f>
        <v>24</v>
      </c>
      <c r="P484" s="146">
        <f>IFERROR(__xludf.DUMMYFUNCTION("""COMPUTED_VALUE"""),296.0)</f>
        <v>296</v>
      </c>
      <c r="Q484" s="146"/>
      <c r="R484" s="146"/>
      <c r="T484" s="131" t="str">
        <f>IFERROR(__xludf.DUMMYFUNCTION("""COMPUTED_VALUE"""),"Y")</f>
        <v>Y</v>
      </c>
      <c r="U484" s="131" t="str">
        <f>IFERROR(__xludf.DUMMYFUNCTION("""COMPUTED_VALUE"""),"6")</f>
        <v>6</v>
      </c>
      <c r="V484" s="131" t="str">
        <f>IFERROR(__xludf.DUMMYFUNCTION("""COMPUTED_VALUE"""),"1234-1248")</f>
        <v>1234-1248</v>
      </c>
      <c r="W484" s="144">
        <f>IFERROR(__xludf.DUMMYFUNCTION("""COMPUTED_VALUE"""),45763.0)</f>
        <v>45763</v>
      </c>
      <c r="X484" s="144">
        <f>IFERROR(__xludf.DUMMYFUNCTION("""COMPUTED_VALUE"""),45770.0)</f>
        <v>45770</v>
      </c>
      <c r="Y484" s="144">
        <f>IFERROR(__xludf.DUMMYFUNCTION("""COMPUTED_VALUE"""),45791.0)</f>
        <v>45791</v>
      </c>
      <c r="Z484" s="131" t="str">
        <f>IFERROR(__xludf.DUMMYFUNCTION("""COMPUTED_VALUE"""),"D41-1L")</f>
        <v>D41-1L</v>
      </c>
      <c r="AA484" s="131"/>
      <c r="AB484" s="131"/>
      <c r="AC484" s="131"/>
      <c r="AD484" s="131"/>
      <c r="AE484" s="131">
        <f>IFERROR(__xludf.DUMMYFUNCTION("""COMPUTED_VALUE"""),160.0)</f>
        <v>160</v>
      </c>
      <c r="AF484" s="131">
        <f>IFERROR(__xludf.DUMMYFUNCTION("""COMPUTED_VALUE"""),200.0)</f>
        <v>200</v>
      </c>
      <c r="AG484" s="131">
        <f>IFERROR(__xludf.DUMMYFUNCTION("""COMPUTED_VALUE"""),21.0)</f>
        <v>21</v>
      </c>
      <c r="AH484" s="131">
        <f>IFERROR(__xludf.DUMMYFUNCTION("""COMPUTED_VALUE"""),21.0)</f>
        <v>21</v>
      </c>
      <c r="AI484" s="131">
        <f>IFERROR(__xludf.DUMMYFUNCTION("""COMPUTED_VALUE"""),296.0)</f>
        <v>296</v>
      </c>
      <c r="AJ484" s="131"/>
      <c r="AK484" s="131"/>
    </row>
    <row r="485">
      <c r="A485" s="145" t="str">
        <f>IFERROR(__xludf.DUMMYFUNCTION("""COMPUTED_VALUE"""),"Y")</f>
        <v>Y</v>
      </c>
      <c r="B485" s="146" t="str">
        <f>IFERROR(__xludf.DUMMYFUNCTION("""COMPUTED_VALUE"""),"6")</f>
        <v>6</v>
      </c>
      <c r="C485" s="146" t="str">
        <f>IFERROR(__xludf.DUMMYFUNCTION("""COMPUTED_VALUE"""),"1234-1248")</f>
        <v>1234-1248</v>
      </c>
      <c r="D485" s="147">
        <f>IFERROR(__xludf.DUMMYFUNCTION("""COMPUTED_VALUE"""),45763.0)</f>
        <v>45763</v>
      </c>
      <c r="E485" s="147">
        <f>IFERROR(__xludf.DUMMYFUNCTION("""COMPUTED_VALUE"""),45770.0)</f>
        <v>45770</v>
      </c>
      <c r="F485" s="147">
        <f>IFERROR(__xludf.DUMMYFUNCTION("""COMPUTED_VALUE"""),45791.0)</f>
        <v>45791</v>
      </c>
      <c r="G485" s="146" t="str">
        <f>IFERROR(__xludf.DUMMYFUNCTION("""COMPUTED_VALUE"""),"D41-1L")</f>
        <v>D41-1L</v>
      </c>
      <c r="H485" s="148"/>
      <c r="I485" s="148"/>
      <c r="J485" s="146"/>
      <c r="K485" s="146"/>
      <c r="L485" s="146">
        <f>IFERROR(__xludf.DUMMYFUNCTION("""COMPUTED_VALUE"""),160.0)</f>
        <v>160</v>
      </c>
      <c r="M485" s="146">
        <f>IFERROR(__xludf.DUMMYFUNCTION("""COMPUTED_VALUE"""),200.0)</f>
        <v>200</v>
      </c>
      <c r="N485" s="146">
        <f>IFERROR(__xludf.DUMMYFUNCTION("""COMPUTED_VALUE"""),21.0)</f>
        <v>21</v>
      </c>
      <c r="O485" s="146">
        <f>IFERROR(__xludf.DUMMYFUNCTION("""COMPUTED_VALUE"""),21.0)</f>
        <v>21</v>
      </c>
      <c r="P485" s="146">
        <f>IFERROR(__xludf.DUMMYFUNCTION("""COMPUTED_VALUE"""),296.0)</f>
        <v>296</v>
      </c>
      <c r="Q485" s="146"/>
      <c r="R485" s="146"/>
      <c r="T485" s="131" t="str">
        <f>IFERROR(__xludf.DUMMYFUNCTION("""COMPUTED_VALUE"""),"Y")</f>
        <v>Y</v>
      </c>
      <c r="U485" s="131" t="str">
        <f>IFERROR(__xludf.DUMMYFUNCTION("""COMPUTED_VALUE"""),"6")</f>
        <v>6</v>
      </c>
      <c r="V485" s="131"/>
      <c r="W485" s="144">
        <f>IFERROR(__xludf.DUMMYFUNCTION("""COMPUTED_VALUE"""),45764.0)</f>
        <v>45764</v>
      </c>
      <c r="X485" s="144">
        <f>IFERROR(__xludf.DUMMYFUNCTION("""COMPUTED_VALUE"""),45771.0)</f>
        <v>45771</v>
      </c>
      <c r="Y485" s="144">
        <f>IFERROR(__xludf.DUMMYFUNCTION("""COMPUTED_VALUE"""),45792.0)</f>
        <v>45792</v>
      </c>
      <c r="Z485" s="131" t="str">
        <f>IFERROR(__xludf.DUMMYFUNCTION("""COMPUTED_VALUE"""),"D40-4R")</f>
        <v>D40-4R</v>
      </c>
      <c r="AA485" s="131"/>
      <c r="AB485" s="131"/>
      <c r="AC485" s="131"/>
      <c r="AD485" s="131"/>
      <c r="AE485" s="131">
        <f>IFERROR(__xludf.DUMMYFUNCTION("""COMPUTED_VALUE"""),2.0)</f>
        <v>2</v>
      </c>
      <c r="AF485" s="131">
        <f>IFERROR(__xludf.DUMMYFUNCTION("""COMPUTED_VALUE"""),2.0)</f>
        <v>2</v>
      </c>
      <c r="AG485" s="131">
        <f>IFERROR(__xludf.DUMMYFUNCTION("""COMPUTED_VALUE"""),1.0)</f>
        <v>1</v>
      </c>
      <c r="AH485" s="131">
        <f>IFERROR(__xludf.DUMMYFUNCTION("""COMPUTED_VALUE"""),1.0)</f>
        <v>1</v>
      </c>
      <c r="AI485" s="131">
        <f>IFERROR(__xludf.DUMMYFUNCTION("""COMPUTED_VALUE"""),297.0)</f>
        <v>297</v>
      </c>
      <c r="AJ485" s="131"/>
      <c r="AK485" s="131"/>
    </row>
    <row r="486">
      <c r="A486" s="145" t="str">
        <f>IFERROR(__xludf.DUMMYFUNCTION("""COMPUTED_VALUE"""),"Y")</f>
        <v>Y</v>
      </c>
      <c r="B486" s="146" t="str">
        <f>IFERROR(__xludf.DUMMYFUNCTION("""COMPUTED_VALUE"""),"6")</f>
        <v>6</v>
      </c>
      <c r="C486" s="146"/>
      <c r="D486" s="147">
        <f>IFERROR(__xludf.DUMMYFUNCTION("""COMPUTED_VALUE"""),45764.0)</f>
        <v>45764</v>
      </c>
      <c r="E486" s="147">
        <f>IFERROR(__xludf.DUMMYFUNCTION("""COMPUTED_VALUE"""),45771.0)</f>
        <v>45771</v>
      </c>
      <c r="F486" s="147">
        <f>IFERROR(__xludf.DUMMYFUNCTION("""COMPUTED_VALUE"""),45792.0)</f>
        <v>45792</v>
      </c>
      <c r="G486" s="146" t="str">
        <f>IFERROR(__xludf.DUMMYFUNCTION("""COMPUTED_VALUE"""),"D40-4R")</f>
        <v>D40-4R</v>
      </c>
      <c r="H486" s="148"/>
      <c r="I486" s="148"/>
      <c r="J486" s="146"/>
      <c r="K486" s="146"/>
      <c r="L486" s="146">
        <f>IFERROR(__xludf.DUMMYFUNCTION("""COMPUTED_VALUE"""),2.0)</f>
        <v>2</v>
      </c>
      <c r="M486" s="146">
        <f>IFERROR(__xludf.DUMMYFUNCTION("""COMPUTED_VALUE"""),2.0)</f>
        <v>2</v>
      </c>
      <c r="N486" s="146">
        <f>IFERROR(__xludf.DUMMYFUNCTION("""COMPUTED_VALUE"""),1.0)</f>
        <v>1</v>
      </c>
      <c r="O486" s="146">
        <f>IFERROR(__xludf.DUMMYFUNCTION("""COMPUTED_VALUE"""),1.0)</f>
        <v>1</v>
      </c>
      <c r="P486" s="146">
        <f>IFERROR(__xludf.DUMMYFUNCTION("""COMPUTED_VALUE"""),297.0)</f>
        <v>297</v>
      </c>
      <c r="Q486" s="146"/>
      <c r="R486" s="146"/>
      <c r="T486" s="131" t="str">
        <f>IFERROR(__xludf.DUMMYFUNCTION("""COMPUTED_VALUE"""),"Y")</f>
        <v>Y</v>
      </c>
      <c r="U486" s="131" t="str">
        <f>IFERROR(__xludf.DUMMYFUNCTION("""COMPUTED_VALUE"""),"6")</f>
        <v>6</v>
      </c>
      <c r="V486" s="131"/>
      <c r="W486" s="144">
        <f>IFERROR(__xludf.DUMMYFUNCTION("""COMPUTED_VALUE"""),45764.0)</f>
        <v>45764</v>
      </c>
      <c r="X486" s="144">
        <f>IFERROR(__xludf.DUMMYFUNCTION("""COMPUTED_VALUE"""),45771.0)</f>
        <v>45771</v>
      </c>
      <c r="Y486" s="144">
        <f>IFERROR(__xludf.DUMMYFUNCTION("""COMPUTED_VALUE"""),45792.0)</f>
        <v>45792</v>
      </c>
      <c r="Z486" s="131" t="str">
        <f>IFERROR(__xludf.DUMMYFUNCTION("""COMPUTED_VALUE"""),"D40-4R")</f>
        <v>D40-4R</v>
      </c>
      <c r="AA486" s="131">
        <f>IFERROR(__xludf.DUMMYFUNCTION("""COMPUTED_VALUE"""),211.0)</f>
        <v>211</v>
      </c>
      <c r="AB486" s="131">
        <f>IFERROR(__xludf.DUMMYFUNCTION("""COMPUTED_VALUE"""),235.0)</f>
        <v>235</v>
      </c>
      <c r="AC486" s="131">
        <f>IFERROR(__xludf.DUMMYFUNCTION("""COMPUTED_VALUE"""),13.0)</f>
        <v>13</v>
      </c>
      <c r="AD486" s="131">
        <f>IFERROR(__xludf.DUMMYFUNCTION("""COMPUTED_VALUE"""),13.0)</f>
        <v>13</v>
      </c>
      <c r="AE486" s="131">
        <f>IFERROR(__xludf.DUMMYFUNCTION("""COMPUTED_VALUE"""),6.0)</f>
        <v>6</v>
      </c>
      <c r="AF486" s="131">
        <f>IFERROR(__xludf.DUMMYFUNCTION("""COMPUTED_VALUE"""),52.0)</f>
        <v>52</v>
      </c>
      <c r="AG486" s="131">
        <f>IFERROR(__xludf.DUMMYFUNCTION("""COMPUTED_VALUE"""),24.0)</f>
        <v>24</v>
      </c>
      <c r="AH486" s="131">
        <f>IFERROR(__xludf.DUMMYFUNCTION("""COMPUTED_VALUE"""),24.0)</f>
        <v>24</v>
      </c>
      <c r="AI486" s="131">
        <f>IFERROR(__xludf.DUMMYFUNCTION("""COMPUTED_VALUE"""),297.0)</f>
        <v>297</v>
      </c>
      <c r="AJ486" s="131"/>
      <c r="AK486" s="131"/>
    </row>
    <row r="487">
      <c r="A487" s="145" t="str">
        <f>IFERROR(__xludf.DUMMYFUNCTION("""COMPUTED_VALUE"""),"Y")</f>
        <v>Y</v>
      </c>
      <c r="B487" s="146" t="str">
        <f>IFERROR(__xludf.DUMMYFUNCTION("""COMPUTED_VALUE"""),"6")</f>
        <v>6</v>
      </c>
      <c r="C487" s="146"/>
      <c r="D487" s="147">
        <f>IFERROR(__xludf.DUMMYFUNCTION("""COMPUTED_VALUE"""),45764.0)</f>
        <v>45764</v>
      </c>
      <c r="E487" s="147">
        <f>IFERROR(__xludf.DUMMYFUNCTION("""COMPUTED_VALUE"""),45771.0)</f>
        <v>45771</v>
      </c>
      <c r="F487" s="147">
        <f>IFERROR(__xludf.DUMMYFUNCTION("""COMPUTED_VALUE"""),45792.0)</f>
        <v>45792</v>
      </c>
      <c r="G487" s="146" t="str">
        <f>IFERROR(__xludf.DUMMYFUNCTION("""COMPUTED_VALUE"""),"D40-4R")</f>
        <v>D40-4R</v>
      </c>
      <c r="H487" s="148">
        <f>IFERROR(__xludf.DUMMYFUNCTION("""COMPUTED_VALUE"""),211.0)</f>
        <v>211</v>
      </c>
      <c r="I487" s="148">
        <f>IFERROR(__xludf.DUMMYFUNCTION("""COMPUTED_VALUE"""),235.0)</f>
        <v>235</v>
      </c>
      <c r="J487" s="146">
        <f>IFERROR(__xludf.DUMMYFUNCTION("""COMPUTED_VALUE"""),13.0)</f>
        <v>13</v>
      </c>
      <c r="K487" s="146">
        <f>IFERROR(__xludf.DUMMYFUNCTION("""COMPUTED_VALUE"""),13.0)</f>
        <v>13</v>
      </c>
      <c r="L487" s="146">
        <f>IFERROR(__xludf.DUMMYFUNCTION("""COMPUTED_VALUE"""),6.0)</f>
        <v>6</v>
      </c>
      <c r="M487" s="146">
        <f>IFERROR(__xludf.DUMMYFUNCTION("""COMPUTED_VALUE"""),52.0)</f>
        <v>52</v>
      </c>
      <c r="N487" s="146">
        <f>IFERROR(__xludf.DUMMYFUNCTION("""COMPUTED_VALUE"""),24.0)</f>
        <v>24</v>
      </c>
      <c r="O487" s="146">
        <f>IFERROR(__xludf.DUMMYFUNCTION("""COMPUTED_VALUE"""),24.0)</f>
        <v>24</v>
      </c>
      <c r="P487" s="146">
        <f>IFERROR(__xludf.DUMMYFUNCTION("""COMPUTED_VALUE"""),297.0)</f>
        <v>297</v>
      </c>
      <c r="Q487" s="146"/>
      <c r="R487" s="146"/>
      <c r="T487" s="131" t="str">
        <f>IFERROR(__xludf.DUMMYFUNCTION("""COMPUTED_VALUE"""),"Y")</f>
        <v>Y</v>
      </c>
      <c r="U487" s="131" t="str">
        <f>IFERROR(__xludf.DUMMYFUNCTION("""COMPUTED_VALUE"""),"6")</f>
        <v>6</v>
      </c>
      <c r="V487" s="131"/>
      <c r="W487" s="144">
        <f>IFERROR(__xludf.DUMMYFUNCTION("""COMPUTED_VALUE"""),45764.0)</f>
        <v>45764</v>
      </c>
      <c r="X487" s="144">
        <f>IFERROR(__xludf.DUMMYFUNCTION("""COMPUTED_VALUE"""),45771.0)</f>
        <v>45771</v>
      </c>
      <c r="Y487" s="144">
        <f>IFERROR(__xludf.DUMMYFUNCTION("""COMPUTED_VALUE"""),45792.0)</f>
        <v>45792</v>
      </c>
      <c r="Z487" s="131" t="str">
        <f>IFERROR(__xludf.DUMMYFUNCTION("""COMPUTED_VALUE"""),"D40-4R")</f>
        <v>D40-4R</v>
      </c>
      <c r="AA487" s="131">
        <f>IFERROR(__xludf.DUMMYFUNCTION("""COMPUTED_VALUE"""),239.0)</f>
        <v>239</v>
      </c>
      <c r="AB487" s="131">
        <f>IFERROR(__xludf.DUMMYFUNCTION("""COMPUTED_VALUE"""),239.0)</f>
        <v>239</v>
      </c>
      <c r="AC487" s="131">
        <f>IFERROR(__xludf.DUMMYFUNCTION("""COMPUTED_VALUE"""),1.0)</f>
        <v>1</v>
      </c>
      <c r="AD487" s="131">
        <f>IFERROR(__xludf.DUMMYFUNCTION("""COMPUTED_VALUE"""),1.0)</f>
        <v>1</v>
      </c>
      <c r="AE487" s="131">
        <f>IFERROR(__xludf.DUMMYFUNCTION("""COMPUTED_VALUE"""),56.0)</f>
        <v>56</v>
      </c>
      <c r="AF487" s="131">
        <f>IFERROR(__xludf.DUMMYFUNCTION("""COMPUTED_VALUE"""),60.0)</f>
        <v>60</v>
      </c>
      <c r="AG487" s="131">
        <f>IFERROR(__xludf.DUMMYFUNCTION("""COMPUTED_VALUE"""),3.0)</f>
        <v>3</v>
      </c>
      <c r="AH487" s="131">
        <f>IFERROR(__xludf.DUMMYFUNCTION("""COMPUTED_VALUE"""),3.0)</f>
        <v>3</v>
      </c>
      <c r="AI487" s="131">
        <f>IFERROR(__xludf.DUMMYFUNCTION("""COMPUTED_VALUE"""),297.0)</f>
        <v>297</v>
      </c>
      <c r="AJ487" s="131"/>
      <c r="AK487" s="131"/>
    </row>
    <row r="488">
      <c r="A488" s="145" t="str">
        <f>IFERROR(__xludf.DUMMYFUNCTION("""COMPUTED_VALUE"""),"Y")</f>
        <v>Y</v>
      </c>
      <c r="B488" s="146" t="str">
        <f>IFERROR(__xludf.DUMMYFUNCTION("""COMPUTED_VALUE"""),"6")</f>
        <v>6</v>
      </c>
      <c r="C488" s="146"/>
      <c r="D488" s="147">
        <f>IFERROR(__xludf.DUMMYFUNCTION("""COMPUTED_VALUE"""),45764.0)</f>
        <v>45764</v>
      </c>
      <c r="E488" s="147">
        <f>IFERROR(__xludf.DUMMYFUNCTION("""COMPUTED_VALUE"""),45771.0)</f>
        <v>45771</v>
      </c>
      <c r="F488" s="147">
        <f>IFERROR(__xludf.DUMMYFUNCTION("""COMPUTED_VALUE"""),45792.0)</f>
        <v>45792</v>
      </c>
      <c r="G488" s="146" t="str">
        <f>IFERROR(__xludf.DUMMYFUNCTION("""COMPUTED_VALUE"""),"D40-4R")</f>
        <v>D40-4R</v>
      </c>
      <c r="H488" s="148">
        <f>IFERROR(__xludf.DUMMYFUNCTION("""COMPUTED_VALUE"""),239.0)</f>
        <v>239</v>
      </c>
      <c r="I488" s="148">
        <f>IFERROR(__xludf.DUMMYFUNCTION("""COMPUTED_VALUE"""),239.0)</f>
        <v>239</v>
      </c>
      <c r="J488" s="146">
        <f>IFERROR(__xludf.DUMMYFUNCTION("""COMPUTED_VALUE"""),1.0)</f>
        <v>1</v>
      </c>
      <c r="K488" s="146">
        <f>IFERROR(__xludf.DUMMYFUNCTION("""COMPUTED_VALUE"""),1.0)</f>
        <v>1</v>
      </c>
      <c r="L488" s="146">
        <f>IFERROR(__xludf.DUMMYFUNCTION("""COMPUTED_VALUE"""),56.0)</f>
        <v>56</v>
      </c>
      <c r="M488" s="146">
        <f>IFERROR(__xludf.DUMMYFUNCTION("""COMPUTED_VALUE"""),60.0)</f>
        <v>60</v>
      </c>
      <c r="N488" s="146">
        <f>IFERROR(__xludf.DUMMYFUNCTION("""COMPUTED_VALUE"""),3.0)</f>
        <v>3</v>
      </c>
      <c r="O488" s="146">
        <f>IFERROR(__xludf.DUMMYFUNCTION("""COMPUTED_VALUE"""),3.0)</f>
        <v>3</v>
      </c>
      <c r="P488" s="146">
        <f>IFERROR(__xludf.DUMMYFUNCTION("""COMPUTED_VALUE"""),297.0)</f>
        <v>297</v>
      </c>
      <c r="Q488" s="146"/>
      <c r="R488" s="146"/>
      <c r="T488" s="131" t="str">
        <f>IFERROR(__xludf.DUMMYFUNCTION("""COMPUTED_VALUE"""),"Y")</f>
        <v>Y</v>
      </c>
      <c r="U488" s="131" t="str">
        <f>IFERROR(__xludf.DUMMYFUNCTION("""COMPUTED_VALUE"""),"6")</f>
        <v>6</v>
      </c>
      <c r="V488" s="131"/>
      <c r="W488" s="144">
        <f>IFERROR(__xludf.DUMMYFUNCTION("""COMPUTED_VALUE"""),45764.0)</f>
        <v>45764</v>
      </c>
      <c r="X488" s="144">
        <f>IFERROR(__xludf.DUMMYFUNCTION("""COMPUTED_VALUE"""),45771.0)</f>
        <v>45771</v>
      </c>
      <c r="Y488" s="144">
        <f>IFERROR(__xludf.DUMMYFUNCTION("""COMPUTED_VALUE"""),45792.0)</f>
        <v>45792</v>
      </c>
      <c r="Z488" s="131" t="str">
        <f>IFERROR(__xludf.DUMMYFUNCTION("""COMPUTED_VALUE"""),"D40-4R")</f>
        <v>D40-4R</v>
      </c>
      <c r="AA488" s="131"/>
      <c r="AB488" s="131"/>
      <c r="AC488" s="131"/>
      <c r="AD488" s="131"/>
      <c r="AE488" s="131">
        <f>IFERROR(__xludf.DUMMYFUNCTION("""COMPUTED_VALUE"""),150.0)</f>
        <v>150</v>
      </c>
      <c r="AF488" s="131">
        <f>IFERROR(__xludf.DUMMYFUNCTION("""COMPUTED_VALUE"""),152.0)</f>
        <v>152</v>
      </c>
      <c r="AG488" s="131">
        <f>IFERROR(__xludf.DUMMYFUNCTION("""COMPUTED_VALUE"""),2.0)</f>
        <v>2</v>
      </c>
      <c r="AH488" s="131">
        <f>IFERROR(__xludf.DUMMYFUNCTION("""COMPUTED_VALUE"""),2.0)</f>
        <v>2</v>
      </c>
      <c r="AI488" s="131">
        <f>IFERROR(__xludf.DUMMYFUNCTION("""COMPUTED_VALUE"""),297.0)</f>
        <v>297</v>
      </c>
      <c r="AJ488" s="131"/>
      <c r="AK488" s="131"/>
    </row>
    <row r="489">
      <c r="A489" s="145" t="str">
        <f>IFERROR(__xludf.DUMMYFUNCTION("""COMPUTED_VALUE"""),"Y")</f>
        <v>Y</v>
      </c>
      <c r="B489" s="146" t="str">
        <f>IFERROR(__xludf.DUMMYFUNCTION("""COMPUTED_VALUE"""),"6")</f>
        <v>6</v>
      </c>
      <c r="C489" s="146"/>
      <c r="D489" s="147">
        <f>IFERROR(__xludf.DUMMYFUNCTION("""COMPUTED_VALUE"""),45764.0)</f>
        <v>45764</v>
      </c>
      <c r="E489" s="147">
        <f>IFERROR(__xludf.DUMMYFUNCTION("""COMPUTED_VALUE"""),45771.0)</f>
        <v>45771</v>
      </c>
      <c r="F489" s="147">
        <f>IFERROR(__xludf.DUMMYFUNCTION("""COMPUTED_VALUE"""),45792.0)</f>
        <v>45792</v>
      </c>
      <c r="G489" s="146" t="str">
        <f>IFERROR(__xludf.DUMMYFUNCTION("""COMPUTED_VALUE"""),"D40-4R")</f>
        <v>D40-4R</v>
      </c>
      <c r="H489" s="148"/>
      <c r="I489" s="148"/>
      <c r="J489" s="146"/>
      <c r="K489" s="146"/>
      <c r="L489" s="146">
        <f>IFERROR(__xludf.DUMMYFUNCTION("""COMPUTED_VALUE"""),150.0)</f>
        <v>150</v>
      </c>
      <c r="M489" s="146">
        <f>IFERROR(__xludf.DUMMYFUNCTION("""COMPUTED_VALUE"""),152.0)</f>
        <v>152</v>
      </c>
      <c r="N489" s="146">
        <f>IFERROR(__xludf.DUMMYFUNCTION("""COMPUTED_VALUE"""),2.0)</f>
        <v>2</v>
      </c>
      <c r="O489" s="146">
        <f>IFERROR(__xludf.DUMMYFUNCTION("""COMPUTED_VALUE"""),2.0)</f>
        <v>2</v>
      </c>
      <c r="P489" s="146">
        <f>IFERROR(__xludf.DUMMYFUNCTION("""COMPUTED_VALUE"""),297.0)</f>
        <v>297</v>
      </c>
      <c r="Q489" s="146"/>
      <c r="R489" s="146"/>
      <c r="T489" s="131" t="str">
        <f>IFERROR(__xludf.DUMMYFUNCTION("""COMPUTED_VALUE"""),"Y")</f>
        <v>Y</v>
      </c>
      <c r="U489" s="131" t="str">
        <f>IFERROR(__xludf.DUMMYFUNCTION("""COMPUTED_VALUE"""),"6")</f>
        <v>6</v>
      </c>
      <c r="V489" s="131"/>
      <c r="W489" s="144">
        <f>IFERROR(__xludf.DUMMYFUNCTION("""COMPUTED_VALUE"""),45764.0)</f>
        <v>45764</v>
      </c>
      <c r="X489" s="144">
        <f>IFERROR(__xludf.DUMMYFUNCTION("""COMPUTED_VALUE"""),45771.0)</f>
        <v>45771</v>
      </c>
      <c r="Y489" s="144">
        <f>IFERROR(__xludf.DUMMYFUNCTION("""COMPUTED_VALUE"""),45792.0)</f>
        <v>45792</v>
      </c>
      <c r="Z489" s="131" t="str">
        <f>IFERROR(__xludf.DUMMYFUNCTION("""COMPUTED_VALUE"""),"D40-4R")</f>
        <v>D40-4R</v>
      </c>
      <c r="AA489" s="131"/>
      <c r="AB489" s="131"/>
      <c r="AC489" s="131"/>
      <c r="AD489" s="131"/>
      <c r="AE489" s="131">
        <f>IFERROR(__xludf.DUMMYFUNCTION("""COMPUTED_VALUE"""),156.0)</f>
        <v>156</v>
      </c>
      <c r="AF489" s="131">
        <f>IFERROR(__xludf.DUMMYFUNCTION("""COMPUTED_VALUE"""),198.0)</f>
        <v>198</v>
      </c>
      <c r="AG489" s="131">
        <f>IFERROR(__xludf.DUMMYFUNCTION("""COMPUTED_VALUE"""),22.0)</f>
        <v>22</v>
      </c>
      <c r="AH489" s="131">
        <f>IFERROR(__xludf.DUMMYFUNCTION("""COMPUTED_VALUE"""),22.0)</f>
        <v>22</v>
      </c>
      <c r="AI489" s="131">
        <f>IFERROR(__xludf.DUMMYFUNCTION("""COMPUTED_VALUE"""),297.0)</f>
        <v>297</v>
      </c>
      <c r="AJ489" s="131"/>
      <c r="AK489" s="131"/>
    </row>
    <row r="490">
      <c r="A490" s="145" t="str">
        <f>IFERROR(__xludf.DUMMYFUNCTION("""COMPUTED_VALUE"""),"Y")</f>
        <v>Y</v>
      </c>
      <c r="B490" s="146" t="str">
        <f>IFERROR(__xludf.DUMMYFUNCTION("""COMPUTED_VALUE"""),"6")</f>
        <v>6</v>
      </c>
      <c r="C490" s="146"/>
      <c r="D490" s="147">
        <f>IFERROR(__xludf.DUMMYFUNCTION("""COMPUTED_VALUE"""),45764.0)</f>
        <v>45764</v>
      </c>
      <c r="E490" s="147">
        <f>IFERROR(__xludf.DUMMYFUNCTION("""COMPUTED_VALUE"""),45771.0)</f>
        <v>45771</v>
      </c>
      <c r="F490" s="147">
        <f>IFERROR(__xludf.DUMMYFUNCTION("""COMPUTED_VALUE"""),45792.0)</f>
        <v>45792</v>
      </c>
      <c r="G490" s="146" t="str">
        <f>IFERROR(__xludf.DUMMYFUNCTION("""COMPUTED_VALUE"""),"D40-4R")</f>
        <v>D40-4R</v>
      </c>
      <c r="H490" s="148"/>
      <c r="I490" s="148"/>
      <c r="J490" s="146"/>
      <c r="K490" s="146"/>
      <c r="L490" s="146">
        <f>IFERROR(__xludf.DUMMYFUNCTION("""COMPUTED_VALUE"""),156.0)</f>
        <v>156</v>
      </c>
      <c r="M490" s="146">
        <f>IFERROR(__xludf.DUMMYFUNCTION("""COMPUTED_VALUE"""),198.0)</f>
        <v>198</v>
      </c>
      <c r="N490" s="146">
        <f>IFERROR(__xludf.DUMMYFUNCTION("""COMPUTED_VALUE"""),22.0)</f>
        <v>22</v>
      </c>
      <c r="O490" s="146">
        <f>IFERROR(__xludf.DUMMYFUNCTION("""COMPUTED_VALUE"""),22.0)</f>
        <v>22</v>
      </c>
      <c r="P490" s="146">
        <f>IFERROR(__xludf.DUMMYFUNCTION("""COMPUTED_VALUE"""),297.0)</f>
        <v>297</v>
      </c>
      <c r="Q490" s="146"/>
      <c r="R490" s="146"/>
      <c r="T490" s="131" t="str">
        <f>IFERROR(__xludf.DUMMYFUNCTION("""COMPUTED_VALUE"""),"Y")</f>
        <v>Y</v>
      </c>
      <c r="U490" s="131" t="str">
        <f>IFERROR(__xludf.DUMMYFUNCTION("""COMPUTED_VALUE"""),"6")</f>
        <v>6</v>
      </c>
      <c r="V490" s="131"/>
      <c r="W490" s="144">
        <f>IFERROR(__xludf.DUMMYFUNCTION("""COMPUTED_VALUE"""),45764.0)</f>
        <v>45764</v>
      </c>
      <c r="X490" s="144">
        <f>IFERROR(__xludf.DUMMYFUNCTION("""COMPUTED_VALUE"""),45771.0)</f>
        <v>45771</v>
      </c>
      <c r="Y490" s="144">
        <f>IFERROR(__xludf.DUMMYFUNCTION("""COMPUTED_VALUE"""),45792.0)</f>
        <v>45792</v>
      </c>
      <c r="Z490" s="131" t="str">
        <f>IFERROR(__xludf.DUMMYFUNCTION("""COMPUTED_VALUE"""),"D39-1R")</f>
        <v>D39-1R</v>
      </c>
      <c r="AA490" s="131">
        <f>IFERROR(__xludf.DUMMYFUNCTION("""COMPUTED_VALUE"""),207.0)</f>
        <v>207</v>
      </c>
      <c r="AB490" s="131">
        <f>IFERROR(__xludf.DUMMYFUNCTION("""COMPUTED_VALUE"""),301.0)</f>
        <v>301</v>
      </c>
      <c r="AC490" s="131">
        <f>IFERROR(__xludf.DUMMYFUNCTION("""COMPUTED_VALUE"""),48.0)</f>
        <v>48</v>
      </c>
      <c r="AD490" s="131">
        <f>IFERROR(__xludf.DUMMYFUNCTION("""COMPUTED_VALUE"""),48.0)</f>
        <v>48</v>
      </c>
      <c r="AE490" s="131">
        <f>IFERROR(__xludf.DUMMYFUNCTION("""COMPUTED_VALUE"""),126.0)</f>
        <v>126</v>
      </c>
      <c r="AF490" s="131">
        <f>IFERROR(__xludf.DUMMYFUNCTION("""COMPUTED_VALUE"""),148.0)</f>
        <v>148</v>
      </c>
      <c r="AG490" s="131">
        <f>IFERROR(__xludf.DUMMYFUNCTION("""COMPUTED_VALUE"""),12.0)</f>
        <v>12</v>
      </c>
      <c r="AH490" s="131">
        <f>IFERROR(__xludf.DUMMYFUNCTION("""COMPUTED_VALUE"""),12.0)</f>
        <v>12</v>
      </c>
      <c r="AI490" s="131">
        <f>IFERROR(__xludf.DUMMYFUNCTION("""COMPUTED_VALUE"""),298.0)</f>
        <v>298</v>
      </c>
      <c r="AJ490" s="131"/>
      <c r="AK490" s="131"/>
    </row>
    <row r="491">
      <c r="A491" s="145" t="str">
        <f>IFERROR(__xludf.DUMMYFUNCTION("""COMPUTED_VALUE"""),"Y")</f>
        <v>Y</v>
      </c>
      <c r="B491" s="146" t="str">
        <f>IFERROR(__xludf.DUMMYFUNCTION("""COMPUTED_VALUE"""),"6")</f>
        <v>6</v>
      </c>
      <c r="C491" s="146"/>
      <c r="D491" s="147">
        <f>IFERROR(__xludf.DUMMYFUNCTION("""COMPUTED_VALUE"""),45764.0)</f>
        <v>45764</v>
      </c>
      <c r="E491" s="147">
        <f>IFERROR(__xludf.DUMMYFUNCTION("""COMPUTED_VALUE"""),45771.0)</f>
        <v>45771</v>
      </c>
      <c r="F491" s="147">
        <f>IFERROR(__xludf.DUMMYFUNCTION("""COMPUTED_VALUE"""),45792.0)</f>
        <v>45792</v>
      </c>
      <c r="G491" s="146" t="str">
        <f>IFERROR(__xludf.DUMMYFUNCTION("""COMPUTED_VALUE"""),"D39-1R")</f>
        <v>D39-1R</v>
      </c>
      <c r="H491" s="148">
        <f>IFERROR(__xludf.DUMMYFUNCTION("""COMPUTED_VALUE"""),207.0)</f>
        <v>207</v>
      </c>
      <c r="I491" s="148">
        <f>IFERROR(__xludf.DUMMYFUNCTION("""COMPUTED_VALUE"""),301.0)</f>
        <v>301</v>
      </c>
      <c r="J491" s="146">
        <f>IFERROR(__xludf.DUMMYFUNCTION("""COMPUTED_VALUE"""),48.0)</f>
        <v>48</v>
      </c>
      <c r="K491" s="146">
        <f>IFERROR(__xludf.DUMMYFUNCTION("""COMPUTED_VALUE"""),48.0)</f>
        <v>48</v>
      </c>
      <c r="L491" s="146">
        <f>IFERROR(__xludf.DUMMYFUNCTION("""COMPUTED_VALUE"""),126.0)</f>
        <v>126</v>
      </c>
      <c r="M491" s="146">
        <f>IFERROR(__xludf.DUMMYFUNCTION("""COMPUTED_VALUE"""),148.0)</f>
        <v>148</v>
      </c>
      <c r="N491" s="146">
        <f>IFERROR(__xludf.DUMMYFUNCTION("""COMPUTED_VALUE"""),12.0)</f>
        <v>12</v>
      </c>
      <c r="O491" s="146">
        <f>IFERROR(__xludf.DUMMYFUNCTION("""COMPUTED_VALUE"""),12.0)</f>
        <v>12</v>
      </c>
      <c r="P491" s="146">
        <f>IFERROR(__xludf.DUMMYFUNCTION("""COMPUTED_VALUE"""),298.0)</f>
        <v>298</v>
      </c>
      <c r="Q491" s="146"/>
      <c r="R491" s="146"/>
      <c r="T491" s="131" t="str">
        <f>IFERROR(__xludf.DUMMYFUNCTION("""COMPUTED_VALUE"""),"Y")</f>
        <v>Y</v>
      </c>
      <c r="U491" s="131" t="str">
        <f>IFERROR(__xludf.DUMMYFUNCTION("""COMPUTED_VALUE"""),"6")</f>
        <v>6</v>
      </c>
      <c r="V491" s="131"/>
      <c r="W491" s="144">
        <f>IFERROR(__xludf.DUMMYFUNCTION("""COMPUTED_VALUE"""),45764.0)</f>
        <v>45764</v>
      </c>
      <c r="X491" s="144">
        <f>IFERROR(__xludf.DUMMYFUNCTION("""COMPUTED_VALUE"""),45771.0)</f>
        <v>45771</v>
      </c>
      <c r="Y491" s="144">
        <f>IFERROR(__xludf.DUMMYFUNCTION("""COMPUTED_VALUE"""),45792.0)</f>
        <v>45792</v>
      </c>
      <c r="Z491" s="131" t="str">
        <f>IFERROR(__xludf.DUMMYFUNCTION("""COMPUTED_VALUE"""),"D39-1R")</f>
        <v>D39-1R</v>
      </c>
      <c r="AA491" s="131"/>
      <c r="AB491" s="131"/>
      <c r="AC491" s="131"/>
      <c r="AD491" s="131"/>
      <c r="AE491" s="131">
        <f>IFERROR(__xludf.DUMMYFUNCTION("""COMPUTED_VALUE"""),152.0)</f>
        <v>152</v>
      </c>
      <c r="AF491" s="131">
        <f>IFERROR(__xludf.DUMMYFUNCTION("""COMPUTED_VALUE"""),198.0)</f>
        <v>198</v>
      </c>
      <c r="AG491" s="131">
        <f>IFERROR(__xludf.DUMMYFUNCTION("""COMPUTED_VALUE"""),24.0)</f>
        <v>24</v>
      </c>
      <c r="AH491" s="131">
        <f>IFERROR(__xludf.DUMMYFUNCTION("""COMPUTED_VALUE"""),24.0)</f>
        <v>24</v>
      </c>
      <c r="AI491" s="131">
        <f>IFERROR(__xludf.DUMMYFUNCTION("""COMPUTED_VALUE"""),298.0)</f>
        <v>298</v>
      </c>
      <c r="AJ491" s="131"/>
      <c r="AK491" s="131"/>
    </row>
    <row r="492">
      <c r="A492" s="145" t="str">
        <f>IFERROR(__xludf.DUMMYFUNCTION("""COMPUTED_VALUE"""),"Y")</f>
        <v>Y</v>
      </c>
      <c r="B492" s="146" t="str">
        <f>IFERROR(__xludf.DUMMYFUNCTION("""COMPUTED_VALUE"""),"6")</f>
        <v>6</v>
      </c>
      <c r="C492" s="146"/>
      <c r="D492" s="147">
        <f>IFERROR(__xludf.DUMMYFUNCTION("""COMPUTED_VALUE"""),45764.0)</f>
        <v>45764</v>
      </c>
      <c r="E492" s="147">
        <f>IFERROR(__xludf.DUMMYFUNCTION("""COMPUTED_VALUE"""),45771.0)</f>
        <v>45771</v>
      </c>
      <c r="F492" s="147">
        <f>IFERROR(__xludf.DUMMYFUNCTION("""COMPUTED_VALUE"""),45792.0)</f>
        <v>45792</v>
      </c>
      <c r="G492" s="146" t="str">
        <f>IFERROR(__xludf.DUMMYFUNCTION("""COMPUTED_VALUE"""),"D39-1R")</f>
        <v>D39-1R</v>
      </c>
      <c r="H492" s="148"/>
      <c r="I492" s="148"/>
      <c r="J492" s="146"/>
      <c r="K492" s="146"/>
      <c r="L492" s="146">
        <f>IFERROR(__xludf.DUMMYFUNCTION("""COMPUTED_VALUE"""),152.0)</f>
        <v>152</v>
      </c>
      <c r="M492" s="146">
        <f>IFERROR(__xludf.DUMMYFUNCTION("""COMPUTED_VALUE"""),198.0)</f>
        <v>198</v>
      </c>
      <c r="N492" s="146">
        <f>IFERROR(__xludf.DUMMYFUNCTION("""COMPUTED_VALUE"""),24.0)</f>
        <v>24</v>
      </c>
      <c r="O492" s="146">
        <f>IFERROR(__xludf.DUMMYFUNCTION("""COMPUTED_VALUE"""),24.0)</f>
        <v>24</v>
      </c>
      <c r="P492" s="146">
        <f>IFERROR(__xludf.DUMMYFUNCTION("""COMPUTED_VALUE"""),298.0)</f>
        <v>298</v>
      </c>
      <c r="Q492" s="146"/>
      <c r="R492" s="146"/>
      <c r="T492" s="131" t="str">
        <f>IFERROR(__xludf.DUMMYFUNCTION("""COMPUTED_VALUE"""),"Y")</f>
        <v>Y</v>
      </c>
      <c r="U492" s="131" t="str">
        <f>IFERROR(__xludf.DUMMYFUNCTION("""COMPUTED_VALUE"""),"6")</f>
        <v>6</v>
      </c>
      <c r="V492" s="131"/>
      <c r="W492" s="144">
        <f>IFERROR(__xludf.DUMMYFUNCTION("""COMPUTED_VALUE"""),45764.0)</f>
        <v>45764</v>
      </c>
      <c r="X492" s="144">
        <f>IFERROR(__xludf.DUMMYFUNCTION("""COMPUTED_VALUE"""),45771.0)</f>
        <v>45771</v>
      </c>
      <c r="Y492" s="144">
        <f>IFERROR(__xludf.DUMMYFUNCTION("""COMPUTED_VALUE"""),45792.0)</f>
        <v>45792</v>
      </c>
      <c r="Z492" s="131" t="str">
        <f>IFERROR(__xludf.DUMMYFUNCTION("""COMPUTED_VALUE"""),"D39-1R")</f>
        <v>D39-1R</v>
      </c>
      <c r="AA492" s="131"/>
      <c r="AB492" s="131"/>
      <c r="AC492" s="131"/>
      <c r="AD492" s="131"/>
      <c r="AE492" s="131">
        <f>IFERROR(__xludf.DUMMYFUNCTION("""COMPUTED_VALUE"""),202.0)</f>
        <v>202</v>
      </c>
      <c r="AF492" s="131">
        <f>IFERROR(__xludf.DUMMYFUNCTION("""COMPUTED_VALUE"""),208.0)</f>
        <v>208</v>
      </c>
      <c r="AG492" s="131">
        <f>IFERROR(__xludf.DUMMYFUNCTION("""COMPUTED_VALUE"""),4.0)</f>
        <v>4</v>
      </c>
      <c r="AH492" s="131">
        <f>IFERROR(__xludf.DUMMYFUNCTION("""COMPUTED_VALUE"""),4.0)</f>
        <v>4</v>
      </c>
      <c r="AI492" s="131">
        <f>IFERROR(__xludf.DUMMYFUNCTION("""COMPUTED_VALUE"""),298.0)</f>
        <v>298</v>
      </c>
      <c r="AJ492" s="131"/>
      <c r="AK492" s="131"/>
    </row>
    <row r="493">
      <c r="A493" s="145" t="str">
        <f>IFERROR(__xludf.DUMMYFUNCTION("""COMPUTED_VALUE"""),"Y")</f>
        <v>Y</v>
      </c>
      <c r="B493" s="146" t="str">
        <f>IFERROR(__xludf.DUMMYFUNCTION("""COMPUTED_VALUE"""),"6")</f>
        <v>6</v>
      </c>
      <c r="C493" s="146"/>
      <c r="D493" s="147">
        <f>IFERROR(__xludf.DUMMYFUNCTION("""COMPUTED_VALUE"""),45764.0)</f>
        <v>45764</v>
      </c>
      <c r="E493" s="147">
        <f>IFERROR(__xludf.DUMMYFUNCTION("""COMPUTED_VALUE"""),45771.0)</f>
        <v>45771</v>
      </c>
      <c r="F493" s="147">
        <f>IFERROR(__xludf.DUMMYFUNCTION("""COMPUTED_VALUE"""),45792.0)</f>
        <v>45792</v>
      </c>
      <c r="G493" s="146" t="str">
        <f>IFERROR(__xludf.DUMMYFUNCTION("""COMPUTED_VALUE"""),"D39-1R")</f>
        <v>D39-1R</v>
      </c>
      <c r="H493" s="148"/>
      <c r="I493" s="148"/>
      <c r="J493" s="146"/>
      <c r="K493" s="146"/>
      <c r="L493" s="146">
        <f>IFERROR(__xludf.DUMMYFUNCTION("""COMPUTED_VALUE"""),202.0)</f>
        <v>202</v>
      </c>
      <c r="M493" s="146">
        <f>IFERROR(__xludf.DUMMYFUNCTION("""COMPUTED_VALUE"""),208.0)</f>
        <v>208</v>
      </c>
      <c r="N493" s="146">
        <f>IFERROR(__xludf.DUMMYFUNCTION("""COMPUTED_VALUE"""),4.0)</f>
        <v>4</v>
      </c>
      <c r="O493" s="146">
        <f>IFERROR(__xludf.DUMMYFUNCTION("""COMPUTED_VALUE"""),4.0)</f>
        <v>4</v>
      </c>
      <c r="P493" s="146">
        <f>IFERROR(__xludf.DUMMYFUNCTION("""COMPUTED_VALUE"""),298.0)</f>
        <v>298</v>
      </c>
      <c r="Q493" s="146"/>
      <c r="R493" s="146"/>
      <c r="T493" s="131" t="str">
        <f>IFERROR(__xludf.DUMMYFUNCTION("""COMPUTED_VALUE"""),"Y")</f>
        <v>Y</v>
      </c>
      <c r="U493" s="131" t="str">
        <f>IFERROR(__xludf.DUMMYFUNCTION("""COMPUTED_VALUE"""),"6")</f>
        <v>6</v>
      </c>
      <c r="V493" s="131"/>
      <c r="W493" s="144">
        <f>IFERROR(__xludf.DUMMYFUNCTION("""COMPUTED_VALUE"""),45764.0)</f>
        <v>45764</v>
      </c>
      <c r="X493" s="144">
        <f>IFERROR(__xludf.DUMMYFUNCTION("""COMPUTED_VALUE"""),45771.0)</f>
        <v>45771</v>
      </c>
      <c r="Y493" s="144">
        <f>IFERROR(__xludf.DUMMYFUNCTION("""COMPUTED_VALUE"""),45792.0)</f>
        <v>45792</v>
      </c>
      <c r="Z493" s="131" t="str">
        <f>IFERROR(__xludf.DUMMYFUNCTION("""COMPUTED_VALUE"""),"D41-1L")</f>
        <v>D41-1L</v>
      </c>
      <c r="AA493" s="131"/>
      <c r="AB493" s="131"/>
      <c r="AC493" s="131"/>
      <c r="AD493" s="131"/>
      <c r="AE493" s="131">
        <f>IFERROR(__xludf.DUMMYFUNCTION("""COMPUTED_VALUE"""),202.0)</f>
        <v>202</v>
      </c>
      <c r="AF493" s="131">
        <f>IFERROR(__xludf.DUMMYFUNCTION("""COMPUTED_VALUE"""),312.0)</f>
        <v>312</v>
      </c>
      <c r="AG493" s="131">
        <f>IFERROR(__xludf.DUMMYFUNCTION("""COMPUTED_VALUE"""),56.0)</f>
        <v>56</v>
      </c>
      <c r="AH493" s="131">
        <f>IFERROR(__xludf.DUMMYFUNCTION("""COMPUTED_VALUE"""),56.0)</f>
        <v>56</v>
      </c>
      <c r="AI493" s="131">
        <f>IFERROR(__xludf.DUMMYFUNCTION("""COMPUTED_VALUE"""),299.0)</f>
        <v>299</v>
      </c>
      <c r="AJ493" s="131"/>
      <c r="AK493" s="131"/>
    </row>
    <row r="494">
      <c r="A494" s="145" t="str">
        <f>IFERROR(__xludf.DUMMYFUNCTION("""COMPUTED_VALUE"""),"Y")</f>
        <v>Y</v>
      </c>
      <c r="B494" s="146" t="str">
        <f>IFERROR(__xludf.DUMMYFUNCTION("""COMPUTED_VALUE"""),"6")</f>
        <v>6</v>
      </c>
      <c r="C494" s="146"/>
      <c r="D494" s="147">
        <f>IFERROR(__xludf.DUMMYFUNCTION("""COMPUTED_VALUE"""),45764.0)</f>
        <v>45764</v>
      </c>
      <c r="E494" s="147">
        <f>IFERROR(__xludf.DUMMYFUNCTION("""COMPUTED_VALUE"""),45771.0)</f>
        <v>45771</v>
      </c>
      <c r="F494" s="147">
        <f>IFERROR(__xludf.DUMMYFUNCTION("""COMPUTED_VALUE"""),45792.0)</f>
        <v>45792</v>
      </c>
      <c r="G494" s="146" t="str">
        <f>IFERROR(__xludf.DUMMYFUNCTION("""COMPUTED_VALUE"""),"D41-1L")</f>
        <v>D41-1L</v>
      </c>
      <c r="H494" s="148"/>
      <c r="I494" s="148"/>
      <c r="J494" s="146"/>
      <c r="K494" s="146"/>
      <c r="L494" s="146">
        <f>IFERROR(__xludf.DUMMYFUNCTION("""COMPUTED_VALUE"""),202.0)</f>
        <v>202</v>
      </c>
      <c r="M494" s="146">
        <f>IFERROR(__xludf.DUMMYFUNCTION("""COMPUTED_VALUE"""),312.0)</f>
        <v>312</v>
      </c>
      <c r="N494" s="146">
        <f>IFERROR(__xludf.DUMMYFUNCTION("""COMPUTED_VALUE"""),56.0)</f>
        <v>56</v>
      </c>
      <c r="O494" s="146">
        <f>IFERROR(__xludf.DUMMYFUNCTION("""COMPUTED_VALUE"""),56.0)</f>
        <v>56</v>
      </c>
      <c r="P494" s="146">
        <f>IFERROR(__xludf.DUMMYFUNCTION("""COMPUTED_VALUE"""),299.0)</f>
        <v>299</v>
      </c>
      <c r="Q494" s="146"/>
      <c r="R494" s="146"/>
      <c r="T494" s="131" t="str">
        <f>IFERROR(__xludf.DUMMYFUNCTION("""COMPUTED_VALUE"""),"Y")</f>
        <v>Y</v>
      </c>
      <c r="U494" s="131" t="str">
        <f>IFERROR(__xludf.DUMMYFUNCTION("""COMPUTED_VALUE"""),"6")</f>
        <v>6</v>
      </c>
      <c r="V494" s="131"/>
      <c r="W494" s="144">
        <f>IFERROR(__xludf.DUMMYFUNCTION("""COMPUTED_VALUE"""),45764.0)</f>
        <v>45764</v>
      </c>
      <c r="X494" s="144">
        <f>IFERROR(__xludf.DUMMYFUNCTION("""COMPUTED_VALUE"""),45771.0)</f>
        <v>45771</v>
      </c>
      <c r="Y494" s="144">
        <f>IFERROR(__xludf.DUMMYFUNCTION("""COMPUTED_VALUE"""),45792.0)</f>
        <v>45792</v>
      </c>
      <c r="Z494" s="131" t="str">
        <f>IFERROR(__xludf.DUMMYFUNCTION("""COMPUTED_VALUE"""),"D41-2L")</f>
        <v>D41-2L</v>
      </c>
      <c r="AA494" s="131"/>
      <c r="AB494" s="131"/>
      <c r="AC494" s="131"/>
      <c r="AD494" s="131"/>
      <c r="AE494" s="131">
        <f>IFERROR(__xludf.DUMMYFUNCTION("""COMPUTED_VALUE"""),206.0)</f>
        <v>206</v>
      </c>
      <c r="AF494" s="131">
        <f>IFERROR(__xludf.DUMMYFUNCTION("""COMPUTED_VALUE"""),308.0)</f>
        <v>308</v>
      </c>
      <c r="AG494" s="131">
        <f>IFERROR(__xludf.DUMMYFUNCTION("""COMPUTED_VALUE"""),52.0)</f>
        <v>52</v>
      </c>
      <c r="AH494" s="131">
        <f>IFERROR(__xludf.DUMMYFUNCTION("""COMPUTED_VALUE"""),52.0)</f>
        <v>52</v>
      </c>
      <c r="AI494" s="131">
        <f>IFERROR(__xludf.DUMMYFUNCTION("""COMPUTED_VALUE"""),299.0)</f>
        <v>299</v>
      </c>
      <c r="AJ494" s="131"/>
      <c r="AK494" s="131"/>
    </row>
    <row r="495">
      <c r="A495" s="145" t="str">
        <f>IFERROR(__xludf.DUMMYFUNCTION("""COMPUTED_VALUE"""),"Y")</f>
        <v>Y</v>
      </c>
      <c r="B495" s="146" t="str">
        <f>IFERROR(__xludf.DUMMYFUNCTION("""COMPUTED_VALUE"""),"6")</f>
        <v>6</v>
      </c>
      <c r="C495" s="146"/>
      <c r="D495" s="147">
        <f>IFERROR(__xludf.DUMMYFUNCTION("""COMPUTED_VALUE"""),45764.0)</f>
        <v>45764</v>
      </c>
      <c r="E495" s="147">
        <f>IFERROR(__xludf.DUMMYFUNCTION("""COMPUTED_VALUE"""),45771.0)</f>
        <v>45771</v>
      </c>
      <c r="F495" s="147">
        <f>IFERROR(__xludf.DUMMYFUNCTION("""COMPUTED_VALUE"""),45792.0)</f>
        <v>45792</v>
      </c>
      <c r="G495" s="146" t="str">
        <f>IFERROR(__xludf.DUMMYFUNCTION("""COMPUTED_VALUE"""),"D41-2L")</f>
        <v>D41-2L</v>
      </c>
      <c r="H495" s="148"/>
      <c r="I495" s="148"/>
      <c r="J495" s="146"/>
      <c r="K495" s="146"/>
      <c r="L495" s="146">
        <f>IFERROR(__xludf.DUMMYFUNCTION("""COMPUTED_VALUE"""),206.0)</f>
        <v>206</v>
      </c>
      <c r="M495" s="146">
        <f>IFERROR(__xludf.DUMMYFUNCTION("""COMPUTED_VALUE"""),308.0)</f>
        <v>308</v>
      </c>
      <c r="N495" s="146">
        <f>IFERROR(__xludf.DUMMYFUNCTION("""COMPUTED_VALUE"""),52.0)</f>
        <v>52</v>
      </c>
      <c r="O495" s="146">
        <f>IFERROR(__xludf.DUMMYFUNCTION("""COMPUTED_VALUE"""),52.0)</f>
        <v>52</v>
      </c>
      <c r="P495" s="146">
        <f>IFERROR(__xludf.DUMMYFUNCTION("""COMPUTED_VALUE"""),299.0)</f>
        <v>299</v>
      </c>
      <c r="Q495" s="146"/>
      <c r="R495" s="146"/>
      <c r="T495" s="131" t="str">
        <f>IFERROR(__xludf.DUMMYFUNCTION("""COMPUTED_VALUE"""),"Y")</f>
        <v>Y</v>
      </c>
      <c r="U495" s="131" t="str">
        <f>IFERROR(__xludf.DUMMYFUNCTION("""COMPUTED_VALUE"""),"6")</f>
        <v>6</v>
      </c>
      <c r="V495" s="131"/>
      <c r="W495" s="144">
        <f>IFERROR(__xludf.DUMMYFUNCTION("""COMPUTED_VALUE"""),45766.0)</f>
        <v>45766</v>
      </c>
      <c r="X495" s="144">
        <f>IFERROR(__xludf.DUMMYFUNCTION("""COMPUTED_VALUE"""),45773.0)</f>
        <v>45773</v>
      </c>
      <c r="Y495" s="144">
        <f>IFERROR(__xludf.DUMMYFUNCTION("""COMPUTED_VALUE"""),45794.0)</f>
        <v>45794</v>
      </c>
      <c r="Z495" s="131" t="str">
        <f>IFERROR(__xludf.DUMMYFUNCTION("""COMPUTED_VALUE"""),"D39-1R")</f>
        <v>D39-1R</v>
      </c>
      <c r="AA495" s="131"/>
      <c r="AB495" s="131"/>
      <c r="AC495" s="131"/>
      <c r="AD495" s="131"/>
      <c r="AE495" s="131">
        <f>IFERROR(__xludf.DUMMYFUNCTION("""COMPUTED_VALUE"""),210.0)</f>
        <v>210</v>
      </c>
      <c r="AF495" s="131">
        <f>IFERROR(__xludf.DUMMYFUNCTION("""COMPUTED_VALUE"""),248.0)</f>
        <v>248</v>
      </c>
      <c r="AG495" s="131">
        <f>IFERROR(__xludf.DUMMYFUNCTION("""COMPUTED_VALUE"""),20.0)</f>
        <v>20</v>
      </c>
      <c r="AH495" s="131">
        <f>IFERROR(__xludf.DUMMYFUNCTION("""COMPUTED_VALUE"""),20.0)</f>
        <v>20</v>
      </c>
      <c r="AI495" s="131">
        <f>IFERROR(__xludf.DUMMYFUNCTION("""COMPUTED_VALUE"""),300.0)</f>
        <v>300</v>
      </c>
      <c r="AJ495" s="131"/>
      <c r="AK495" s="131"/>
    </row>
    <row r="496">
      <c r="A496" s="145" t="str">
        <f>IFERROR(__xludf.DUMMYFUNCTION("""COMPUTED_VALUE"""),"Y")</f>
        <v>Y</v>
      </c>
      <c r="B496" s="146" t="str">
        <f>IFERROR(__xludf.DUMMYFUNCTION("""COMPUTED_VALUE"""),"6")</f>
        <v>6</v>
      </c>
      <c r="C496" s="146"/>
      <c r="D496" s="147">
        <f>IFERROR(__xludf.DUMMYFUNCTION("""COMPUTED_VALUE"""),45766.0)</f>
        <v>45766</v>
      </c>
      <c r="E496" s="147">
        <f>IFERROR(__xludf.DUMMYFUNCTION("""COMPUTED_VALUE"""),45773.0)</f>
        <v>45773</v>
      </c>
      <c r="F496" s="147">
        <f>IFERROR(__xludf.DUMMYFUNCTION("""COMPUTED_VALUE"""),45794.0)</f>
        <v>45794</v>
      </c>
      <c r="G496" s="146" t="str">
        <f>IFERROR(__xludf.DUMMYFUNCTION("""COMPUTED_VALUE"""),"D39-1R")</f>
        <v>D39-1R</v>
      </c>
      <c r="H496" s="148"/>
      <c r="I496" s="148"/>
      <c r="J496" s="146"/>
      <c r="K496" s="146"/>
      <c r="L496" s="146">
        <f>IFERROR(__xludf.DUMMYFUNCTION("""COMPUTED_VALUE"""),210.0)</f>
        <v>210</v>
      </c>
      <c r="M496" s="146">
        <f>IFERROR(__xludf.DUMMYFUNCTION("""COMPUTED_VALUE"""),248.0)</f>
        <v>248</v>
      </c>
      <c r="N496" s="146">
        <f>IFERROR(__xludf.DUMMYFUNCTION("""COMPUTED_VALUE"""),20.0)</f>
        <v>20</v>
      </c>
      <c r="O496" s="146">
        <f>IFERROR(__xludf.DUMMYFUNCTION("""COMPUTED_VALUE"""),20.0)</f>
        <v>20</v>
      </c>
      <c r="P496" s="146">
        <f>IFERROR(__xludf.DUMMYFUNCTION("""COMPUTED_VALUE"""),300.0)</f>
        <v>300</v>
      </c>
      <c r="Q496" s="146"/>
      <c r="R496" s="146"/>
      <c r="T496" s="131" t="str">
        <f>IFERROR(__xludf.DUMMYFUNCTION("""COMPUTED_VALUE"""),"Y")</f>
        <v>Y</v>
      </c>
      <c r="U496" s="131" t="str">
        <f>IFERROR(__xludf.DUMMYFUNCTION("""COMPUTED_VALUE"""),"6")</f>
        <v>6</v>
      </c>
      <c r="V496" s="131"/>
      <c r="W496" s="144">
        <f>IFERROR(__xludf.DUMMYFUNCTION("""COMPUTED_VALUE"""),45766.0)</f>
        <v>45766</v>
      </c>
      <c r="X496" s="144">
        <f>IFERROR(__xludf.DUMMYFUNCTION("""COMPUTED_VALUE"""),45773.0)</f>
        <v>45773</v>
      </c>
      <c r="Y496" s="144">
        <f>IFERROR(__xludf.DUMMYFUNCTION("""COMPUTED_VALUE"""),45794.0)</f>
        <v>45794</v>
      </c>
      <c r="Z496" s="131" t="str">
        <f>IFERROR(__xludf.DUMMYFUNCTION("""COMPUTED_VALUE"""),"D39-1R")</f>
        <v>D39-1R</v>
      </c>
      <c r="AA496" s="131"/>
      <c r="AB496" s="131"/>
      <c r="AC496" s="131"/>
      <c r="AD496" s="131"/>
      <c r="AE496" s="131">
        <f>IFERROR(__xludf.DUMMYFUNCTION("""COMPUTED_VALUE"""),252.0)</f>
        <v>252</v>
      </c>
      <c r="AF496" s="131">
        <f>IFERROR(__xludf.DUMMYFUNCTION("""COMPUTED_VALUE"""),296.0)</f>
        <v>296</v>
      </c>
      <c r="AG496" s="131">
        <f>IFERROR(__xludf.DUMMYFUNCTION("""COMPUTED_VALUE"""),23.0)</f>
        <v>23</v>
      </c>
      <c r="AH496" s="131">
        <f>IFERROR(__xludf.DUMMYFUNCTION("""COMPUTED_VALUE"""),23.0)</f>
        <v>23</v>
      </c>
      <c r="AI496" s="131">
        <f>IFERROR(__xludf.DUMMYFUNCTION("""COMPUTED_VALUE"""),300.0)</f>
        <v>300</v>
      </c>
      <c r="AJ496" s="131"/>
      <c r="AK496" s="131"/>
    </row>
    <row r="497">
      <c r="A497" s="145" t="str">
        <f>IFERROR(__xludf.DUMMYFUNCTION("""COMPUTED_VALUE"""),"Y")</f>
        <v>Y</v>
      </c>
      <c r="B497" s="146" t="str">
        <f>IFERROR(__xludf.DUMMYFUNCTION("""COMPUTED_VALUE"""),"6")</f>
        <v>6</v>
      </c>
      <c r="C497" s="146"/>
      <c r="D497" s="147">
        <f>IFERROR(__xludf.DUMMYFUNCTION("""COMPUTED_VALUE"""),45766.0)</f>
        <v>45766</v>
      </c>
      <c r="E497" s="147">
        <f>IFERROR(__xludf.DUMMYFUNCTION("""COMPUTED_VALUE"""),45773.0)</f>
        <v>45773</v>
      </c>
      <c r="F497" s="147">
        <f>IFERROR(__xludf.DUMMYFUNCTION("""COMPUTED_VALUE"""),45794.0)</f>
        <v>45794</v>
      </c>
      <c r="G497" s="146" t="str">
        <f>IFERROR(__xludf.DUMMYFUNCTION("""COMPUTED_VALUE"""),"D39-1R")</f>
        <v>D39-1R</v>
      </c>
      <c r="H497" s="148"/>
      <c r="I497" s="148"/>
      <c r="J497" s="146"/>
      <c r="K497" s="146"/>
      <c r="L497" s="146">
        <f>IFERROR(__xludf.DUMMYFUNCTION("""COMPUTED_VALUE"""),252.0)</f>
        <v>252</v>
      </c>
      <c r="M497" s="146">
        <f>IFERROR(__xludf.DUMMYFUNCTION("""COMPUTED_VALUE"""),296.0)</f>
        <v>296</v>
      </c>
      <c r="N497" s="146">
        <f>IFERROR(__xludf.DUMMYFUNCTION("""COMPUTED_VALUE"""),23.0)</f>
        <v>23</v>
      </c>
      <c r="O497" s="146">
        <f>IFERROR(__xludf.DUMMYFUNCTION("""COMPUTED_VALUE"""),23.0)</f>
        <v>23</v>
      </c>
      <c r="P497" s="146">
        <f>IFERROR(__xludf.DUMMYFUNCTION("""COMPUTED_VALUE"""),300.0)</f>
        <v>300</v>
      </c>
      <c r="Q497" s="146"/>
      <c r="R497" s="146"/>
      <c r="T497" s="131" t="str">
        <f>IFERROR(__xludf.DUMMYFUNCTION("""COMPUTED_VALUE"""),"Y")</f>
        <v>Y</v>
      </c>
      <c r="U497" s="131" t="str">
        <f>IFERROR(__xludf.DUMMYFUNCTION("""COMPUTED_VALUE"""),"6")</f>
        <v>6</v>
      </c>
      <c r="V497" s="131"/>
      <c r="W497" s="144">
        <f>IFERROR(__xludf.DUMMYFUNCTION("""COMPUTED_VALUE"""),45766.0)</f>
        <v>45766</v>
      </c>
      <c r="X497" s="144">
        <f>IFERROR(__xludf.DUMMYFUNCTION("""COMPUTED_VALUE"""),45773.0)</f>
        <v>45773</v>
      </c>
      <c r="Y497" s="144">
        <f>IFERROR(__xludf.DUMMYFUNCTION("""COMPUTED_VALUE"""),45794.0)</f>
        <v>45794</v>
      </c>
      <c r="Z497" s="131" t="str">
        <f>IFERROR(__xludf.DUMMYFUNCTION("""COMPUTED_VALUE"""),"D39-1R")</f>
        <v>D39-1R</v>
      </c>
      <c r="AA497" s="131"/>
      <c r="AB497" s="131"/>
      <c r="AC497" s="131"/>
      <c r="AD497" s="131"/>
      <c r="AE497" s="131">
        <f>IFERROR(__xludf.DUMMYFUNCTION("""COMPUTED_VALUE"""),300.0)</f>
        <v>300</v>
      </c>
      <c r="AF497" s="131">
        <f>IFERROR(__xludf.DUMMYFUNCTION("""COMPUTED_VALUE"""),300.0)</f>
        <v>300</v>
      </c>
      <c r="AG497" s="131">
        <f>IFERROR(__xludf.DUMMYFUNCTION("""COMPUTED_VALUE"""),1.0)</f>
        <v>1</v>
      </c>
      <c r="AH497" s="131">
        <f>IFERROR(__xludf.DUMMYFUNCTION("""COMPUTED_VALUE"""),1.0)</f>
        <v>1</v>
      </c>
      <c r="AI497" s="131">
        <f>IFERROR(__xludf.DUMMYFUNCTION("""COMPUTED_VALUE"""),300.0)</f>
        <v>300</v>
      </c>
      <c r="AJ497" s="131"/>
      <c r="AK497" s="131"/>
    </row>
    <row r="498">
      <c r="A498" s="145" t="str">
        <f>IFERROR(__xludf.DUMMYFUNCTION("""COMPUTED_VALUE"""),"Y")</f>
        <v>Y</v>
      </c>
      <c r="B498" s="146" t="str">
        <f>IFERROR(__xludf.DUMMYFUNCTION("""COMPUTED_VALUE"""),"6")</f>
        <v>6</v>
      </c>
      <c r="C498" s="146"/>
      <c r="D498" s="147">
        <f>IFERROR(__xludf.DUMMYFUNCTION("""COMPUTED_VALUE"""),45766.0)</f>
        <v>45766</v>
      </c>
      <c r="E498" s="147">
        <f>IFERROR(__xludf.DUMMYFUNCTION("""COMPUTED_VALUE"""),45773.0)</f>
        <v>45773</v>
      </c>
      <c r="F498" s="147">
        <f>IFERROR(__xludf.DUMMYFUNCTION("""COMPUTED_VALUE"""),45794.0)</f>
        <v>45794</v>
      </c>
      <c r="G498" s="146" t="str">
        <f>IFERROR(__xludf.DUMMYFUNCTION("""COMPUTED_VALUE"""),"D39-1R")</f>
        <v>D39-1R</v>
      </c>
      <c r="H498" s="148"/>
      <c r="I498" s="148"/>
      <c r="J498" s="146"/>
      <c r="K498" s="146"/>
      <c r="L498" s="146">
        <f>IFERROR(__xludf.DUMMYFUNCTION("""COMPUTED_VALUE"""),300.0)</f>
        <v>300</v>
      </c>
      <c r="M498" s="146">
        <f>IFERROR(__xludf.DUMMYFUNCTION("""COMPUTED_VALUE"""),300.0)</f>
        <v>300</v>
      </c>
      <c r="N498" s="146">
        <f>IFERROR(__xludf.DUMMYFUNCTION("""COMPUTED_VALUE"""),1.0)</f>
        <v>1</v>
      </c>
      <c r="O498" s="146">
        <f>IFERROR(__xludf.DUMMYFUNCTION("""COMPUTED_VALUE"""),1.0)</f>
        <v>1</v>
      </c>
      <c r="P498" s="146">
        <f>IFERROR(__xludf.DUMMYFUNCTION("""COMPUTED_VALUE"""),300.0)</f>
        <v>300</v>
      </c>
      <c r="Q498" s="146"/>
      <c r="R498" s="146"/>
      <c r="T498" s="131" t="str">
        <f>IFERROR(__xludf.DUMMYFUNCTION("""COMPUTED_VALUE"""),"Y")</f>
        <v>Y</v>
      </c>
      <c r="U498" s="131" t="str">
        <f>IFERROR(__xludf.DUMMYFUNCTION("""COMPUTED_VALUE"""),"6")</f>
        <v>6</v>
      </c>
      <c r="V498" s="131"/>
      <c r="W498" s="144">
        <f>IFERROR(__xludf.DUMMYFUNCTION("""COMPUTED_VALUE"""),45766.0)</f>
        <v>45766</v>
      </c>
      <c r="X498" s="144">
        <f>IFERROR(__xludf.DUMMYFUNCTION("""COMPUTED_VALUE"""),45773.0)</f>
        <v>45773</v>
      </c>
      <c r="Y498" s="144">
        <f>IFERROR(__xludf.DUMMYFUNCTION("""COMPUTED_VALUE"""),45794.0)</f>
        <v>45794</v>
      </c>
      <c r="Z498" s="131" t="str">
        <f>IFERROR(__xludf.DUMMYFUNCTION("""COMPUTED_VALUE"""),"D39-2R")</f>
        <v>D39-2R</v>
      </c>
      <c r="AA498" s="131">
        <f>IFERROR(__xludf.DUMMYFUNCTION("""COMPUTED_VALUE"""),183.0)</f>
        <v>183</v>
      </c>
      <c r="AB498" s="131">
        <f>IFERROR(__xludf.DUMMYFUNCTION("""COMPUTED_VALUE"""),241.0)</f>
        <v>241</v>
      </c>
      <c r="AC498" s="131">
        <f>IFERROR(__xludf.DUMMYFUNCTION("""COMPUTED_VALUE"""),30.0)</f>
        <v>30</v>
      </c>
      <c r="AD498" s="131">
        <f>IFERROR(__xludf.DUMMYFUNCTION("""COMPUTED_VALUE"""),30.0)</f>
        <v>30</v>
      </c>
      <c r="AE498" s="131">
        <f>IFERROR(__xludf.DUMMYFUNCTION("""COMPUTED_VALUE"""),244.0)</f>
        <v>244</v>
      </c>
      <c r="AF498" s="131">
        <f>IFERROR(__xludf.DUMMYFUNCTION("""COMPUTED_VALUE"""),298.0)</f>
        <v>298</v>
      </c>
      <c r="AG498" s="131">
        <f>IFERROR(__xludf.DUMMYFUNCTION("""COMPUTED_VALUE"""),28.0)</f>
        <v>28</v>
      </c>
      <c r="AH498" s="131">
        <f>IFERROR(__xludf.DUMMYFUNCTION("""COMPUTED_VALUE"""),28.0)</f>
        <v>28</v>
      </c>
      <c r="AI498" s="131">
        <f>IFERROR(__xludf.DUMMYFUNCTION("""COMPUTED_VALUE"""),300.0)</f>
        <v>300</v>
      </c>
      <c r="AJ498" s="131"/>
      <c r="AK498" s="131"/>
    </row>
    <row r="499">
      <c r="A499" s="145" t="str">
        <f>IFERROR(__xludf.DUMMYFUNCTION("""COMPUTED_VALUE"""),"Y")</f>
        <v>Y</v>
      </c>
      <c r="B499" s="146" t="str">
        <f>IFERROR(__xludf.DUMMYFUNCTION("""COMPUTED_VALUE"""),"6")</f>
        <v>6</v>
      </c>
      <c r="C499" s="146"/>
      <c r="D499" s="147">
        <f>IFERROR(__xludf.DUMMYFUNCTION("""COMPUTED_VALUE"""),45766.0)</f>
        <v>45766</v>
      </c>
      <c r="E499" s="147">
        <f>IFERROR(__xludf.DUMMYFUNCTION("""COMPUTED_VALUE"""),45773.0)</f>
        <v>45773</v>
      </c>
      <c r="F499" s="147">
        <f>IFERROR(__xludf.DUMMYFUNCTION("""COMPUTED_VALUE"""),45794.0)</f>
        <v>45794</v>
      </c>
      <c r="G499" s="146" t="str">
        <f>IFERROR(__xludf.DUMMYFUNCTION("""COMPUTED_VALUE"""),"D39-2R")</f>
        <v>D39-2R</v>
      </c>
      <c r="H499" s="148">
        <f>IFERROR(__xludf.DUMMYFUNCTION("""COMPUTED_VALUE"""),183.0)</f>
        <v>183</v>
      </c>
      <c r="I499" s="148">
        <f>IFERROR(__xludf.DUMMYFUNCTION("""COMPUTED_VALUE"""),241.0)</f>
        <v>241</v>
      </c>
      <c r="J499" s="146">
        <f>IFERROR(__xludf.DUMMYFUNCTION("""COMPUTED_VALUE"""),30.0)</f>
        <v>30</v>
      </c>
      <c r="K499" s="146">
        <f>IFERROR(__xludf.DUMMYFUNCTION("""COMPUTED_VALUE"""),30.0)</f>
        <v>30</v>
      </c>
      <c r="L499" s="146">
        <f>IFERROR(__xludf.DUMMYFUNCTION("""COMPUTED_VALUE"""),244.0)</f>
        <v>244</v>
      </c>
      <c r="M499" s="146">
        <f>IFERROR(__xludf.DUMMYFUNCTION("""COMPUTED_VALUE"""),298.0)</f>
        <v>298</v>
      </c>
      <c r="N499" s="146">
        <f>IFERROR(__xludf.DUMMYFUNCTION("""COMPUTED_VALUE"""),28.0)</f>
        <v>28</v>
      </c>
      <c r="O499" s="146">
        <f>IFERROR(__xludf.DUMMYFUNCTION("""COMPUTED_VALUE"""),28.0)</f>
        <v>28</v>
      </c>
      <c r="P499" s="146">
        <f>IFERROR(__xludf.DUMMYFUNCTION("""COMPUTED_VALUE"""),300.0)</f>
        <v>300</v>
      </c>
      <c r="Q499" s="146"/>
      <c r="R499" s="146"/>
      <c r="T499" s="131" t="str">
        <f>IFERROR(__xludf.DUMMYFUNCTION("""COMPUTED_VALUE"""),"Y")</f>
        <v>Y</v>
      </c>
      <c r="U499" s="131" t="str">
        <f>IFERROR(__xludf.DUMMYFUNCTION("""COMPUTED_VALUE"""),"7")</f>
        <v>7</v>
      </c>
      <c r="V499" s="131" t="str">
        <f>IFERROR(__xludf.DUMMYFUNCTION("""COMPUTED_VALUE"""),"43-48")</f>
        <v>43-48</v>
      </c>
      <c r="W499" s="144">
        <f>IFERROR(__xludf.DUMMYFUNCTION("""COMPUTED_VALUE"""),45767.0)</f>
        <v>45767</v>
      </c>
      <c r="X499" s="144">
        <f>IFERROR(__xludf.DUMMYFUNCTION("""COMPUTED_VALUE"""),45774.0)</f>
        <v>45774</v>
      </c>
      <c r="Y499" s="144">
        <f>IFERROR(__xludf.DUMMYFUNCTION("""COMPUTED_VALUE"""),45795.0)</f>
        <v>45795</v>
      </c>
      <c r="Z499" s="131" t="str">
        <f>IFERROR(__xludf.DUMMYFUNCTION("""COMPUTED_VALUE"""),"D40-4L")</f>
        <v>D40-4L</v>
      </c>
      <c r="AA499" s="131"/>
      <c r="AB499" s="131"/>
      <c r="AC499" s="131"/>
      <c r="AD499" s="131"/>
      <c r="AE499" s="131">
        <f>IFERROR(__xludf.DUMMYFUNCTION("""COMPUTED_VALUE"""),2.0)</f>
        <v>2</v>
      </c>
      <c r="AF499" s="131">
        <f>IFERROR(__xludf.DUMMYFUNCTION("""COMPUTED_VALUE"""),12.0)</f>
        <v>12</v>
      </c>
      <c r="AG499" s="131">
        <f>IFERROR(__xludf.DUMMYFUNCTION("""COMPUTED_VALUE"""),6.0)</f>
        <v>6</v>
      </c>
      <c r="AH499" s="131">
        <f>IFERROR(__xludf.DUMMYFUNCTION("""COMPUTED_VALUE"""),6.0)</f>
        <v>6</v>
      </c>
      <c r="AI499" s="131">
        <f>IFERROR(__xludf.DUMMYFUNCTION("""COMPUTED_VALUE"""),301.0)</f>
        <v>301</v>
      </c>
      <c r="AJ499" s="131"/>
      <c r="AK499" s="131"/>
    </row>
    <row r="500">
      <c r="A500" s="145" t="str">
        <f>IFERROR(__xludf.DUMMYFUNCTION("""COMPUTED_VALUE"""),"Y")</f>
        <v>Y</v>
      </c>
      <c r="B500" s="146" t="str">
        <f>IFERROR(__xludf.DUMMYFUNCTION("""COMPUTED_VALUE"""),"7")</f>
        <v>7</v>
      </c>
      <c r="C500" s="146" t="str">
        <f>IFERROR(__xludf.DUMMYFUNCTION("""COMPUTED_VALUE"""),"43-48")</f>
        <v>43-48</v>
      </c>
      <c r="D500" s="147">
        <f>IFERROR(__xludf.DUMMYFUNCTION("""COMPUTED_VALUE"""),45767.0)</f>
        <v>45767</v>
      </c>
      <c r="E500" s="147">
        <f>IFERROR(__xludf.DUMMYFUNCTION("""COMPUTED_VALUE"""),45774.0)</f>
        <v>45774</v>
      </c>
      <c r="F500" s="147">
        <f>IFERROR(__xludf.DUMMYFUNCTION("""COMPUTED_VALUE"""),45795.0)</f>
        <v>45795</v>
      </c>
      <c r="G500" s="146" t="str">
        <f>IFERROR(__xludf.DUMMYFUNCTION("""COMPUTED_VALUE"""),"D40-4L")</f>
        <v>D40-4L</v>
      </c>
      <c r="H500" s="148"/>
      <c r="I500" s="148"/>
      <c r="J500" s="146"/>
      <c r="K500" s="146"/>
      <c r="L500" s="146">
        <f>IFERROR(__xludf.DUMMYFUNCTION("""COMPUTED_VALUE"""),2.0)</f>
        <v>2</v>
      </c>
      <c r="M500" s="146">
        <f>IFERROR(__xludf.DUMMYFUNCTION("""COMPUTED_VALUE"""),12.0)</f>
        <v>12</v>
      </c>
      <c r="N500" s="146">
        <f>IFERROR(__xludf.DUMMYFUNCTION("""COMPUTED_VALUE"""),6.0)</f>
        <v>6</v>
      </c>
      <c r="O500" s="146">
        <f>IFERROR(__xludf.DUMMYFUNCTION("""COMPUTED_VALUE"""),6.0)</f>
        <v>6</v>
      </c>
      <c r="P500" s="146">
        <f>IFERROR(__xludf.DUMMYFUNCTION("""COMPUTED_VALUE"""),301.0)</f>
        <v>301</v>
      </c>
      <c r="Q500" s="146"/>
      <c r="R500" s="146"/>
      <c r="T500" s="131" t="str">
        <f>IFERROR(__xludf.DUMMYFUNCTION("""COMPUTED_VALUE"""),"Y")</f>
        <v>Y</v>
      </c>
      <c r="U500" s="131" t="str">
        <f>IFERROR(__xludf.DUMMYFUNCTION("""COMPUTED_VALUE"""),"7")</f>
        <v>7</v>
      </c>
      <c r="V500" s="131" t="str">
        <f>IFERROR(__xludf.DUMMYFUNCTION("""COMPUTED_VALUE"""),"43-48")</f>
        <v>43-48</v>
      </c>
      <c r="W500" s="144">
        <f>IFERROR(__xludf.DUMMYFUNCTION("""COMPUTED_VALUE"""),45767.0)</f>
        <v>45767</v>
      </c>
      <c r="X500" s="144">
        <f>IFERROR(__xludf.DUMMYFUNCTION("""COMPUTED_VALUE"""),45774.0)</f>
        <v>45774</v>
      </c>
      <c r="Y500" s="144">
        <f>IFERROR(__xludf.DUMMYFUNCTION("""COMPUTED_VALUE"""),45795.0)</f>
        <v>45795</v>
      </c>
      <c r="Z500" s="131" t="str">
        <f>IFERROR(__xludf.DUMMYFUNCTION("""COMPUTED_VALUE"""),"D40-2R")</f>
        <v>D40-2R</v>
      </c>
      <c r="AA500" s="131">
        <f>IFERROR(__xludf.DUMMYFUNCTION("""COMPUTED_VALUE"""),171.0)</f>
        <v>171</v>
      </c>
      <c r="AB500" s="131">
        <f>IFERROR(__xludf.DUMMYFUNCTION("""COMPUTED_VALUE"""),199.0)</f>
        <v>199</v>
      </c>
      <c r="AC500" s="131">
        <f>IFERROR(__xludf.DUMMYFUNCTION("""COMPUTED_VALUE"""),15.0)</f>
        <v>15</v>
      </c>
      <c r="AD500" s="131">
        <f>IFERROR(__xludf.DUMMYFUNCTION("""COMPUTED_VALUE"""),15.0)</f>
        <v>15</v>
      </c>
      <c r="AE500" s="131">
        <f>IFERROR(__xludf.DUMMYFUNCTION("""COMPUTED_VALUE"""),202.0)</f>
        <v>202</v>
      </c>
      <c r="AF500" s="131">
        <f>IFERROR(__xludf.DUMMYFUNCTION("""COMPUTED_VALUE"""),204.0)</f>
        <v>204</v>
      </c>
      <c r="AG500" s="131">
        <f>IFERROR(__xludf.DUMMYFUNCTION("""COMPUTED_VALUE"""),2.0)</f>
        <v>2</v>
      </c>
      <c r="AH500" s="131">
        <f>IFERROR(__xludf.DUMMYFUNCTION("""COMPUTED_VALUE"""),2.0)</f>
        <v>2</v>
      </c>
      <c r="AI500" s="131">
        <f>IFERROR(__xludf.DUMMYFUNCTION("""COMPUTED_VALUE"""),301.0)</f>
        <v>301</v>
      </c>
      <c r="AJ500" s="131"/>
      <c r="AK500" s="131"/>
    </row>
    <row r="501">
      <c r="A501" s="145" t="str">
        <f>IFERROR(__xludf.DUMMYFUNCTION("""COMPUTED_VALUE"""),"Y")</f>
        <v>Y</v>
      </c>
      <c r="B501" s="146" t="str">
        <f>IFERROR(__xludf.DUMMYFUNCTION("""COMPUTED_VALUE"""),"7")</f>
        <v>7</v>
      </c>
      <c r="C501" s="146" t="str">
        <f>IFERROR(__xludf.DUMMYFUNCTION("""COMPUTED_VALUE"""),"43-48")</f>
        <v>43-48</v>
      </c>
      <c r="D501" s="147">
        <f>IFERROR(__xludf.DUMMYFUNCTION("""COMPUTED_VALUE"""),45767.0)</f>
        <v>45767</v>
      </c>
      <c r="E501" s="147">
        <f>IFERROR(__xludf.DUMMYFUNCTION("""COMPUTED_VALUE"""),45774.0)</f>
        <v>45774</v>
      </c>
      <c r="F501" s="147">
        <f>IFERROR(__xludf.DUMMYFUNCTION("""COMPUTED_VALUE"""),45795.0)</f>
        <v>45795</v>
      </c>
      <c r="G501" s="146" t="str">
        <f>IFERROR(__xludf.DUMMYFUNCTION("""COMPUTED_VALUE"""),"D40-2R")</f>
        <v>D40-2R</v>
      </c>
      <c r="H501" s="148">
        <f>IFERROR(__xludf.DUMMYFUNCTION("""COMPUTED_VALUE"""),171.0)</f>
        <v>171</v>
      </c>
      <c r="I501" s="148">
        <f>IFERROR(__xludf.DUMMYFUNCTION("""COMPUTED_VALUE"""),199.0)</f>
        <v>199</v>
      </c>
      <c r="J501" s="146">
        <f>IFERROR(__xludf.DUMMYFUNCTION("""COMPUTED_VALUE"""),15.0)</f>
        <v>15</v>
      </c>
      <c r="K501" s="146">
        <f>IFERROR(__xludf.DUMMYFUNCTION("""COMPUTED_VALUE"""),15.0)</f>
        <v>15</v>
      </c>
      <c r="L501" s="146">
        <f>IFERROR(__xludf.DUMMYFUNCTION("""COMPUTED_VALUE"""),202.0)</f>
        <v>202</v>
      </c>
      <c r="M501" s="146">
        <f>IFERROR(__xludf.DUMMYFUNCTION("""COMPUTED_VALUE"""),204.0)</f>
        <v>204</v>
      </c>
      <c r="N501" s="146">
        <f>IFERROR(__xludf.DUMMYFUNCTION("""COMPUTED_VALUE"""),2.0)</f>
        <v>2</v>
      </c>
      <c r="O501" s="146">
        <f>IFERROR(__xludf.DUMMYFUNCTION("""COMPUTED_VALUE"""),2.0)</f>
        <v>2</v>
      </c>
      <c r="P501" s="146">
        <f>IFERROR(__xludf.DUMMYFUNCTION("""COMPUTED_VALUE"""),301.0)</f>
        <v>301</v>
      </c>
      <c r="Q501" s="146"/>
      <c r="R501" s="146"/>
      <c r="T501" s="131" t="str">
        <f>IFERROR(__xludf.DUMMYFUNCTION("""COMPUTED_VALUE"""),"Y")</f>
        <v>Y</v>
      </c>
      <c r="U501" s="131" t="str">
        <f>IFERROR(__xludf.DUMMYFUNCTION("""COMPUTED_VALUE"""),"7")</f>
        <v>7</v>
      </c>
      <c r="V501" s="131" t="str">
        <f>IFERROR(__xludf.DUMMYFUNCTION("""COMPUTED_VALUE"""),"43-48")</f>
        <v>43-48</v>
      </c>
      <c r="W501" s="144">
        <f>IFERROR(__xludf.DUMMYFUNCTION("""COMPUTED_VALUE"""),45767.0)</f>
        <v>45767</v>
      </c>
      <c r="X501" s="144">
        <f>IFERROR(__xludf.DUMMYFUNCTION("""COMPUTED_VALUE"""),45774.0)</f>
        <v>45774</v>
      </c>
      <c r="Y501" s="144">
        <f>IFERROR(__xludf.DUMMYFUNCTION("""COMPUTED_VALUE"""),45795.0)</f>
        <v>45795</v>
      </c>
      <c r="Z501" s="131" t="str">
        <f>IFERROR(__xludf.DUMMYFUNCTION("""COMPUTED_VALUE"""),"D40-2R")</f>
        <v>D40-2R</v>
      </c>
      <c r="AA501" s="131">
        <f>IFERROR(__xludf.DUMMYFUNCTION("""COMPUTED_VALUE"""),201.0)</f>
        <v>201</v>
      </c>
      <c r="AB501" s="131">
        <f>IFERROR(__xludf.DUMMYFUNCTION("""COMPUTED_VALUE"""),201.0)</f>
        <v>201</v>
      </c>
      <c r="AC501" s="131">
        <f>IFERROR(__xludf.DUMMYFUNCTION("""COMPUTED_VALUE"""),1.0)</f>
        <v>1</v>
      </c>
      <c r="AD501" s="131">
        <f>IFERROR(__xludf.DUMMYFUNCTION("""COMPUTED_VALUE"""),1.0)</f>
        <v>1</v>
      </c>
      <c r="AE501" s="131">
        <f>IFERROR(__xludf.DUMMYFUNCTION("""COMPUTED_VALUE"""),208.0)</f>
        <v>208</v>
      </c>
      <c r="AF501" s="131">
        <f>IFERROR(__xludf.DUMMYFUNCTION("""COMPUTED_VALUE"""),214.0)</f>
        <v>214</v>
      </c>
      <c r="AG501" s="131">
        <f>IFERROR(__xludf.DUMMYFUNCTION("""COMPUTED_VALUE"""),4.0)</f>
        <v>4</v>
      </c>
      <c r="AH501" s="131">
        <f>IFERROR(__xludf.DUMMYFUNCTION("""COMPUTED_VALUE"""),4.0)</f>
        <v>4</v>
      </c>
      <c r="AI501" s="131">
        <f>IFERROR(__xludf.DUMMYFUNCTION("""COMPUTED_VALUE"""),301.0)</f>
        <v>301</v>
      </c>
      <c r="AJ501" s="131"/>
      <c r="AK501" s="131"/>
    </row>
    <row r="502">
      <c r="A502" s="145" t="str">
        <f>IFERROR(__xludf.DUMMYFUNCTION("""COMPUTED_VALUE"""),"Y")</f>
        <v>Y</v>
      </c>
      <c r="B502" s="146" t="str">
        <f>IFERROR(__xludf.DUMMYFUNCTION("""COMPUTED_VALUE"""),"7")</f>
        <v>7</v>
      </c>
      <c r="C502" s="146" t="str">
        <f>IFERROR(__xludf.DUMMYFUNCTION("""COMPUTED_VALUE"""),"43-48")</f>
        <v>43-48</v>
      </c>
      <c r="D502" s="147">
        <f>IFERROR(__xludf.DUMMYFUNCTION("""COMPUTED_VALUE"""),45767.0)</f>
        <v>45767</v>
      </c>
      <c r="E502" s="147">
        <f>IFERROR(__xludf.DUMMYFUNCTION("""COMPUTED_VALUE"""),45774.0)</f>
        <v>45774</v>
      </c>
      <c r="F502" s="147">
        <f>IFERROR(__xludf.DUMMYFUNCTION("""COMPUTED_VALUE"""),45795.0)</f>
        <v>45795</v>
      </c>
      <c r="G502" s="146" t="str">
        <f>IFERROR(__xludf.DUMMYFUNCTION("""COMPUTED_VALUE"""),"D40-2R")</f>
        <v>D40-2R</v>
      </c>
      <c r="H502" s="148">
        <f>IFERROR(__xludf.DUMMYFUNCTION("""COMPUTED_VALUE"""),201.0)</f>
        <v>201</v>
      </c>
      <c r="I502" s="148">
        <f>IFERROR(__xludf.DUMMYFUNCTION("""COMPUTED_VALUE"""),201.0)</f>
        <v>201</v>
      </c>
      <c r="J502" s="146">
        <f>IFERROR(__xludf.DUMMYFUNCTION("""COMPUTED_VALUE"""),1.0)</f>
        <v>1</v>
      </c>
      <c r="K502" s="146">
        <f>IFERROR(__xludf.DUMMYFUNCTION("""COMPUTED_VALUE"""),1.0)</f>
        <v>1</v>
      </c>
      <c r="L502" s="146">
        <f>IFERROR(__xludf.DUMMYFUNCTION("""COMPUTED_VALUE"""),208.0)</f>
        <v>208</v>
      </c>
      <c r="M502" s="146">
        <f>IFERROR(__xludf.DUMMYFUNCTION("""COMPUTED_VALUE"""),214.0)</f>
        <v>214</v>
      </c>
      <c r="N502" s="146">
        <f>IFERROR(__xludf.DUMMYFUNCTION("""COMPUTED_VALUE"""),4.0)</f>
        <v>4</v>
      </c>
      <c r="O502" s="146">
        <f>IFERROR(__xludf.DUMMYFUNCTION("""COMPUTED_VALUE"""),4.0)</f>
        <v>4</v>
      </c>
      <c r="P502" s="146">
        <f>IFERROR(__xludf.DUMMYFUNCTION("""COMPUTED_VALUE"""),301.0)</f>
        <v>301</v>
      </c>
      <c r="Q502" s="146"/>
      <c r="R502" s="146"/>
      <c r="T502" s="131" t="str">
        <f>IFERROR(__xludf.DUMMYFUNCTION("""COMPUTED_VALUE"""),"Y")</f>
        <v>Y</v>
      </c>
      <c r="U502" s="131" t="str">
        <f>IFERROR(__xludf.DUMMYFUNCTION("""COMPUTED_VALUE"""),"7")</f>
        <v>7</v>
      </c>
      <c r="V502" s="131" t="str">
        <f>IFERROR(__xludf.DUMMYFUNCTION("""COMPUTED_VALUE"""),"43-48")</f>
        <v>43-48</v>
      </c>
      <c r="W502" s="144">
        <f>IFERROR(__xludf.DUMMYFUNCTION("""COMPUTED_VALUE"""),45767.0)</f>
        <v>45767</v>
      </c>
      <c r="X502" s="144">
        <f>IFERROR(__xludf.DUMMYFUNCTION("""COMPUTED_VALUE"""),45774.0)</f>
        <v>45774</v>
      </c>
      <c r="Y502" s="144">
        <f>IFERROR(__xludf.DUMMYFUNCTION("""COMPUTED_VALUE"""),45795.0)</f>
        <v>45795</v>
      </c>
      <c r="Z502" s="131" t="str">
        <f>IFERROR(__xludf.DUMMYFUNCTION("""COMPUTED_VALUE"""),"D40-2R")</f>
        <v>D40-2R</v>
      </c>
      <c r="AA502" s="131">
        <f>IFERROR(__xludf.DUMMYFUNCTION("""COMPUTED_VALUE"""),217.0)</f>
        <v>217</v>
      </c>
      <c r="AB502" s="131">
        <f>IFERROR(__xludf.DUMMYFUNCTION("""COMPUTED_VALUE"""),257.0)</f>
        <v>257</v>
      </c>
      <c r="AC502" s="131">
        <f>IFERROR(__xludf.DUMMYFUNCTION("""COMPUTED_VALUE"""),21.0)</f>
        <v>21</v>
      </c>
      <c r="AD502" s="131">
        <f>IFERROR(__xludf.DUMMYFUNCTION("""COMPUTED_VALUE"""),21.0)</f>
        <v>21</v>
      </c>
      <c r="AE502" s="131"/>
      <c r="AF502" s="131"/>
      <c r="AG502" s="131"/>
      <c r="AH502" s="131"/>
      <c r="AI502" s="131">
        <f>IFERROR(__xludf.DUMMYFUNCTION("""COMPUTED_VALUE"""),301.0)</f>
        <v>301</v>
      </c>
      <c r="AJ502" s="131"/>
      <c r="AK502" s="131"/>
    </row>
    <row r="503">
      <c r="A503" s="145" t="str">
        <f>IFERROR(__xludf.DUMMYFUNCTION("""COMPUTED_VALUE"""),"Y")</f>
        <v>Y</v>
      </c>
      <c r="B503" s="146" t="str">
        <f>IFERROR(__xludf.DUMMYFUNCTION("""COMPUTED_VALUE"""),"7")</f>
        <v>7</v>
      </c>
      <c r="C503" s="146" t="str">
        <f>IFERROR(__xludf.DUMMYFUNCTION("""COMPUTED_VALUE"""),"43-48")</f>
        <v>43-48</v>
      </c>
      <c r="D503" s="147">
        <f>IFERROR(__xludf.DUMMYFUNCTION("""COMPUTED_VALUE"""),45767.0)</f>
        <v>45767</v>
      </c>
      <c r="E503" s="147">
        <f>IFERROR(__xludf.DUMMYFUNCTION("""COMPUTED_VALUE"""),45774.0)</f>
        <v>45774</v>
      </c>
      <c r="F503" s="147">
        <f>IFERROR(__xludf.DUMMYFUNCTION("""COMPUTED_VALUE"""),45795.0)</f>
        <v>45795</v>
      </c>
      <c r="G503" s="146" t="str">
        <f>IFERROR(__xludf.DUMMYFUNCTION("""COMPUTED_VALUE"""),"D40-2R")</f>
        <v>D40-2R</v>
      </c>
      <c r="H503" s="148">
        <f>IFERROR(__xludf.DUMMYFUNCTION("""COMPUTED_VALUE"""),217.0)</f>
        <v>217</v>
      </c>
      <c r="I503" s="148">
        <f>IFERROR(__xludf.DUMMYFUNCTION("""COMPUTED_VALUE"""),257.0)</f>
        <v>257</v>
      </c>
      <c r="J503" s="146">
        <f>IFERROR(__xludf.DUMMYFUNCTION("""COMPUTED_VALUE"""),21.0)</f>
        <v>21</v>
      </c>
      <c r="K503" s="146">
        <f>IFERROR(__xludf.DUMMYFUNCTION("""COMPUTED_VALUE"""),21.0)</f>
        <v>21</v>
      </c>
      <c r="L503" s="146"/>
      <c r="M503" s="146"/>
      <c r="N503" s="146"/>
      <c r="O503" s="146"/>
      <c r="P503" s="146">
        <f>IFERROR(__xludf.DUMMYFUNCTION("""COMPUTED_VALUE"""),301.0)</f>
        <v>301</v>
      </c>
      <c r="Q503" s="146"/>
      <c r="R503" s="146"/>
      <c r="T503" s="131" t="str">
        <f>IFERROR(__xludf.DUMMYFUNCTION("""COMPUTED_VALUE"""),"Y")</f>
        <v>Y</v>
      </c>
      <c r="U503" s="131" t="str">
        <f>IFERROR(__xludf.DUMMYFUNCTION("""COMPUTED_VALUE"""),"7")</f>
        <v>7</v>
      </c>
      <c r="V503" s="131" t="str">
        <f>IFERROR(__xludf.DUMMYFUNCTION("""COMPUTED_VALUE"""),"43-48")</f>
        <v>43-48</v>
      </c>
      <c r="W503" s="144">
        <f>IFERROR(__xludf.DUMMYFUNCTION("""COMPUTED_VALUE"""),45767.0)</f>
        <v>45767</v>
      </c>
      <c r="X503" s="144">
        <f>IFERROR(__xludf.DUMMYFUNCTION("""COMPUTED_VALUE"""),45774.0)</f>
        <v>45774</v>
      </c>
      <c r="Y503" s="144">
        <f>IFERROR(__xludf.DUMMYFUNCTION("""COMPUTED_VALUE"""),45795.0)</f>
        <v>45795</v>
      </c>
      <c r="Z503" s="131" t="str">
        <f>IFERROR(__xludf.DUMMYFUNCTION("""COMPUTED_VALUE"""),"D40-2R")</f>
        <v>D40-2R</v>
      </c>
      <c r="AA503" s="131">
        <f>IFERROR(__xludf.DUMMYFUNCTION("""COMPUTED_VALUE"""),259.0)</f>
        <v>259</v>
      </c>
      <c r="AB503" s="131">
        <f>IFERROR(__xludf.DUMMYFUNCTION("""COMPUTED_VALUE"""),305.0)</f>
        <v>305</v>
      </c>
      <c r="AC503" s="131">
        <f>IFERROR(__xludf.DUMMYFUNCTION("""COMPUTED_VALUE"""),24.0)</f>
        <v>24</v>
      </c>
      <c r="AD503" s="131">
        <f>IFERROR(__xludf.DUMMYFUNCTION("""COMPUTED_VALUE"""),24.0)</f>
        <v>24</v>
      </c>
      <c r="AE503" s="131"/>
      <c r="AF503" s="131"/>
      <c r="AG503" s="131"/>
      <c r="AH503" s="131"/>
      <c r="AI503" s="131">
        <f>IFERROR(__xludf.DUMMYFUNCTION("""COMPUTED_VALUE"""),301.0)</f>
        <v>301</v>
      </c>
      <c r="AJ503" s="131"/>
      <c r="AK503" s="131"/>
    </row>
    <row r="504">
      <c r="A504" s="145" t="str">
        <f>IFERROR(__xludf.DUMMYFUNCTION("""COMPUTED_VALUE"""),"Y")</f>
        <v>Y</v>
      </c>
      <c r="B504" s="146" t="str">
        <f>IFERROR(__xludf.DUMMYFUNCTION("""COMPUTED_VALUE"""),"7")</f>
        <v>7</v>
      </c>
      <c r="C504" s="146" t="str">
        <f>IFERROR(__xludf.DUMMYFUNCTION("""COMPUTED_VALUE"""),"43-48")</f>
        <v>43-48</v>
      </c>
      <c r="D504" s="147">
        <f>IFERROR(__xludf.DUMMYFUNCTION("""COMPUTED_VALUE"""),45767.0)</f>
        <v>45767</v>
      </c>
      <c r="E504" s="147">
        <f>IFERROR(__xludf.DUMMYFUNCTION("""COMPUTED_VALUE"""),45774.0)</f>
        <v>45774</v>
      </c>
      <c r="F504" s="147">
        <f>IFERROR(__xludf.DUMMYFUNCTION("""COMPUTED_VALUE"""),45795.0)</f>
        <v>45795</v>
      </c>
      <c r="G504" s="146" t="str">
        <f>IFERROR(__xludf.DUMMYFUNCTION("""COMPUTED_VALUE"""),"D40-2R")</f>
        <v>D40-2R</v>
      </c>
      <c r="H504" s="148">
        <f>IFERROR(__xludf.DUMMYFUNCTION("""COMPUTED_VALUE"""),259.0)</f>
        <v>259</v>
      </c>
      <c r="I504" s="148">
        <f>IFERROR(__xludf.DUMMYFUNCTION("""COMPUTED_VALUE"""),305.0)</f>
        <v>305</v>
      </c>
      <c r="J504" s="146">
        <f>IFERROR(__xludf.DUMMYFUNCTION("""COMPUTED_VALUE"""),24.0)</f>
        <v>24</v>
      </c>
      <c r="K504" s="146">
        <f>IFERROR(__xludf.DUMMYFUNCTION("""COMPUTED_VALUE"""),24.0)</f>
        <v>24</v>
      </c>
      <c r="L504" s="146"/>
      <c r="M504" s="146"/>
      <c r="N504" s="146"/>
      <c r="O504" s="146"/>
      <c r="P504" s="146">
        <f>IFERROR(__xludf.DUMMYFUNCTION("""COMPUTED_VALUE"""),301.0)</f>
        <v>301</v>
      </c>
      <c r="Q504" s="146"/>
      <c r="R504" s="146"/>
      <c r="T504" s="131" t="str">
        <f>IFERROR(__xludf.DUMMYFUNCTION("""COMPUTED_VALUE"""),"Y")</f>
        <v>Y</v>
      </c>
      <c r="U504" s="131" t="str">
        <f>IFERROR(__xludf.DUMMYFUNCTION("""COMPUTED_VALUE"""),"7")</f>
        <v>7</v>
      </c>
      <c r="V504" s="131" t="str">
        <f>IFERROR(__xludf.DUMMYFUNCTION("""COMPUTED_VALUE"""),"43-48")</f>
        <v>43-48</v>
      </c>
      <c r="W504" s="144">
        <f>IFERROR(__xludf.DUMMYFUNCTION("""COMPUTED_VALUE"""),45767.0)</f>
        <v>45767</v>
      </c>
      <c r="X504" s="144">
        <f>IFERROR(__xludf.DUMMYFUNCTION("""COMPUTED_VALUE"""),45774.0)</f>
        <v>45774</v>
      </c>
      <c r="Y504" s="144">
        <f>IFERROR(__xludf.DUMMYFUNCTION("""COMPUTED_VALUE"""),45795.0)</f>
        <v>45795</v>
      </c>
      <c r="Z504" s="131" t="str">
        <f>IFERROR(__xludf.DUMMYFUNCTION("""COMPUTED_VALUE"""),"D40-2R")</f>
        <v>D40-2R</v>
      </c>
      <c r="AA504" s="131">
        <f>IFERROR(__xludf.DUMMYFUNCTION("""COMPUTED_VALUE"""),215.0)</f>
        <v>215</v>
      </c>
      <c r="AB504" s="131">
        <f>IFERROR(__xludf.DUMMYFUNCTION("""COMPUTED_VALUE"""),215.0)</f>
        <v>215</v>
      </c>
      <c r="AC504" s="131">
        <f>IFERROR(__xludf.DUMMYFUNCTION("""COMPUTED_VALUE"""),1.0)</f>
        <v>1</v>
      </c>
      <c r="AD504" s="131">
        <f>IFERROR(__xludf.DUMMYFUNCTION("""COMPUTED_VALUE"""),1.0)</f>
        <v>1</v>
      </c>
      <c r="AE504" s="131"/>
      <c r="AF504" s="131"/>
      <c r="AG504" s="131"/>
      <c r="AH504" s="131"/>
      <c r="AI504" s="131">
        <f>IFERROR(__xludf.DUMMYFUNCTION("""COMPUTED_VALUE"""),301.0)</f>
        <v>301</v>
      </c>
      <c r="AJ504" s="131"/>
      <c r="AK504" s="131"/>
    </row>
    <row r="505">
      <c r="A505" s="145" t="str">
        <f>IFERROR(__xludf.DUMMYFUNCTION("""COMPUTED_VALUE"""),"Y")</f>
        <v>Y</v>
      </c>
      <c r="B505" s="146" t="str">
        <f>IFERROR(__xludf.DUMMYFUNCTION("""COMPUTED_VALUE"""),"7")</f>
        <v>7</v>
      </c>
      <c r="C505" s="146" t="str">
        <f>IFERROR(__xludf.DUMMYFUNCTION("""COMPUTED_VALUE"""),"43-48")</f>
        <v>43-48</v>
      </c>
      <c r="D505" s="147">
        <f>IFERROR(__xludf.DUMMYFUNCTION("""COMPUTED_VALUE"""),45767.0)</f>
        <v>45767</v>
      </c>
      <c r="E505" s="147">
        <f>IFERROR(__xludf.DUMMYFUNCTION("""COMPUTED_VALUE"""),45774.0)</f>
        <v>45774</v>
      </c>
      <c r="F505" s="147">
        <f>IFERROR(__xludf.DUMMYFUNCTION("""COMPUTED_VALUE"""),45795.0)</f>
        <v>45795</v>
      </c>
      <c r="G505" s="146" t="str">
        <f>IFERROR(__xludf.DUMMYFUNCTION("""COMPUTED_VALUE"""),"D40-2R")</f>
        <v>D40-2R</v>
      </c>
      <c r="H505" s="148">
        <f>IFERROR(__xludf.DUMMYFUNCTION("""COMPUTED_VALUE"""),215.0)</f>
        <v>215</v>
      </c>
      <c r="I505" s="148">
        <f>IFERROR(__xludf.DUMMYFUNCTION("""COMPUTED_VALUE"""),215.0)</f>
        <v>215</v>
      </c>
      <c r="J505" s="146">
        <f>IFERROR(__xludf.DUMMYFUNCTION("""COMPUTED_VALUE"""),1.0)</f>
        <v>1</v>
      </c>
      <c r="K505" s="146">
        <f>IFERROR(__xludf.DUMMYFUNCTION("""COMPUTED_VALUE"""),1.0)</f>
        <v>1</v>
      </c>
      <c r="L505" s="146"/>
      <c r="M505" s="146"/>
      <c r="N505" s="146"/>
      <c r="O505" s="146"/>
      <c r="P505" s="146">
        <f>IFERROR(__xludf.DUMMYFUNCTION("""COMPUTED_VALUE"""),301.0)</f>
        <v>301</v>
      </c>
      <c r="Q505" s="146"/>
      <c r="R505" s="146"/>
      <c r="T505" s="131" t="str">
        <f>IFERROR(__xludf.DUMMYFUNCTION("""COMPUTED_VALUE"""),"Y")</f>
        <v>Y</v>
      </c>
      <c r="U505" s="131" t="str">
        <f>IFERROR(__xludf.DUMMYFUNCTION("""COMPUTED_VALUE"""),"7")</f>
        <v>7</v>
      </c>
      <c r="V505" s="131" t="str">
        <f>IFERROR(__xludf.DUMMYFUNCTION("""COMPUTED_VALUE"""),"37-42")</f>
        <v>37-42</v>
      </c>
      <c r="W505" s="144">
        <f>IFERROR(__xludf.DUMMYFUNCTION("""COMPUTED_VALUE"""),45767.0)</f>
        <v>45767</v>
      </c>
      <c r="X505" s="144">
        <f>IFERROR(__xludf.DUMMYFUNCTION("""COMPUTED_VALUE"""),45774.0)</f>
        <v>45774</v>
      </c>
      <c r="Y505" s="144">
        <f>IFERROR(__xludf.DUMMYFUNCTION("""COMPUTED_VALUE"""),45795.0)</f>
        <v>45795</v>
      </c>
      <c r="Z505" s="131" t="str">
        <f>IFERROR(__xludf.DUMMYFUNCTION("""COMPUTED_VALUE"""),"D39-2R")</f>
        <v>D39-2R</v>
      </c>
      <c r="AA505" s="131">
        <f>IFERROR(__xludf.DUMMYFUNCTION("""COMPUTED_VALUE"""),243.0)</f>
        <v>243</v>
      </c>
      <c r="AB505" s="131">
        <f>IFERROR(__xludf.DUMMYFUNCTION("""COMPUTED_VALUE"""),247.0)</f>
        <v>247</v>
      </c>
      <c r="AC505" s="131">
        <f>IFERROR(__xludf.DUMMYFUNCTION("""COMPUTED_VALUE"""),3.0)</f>
        <v>3</v>
      </c>
      <c r="AD505" s="131">
        <f>IFERROR(__xludf.DUMMYFUNCTION("""COMPUTED_VALUE"""),3.0)</f>
        <v>3</v>
      </c>
      <c r="AE505" s="131">
        <f>IFERROR(__xludf.DUMMYFUNCTION("""COMPUTED_VALUE"""),184.0)</f>
        <v>184</v>
      </c>
      <c r="AF505" s="131">
        <f>IFERROR(__xludf.DUMMYFUNCTION("""COMPUTED_VALUE"""),196.0)</f>
        <v>196</v>
      </c>
      <c r="AG505" s="131">
        <f>IFERROR(__xludf.DUMMYFUNCTION("""COMPUTED_VALUE"""),7.0)</f>
        <v>7</v>
      </c>
      <c r="AH505" s="131">
        <f>IFERROR(__xludf.DUMMYFUNCTION("""COMPUTED_VALUE"""),7.0)</f>
        <v>7</v>
      </c>
      <c r="AI505" s="131">
        <f>IFERROR(__xludf.DUMMYFUNCTION("""COMPUTED_VALUE"""),302.0)</f>
        <v>302</v>
      </c>
      <c r="AJ505" s="131"/>
      <c r="AK505" s="131"/>
    </row>
    <row r="506">
      <c r="A506" s="145" t="str">
        <f>IFERROR(__xludf.DUMMYFUNCTION("""COMPUTED_VALUE"""),"Y")</f>
        <v>Y</v>
      </c>
      <c r="B506" s="146" t="str">
        <f>IFERROR(__xludf.DUMMYFUNCTION("""COMPUTED_VALUE"""),"7")</f>
        <v>7</v>
      </c>
      <c r="C506" s="146" t="str">
        <f>IFERROR(__xludf.DUMMYFUNCTION("""COMPUTED_VALUE"""),"37-42")</f>
        <v>37-42</v>
      </c>
      <c r="D506" s="147">
        <f>IFERROR(__xludf.DUMMYFUNCTION("""COMPUTED_VALUE"""),45767.0)</f>
        <v>45767</v>
      </c>
      <c r="E506" s="147">
        <f>IFERROR(__xludf.DUMMYFUNCTION("""COMPUTED_VALUE"""),45774.0)</f>
        <v>45774</v>
      </c>
      <c r="F506" s="147">
        <f>IFERROR(__xludf.DUMMYFUNCTION("""COMPUTED_VALUE"""),45795.0)</f>
        <v>45795</v>
      </c>
      <c r="G506" s="146" t="str">
        <f>IFERROR(__xludf.DUMMYFUNCTION("""COMPUTED_VALUE"""),"D39-2R")</f>
        <v>D39-2R</v>
      </c>
      <c r="H506" s="148">
        <f>IFERROR(__xludf.DUMMYFUNCTION("""COMPUTED_VALUE"""),243.0)</f>
        <v>243</v>
      </c>
      <c r="I506" s="148">
        <f>IFERROR(__xludf.DUMMYFUNCTION("""COMPUTED_VALUE"""),247.0)</f>
        <v>247</v>
      </c>
      <c r="J506" s="146">
        <f>IFERROR(__xludf.DUMMYFUNCTION("""COMPUTED_VALUE"""),3.0)</f>
        <v>3</v>
      </c>
      <c r="K506" s="146">
        <f>IFERROR(__xludf.DUMMYFUNCTION("""COMPUTED_VALUE"""),3.0)</f>
        <v>3</v>
      </c>
      <c r="L506" s="146">
        <f>IFERROR(__xludf.DUMMYFUNCTION("""COMPUTED_VALUE"""),184.0)</f>
        <v>184</v>
      </c>
      <c r="M506" s="146">
        <f>IFERROR(__xludf.DUMMYFUNCTION("""COMPUTED_VALUE"""),196.0)</f>
        <v>196</v>
      </c>
      <c r="N506" s="146">
        <f>IFERROR(__xludf.DUMMYFUNCTION("""COMPUTED_VALUE"""),7.0)</f>
        <v>7</v>
      </c>
      <c r="O506" s="146">
        <f>IFERROR(__xludf.DUMMYFUNCTION("""COMPUTED_VALUE"""),7.0)</f>
        <v>7</v>
      </c>
      <c r="P506" s="146">
        <f>IFERROR(__xludf.DUMMYFUNCTION("""COMPUTED_VALUE"""),302.0)</f>
        <v>302</v>
      </c>
      <c r="Q506" s="146"/>
      <c r="R506" s="146"/>
      <c r="T506" s="131" t="str">
        <f>IFERROR(__xludf.DUMMYFUNCTION("""COMPUTED_VALUE"""),"Y")</f>
        <v>Y</v>
      </c>
      <c r="U506" s="131" t="str">
        <f>IFERROR(__xludf.DUMMYFUNCTION("""COMPUTED_VALUE"""),"7")</f>
        <v>7</v>
      </c>
      <c r="V506" s="131" t="str">
        <f>IFERROR(__xludf.DUMMYFUNCTION("""COMPUTED_VALUE"""),"37-42")</f>
        <v>37-42</v>
      </c>
      <c r="W506" s="144">
        <f>IFERROR(__xludf.DUMMYFUNCTION("""COMPUTED_VALUE"""),45767.0)</f>
        <v>45767</v>
      </c>
      <c r="X506" s="144">
        <f>IFERROR(__xludf.DUMMYFUNCTION("""COMPUTED_VALUE"""),45774.0)</f>
        <v>45774</v>
      </c>
      <c r="Y506" s="144">
        <f>IFERROR(__xludf.DUMMYFUNCTION("""COMPUTED_VALUE"""),45795.0)</f>
        <v>45795</v>
      </c>
      <c r="Z506" s="131" t="str">
        <f>IFERROR(__xludf.DUMMYFUNCTION("""COMPUTED_VALUE"""),"D39-2R")</f>
        <v>D39-2R</v>
      </c>
      <c r="AA506" s="131">
        <f>IFERROR(__xludf.DUMMYFUNCTION("""COMPUTED_VALUE"""),251.0)</f>
        <v>251</v>
      </c>
      <c r="AB506" s="131">
        <f>IFERROR(__xludf.DUMMYFUNCTION("""COMPUTED_VALUE"""),295.0)</f>
        <v>295</v>
      </c>
      <c r="AC506" s="131">
        <f>IFERROR(__xludf.DUMMYFUNCTION("""COMPUTED_VALUE"""),23.0)</f>
        <v>23</v>
      </c>
      <c r="AD506" s="131">
        <f>IFERROR(__xludf.DUMMYFUNCTION("""COMPUTED_VALUE"""),23.0)</f>
        <v>23</v>
      </c>
      <c r="AE506" s="131">
        <f>IFERROR(__xludf.DUMMYFUNCTION("""COMPUTED_VALUE"""),200.0)</f>
        <v>200</v>
      </c>
      <c r="AF506" s="131">
        <f>IFERROR(__xludf.DUMMYFUNCTION("""COMPUTED_VALUE"""),242.0)</f>
        <v>242</v>
      </c>
      <c r="AG506" s="131">
        <f>IFERROR(__xludf.DUMMYFUNCTION("""COMPUTED_VALUE"""),22.0)</f>
        <v>22</v>
      </c>
      <c r="AH506" s="131">
        <f>IFERROR(__xludf.DUMMYFUNCTION("""COMPUTED_VALUE"""),22.0)</f>
        <v>22</v>
      </c>
      <c r="AI506" s="131">
        <f>IFERROR(__xludf.DUMMYFUNCTION("""COMPUTED_VALUE"""),302.0)</f>
        <v>302</v>
      </c>
      <c r="AJ506" s="131"/>
      <c r="AK506" s="131"/>
    </row>
    <row r="507">
      <c r="A507" s="145" t="str">
        <f>IFERROR(__xludf.DUMMYFUNCTION("""COMPUTED_VALUE"""),"Y")</f>
        <v>Y</v>
      </c>
      <c r="B507" s="146" t="str">
        <f>IFERROR(__xludf.DUMMYFUNCTION("""COMPUTED_VALUE"""),"7")</f>
        <v>7</v>
      </c>
      <c r="C507" s="146" t="str">
        <f>IFERROR(__xludf.DUMMYFUNCTION("""COMPUTED_VALUE"""),"37-42")</f>
        <v>37-42</v>
      </c>
      <c r="D507" s="147">
        <f>IFERROR(__xludf.DUMMYFUNCTION("""COMPUTED_VALUE"""),45767.0)</f>
        <v>45767</v>
      </c>
      <c r="E507" s="147">
        <f>IFERROR(__xludf.DUMMYFUNCTION("""COMPUTED_VALUE"""),45774.0)</f>
        <v>45774</v>
      </c>
      <c r="F507" s="147">
        <f>IFERROR(__xludf.DUMMYFUNCTION("""COMPUTED_VALUE"""),45795.0)</f>
        <v>45795</v>
      </c>
      <c r="G507" s="146" t="str">
        <f>IFERROR(__xludf.DUMMYFUNCTION("""COMPUTED_VALUE"""),"D39-2R")</f>
        <v>D39-2R</v>
      </c>
      <c r="H507" s="148">
        <f>IFERROR(__xludf.DUMMYFUNCTION("""COMPUTED_VALUE"""),251.0)</f>
        <v>251</v>
      </c>
      <c r="I507" s="148">
        <f>IFERROR(__xludf.DUMMYFUNCTION("""COMPUTED_VALUE"""),295.0)</f>
        <v>295</v>
      </c>
      <c r="J507" s="146">
        <f>IFERROR(__xludf.DUMMYFUNCTION("""COMPUTED_VALUE"""),23.0)</f>
        <v>23</v>
      </c>
      <c r="K507" s="146">
        <f>IFERROR(__xludf.DUMMYFUNCTION("""COMPUTED_VALUE"""),23.0)</f>
        <v>23</v>
      </c>
      <c r="L507" s="146">
        <f>IFERROR(__xludf.DUMMYFUNCTION("""COMPUTED_VALUE"""),200.0)</f>
        <v>200</v>
      </c>
      <c r="M507" s="146">
        <f>IFERROR(__xludf.DUMMYFUNCTION("""COMPUTED_VALUE"""),242.0)</f>
        <v>242</v>
      </c>
      <c r="N507" s="146">
        <f>IFERROR(__xludf.DUMMYFUNCTION("""COMPUTED_VALUE"""),22.0)</f>
        <v>22</v>
      </c>
      <c r="O507" s="146">
        <f>IFERROR(__xludf.DUMMYFUNCTION("""COMPUTED_VALUE"""),22.0)</f>
        <v>22</v>
      </c>
      <c r="P507" s="146">
        <f>IFERROR(__xludf.DUMMYFUNCTION("""COMPUTED_VALUE"""),302.0)</f>
        <v>302</v>
      </c>
      <c r="Q507" s="146"/>
      <c r="R507" s="146"/>
      <c r="T507" s="131" t="str">
        <f>IFERROR(__xludf.DUMMYFUNCTION("""COMPUTED_VALUE"""),"Y")</f>
        <v>Y</v>
      </c>
      <c r="U507" s="131" t="str">
        <f>IFERROR(__xludf.DUMMYFUNCTION("""COMPUTED_VALUE"""),"7")</f>
        <v>7</v>
      </c>
      <c r="V507" s="131" t="str">
        <f>IFERROR(__xludf.DUMMYFUNCTION("""COMPUTED_VALUE"""),"37-42")</f>
        <v>37-42</v>
      </c>
      <c r="W507" s="144">
        <f>IFERROR(__xludf.DUMMYFUNCTION("""COMPUTED_VALUE"""),45767.0)</f>
        <v>45767</v>
      </c>
      <c r="X507" s="144">
        <f>IFERROR(__xludf.DUMMYFUNCTION("""COMPUTED_VALUE"""),45774.0)</f>
        <v>45774</v>
      </c>
      <c r="Y507" s="144">
        <f>IFERROR(__xludf.DUMMYFUNCTION("""COMPUTED_VALUE"""),45795.0)</f>
        <v>45795</v>
      </c>
      <c r="Z507" s="131" t="str">
        <f>IFERROR(__xludf.DUMMYFUNCTION("""COMPUTED_VALUE"""),"D39-2R")</f>
        <v>D39-2R</v>
      </c>
      <c r="AA507" s="131">
        <f>IFERROR(__xludf.DUMMYFUNCTION("""COMPUTED_VALUE"""),299.0)</f>
        <v>299</v>
      </c>
      <c r="AB507" s="131">
        <f>IFERROR(__xludf.DUMMYFUNCTION("""COMPUTED_VALUE"""),299.0)</f>
        <v>299</v>
      </c>
      <c r="AC507" s="131">
        <f>IFERROR(__xludf.DUMMYFUNCTION("""COMPUTED_VALUE"""),1.0)</f>
        <v>1</v>
      </c>
      <c r="AD507" s="131">
        <f>IFERROR(__xludf.DUMMYFUNCTION("""COMPUTED_VALUE"""),1.0)</f>
        <v>1</v>
      </c>
      <c r="AE507" s="131"/>
      <c r="AF507" s="131"/>
      <c r="AG507" s="131"/>
      <c r="AH507" s="131"/>
      <c r="AI507" s="131">
        <f>IFERROR(__xludf.DUMMYFUNCTION("""COMPUTED_VALUE"""),302.0)</f>
        <v>302</v>
      </c>
      <c r="AJ507" s="131"/>
      <c r="AK507" s="131"/>
    </row>
    <row r="508">
      <c r="A508" s="145" t="str">
        <f>IFERROR(__xludf.DUMMYFUNCTION("""COMPUTED_VALUE"""),"Y")</f>
        <v>Y</v>
      </c>
      <c r="B508" s="146" t="str">
        <f>IFERROR(__xludf.DUMMYFUNCTION("""COMPUTED_VALUE"""),"7")</f>
        <v>7</v>
      </c>
      <c r="C508" s="146" t="str">
        <f>IFERROR(__xludf.DUMMYFUNCTION("""COMPUTED_VALUE"""),"37-42")</f>
        <v>37-42</v>
      </c>
      <c r="D508" s="147">
        <f>IFERROR(__xludf.DUMMYFUNCTION("""COMPUTED_VALUE"""),45767.0)</f>
        <v>45767</v>
      </c>
      <c r="E508" s="147">
        <f>IFERROR(__xludf.DUMMYFUNCTION("""COMPUTED_VALUE"""),45774.0)</f>
        <v>45774</v>
      </c>
      <c r="F508" s="147">
        <f>IFERROR(__xludf.DUMMYFUNCTION("""COMPUTED_VALUE"""),45795.0)</f>
        <v>45795</v>
      </c>
      <c r="G508" s="146" t="str">
        <f>IFERROR(__xludf.DUMMYFUNCTION("""COMPUTED_VALUE"""),"D39-2R")</f>
        <v>D39-2R</v>
      </c>
      <c r="H508" s="148">
        <f>IFERROR(__xludf.DUMMYFUNCTION("""COMPUTED_VALUE"""),299.0)</f>
        <v>299</v>
      </c>
      <c r="I508" s="148">
        <f>IFERROR(__xludf.DUMMYFUNCTION("""COMPUTED_VALUE"""),299.0)</f>
        <v>299</v>
      </c>
      <c r="J508" s="146">
        <f>IFERROR(__xludf.DUMMYFUNCTION("""COMPUTED_VALUE"""),1.0)</f>
        <v>1</v>
      </c>
      <c r="K508" s="146">
        <f>IFERROR(__xludf.DUMMYFUNCTION("""COMPUTED_VALUE"""),1.0)</f>
        <v>1</v>
      </c>
      <c r="L508" s="146"/>
      <c r="M508" s="146"/>
      <c r="N508" s="146"/>
      <c r="O508" s="146"/>
      <c r="P508" s="146">
        <f>IFERROR(__xludf.DUMMYFUNCTION("""COMPUTED_VALUE"""),302.0)</f>
        <v>302</v>
      </c>
      <c r="Q508" s="146"/>
      <c r="R508" s="146"/>
      <c r="T508" s="131" t="str">
        <f>IFERROR(__xludf.DUMMYFUNCTION("""COMPUTED_VALUE"""),"Y")</f>
        <v>Y</v>
      </c>
      <c r="U508" s="131" t="str">
        <f>IFERROR(__xludf.DUMMYFUNCTION("""COMPUTED_VALUE"""),"7")</f>
        <v>7</v>
      </c>
      <c r="V508" s="131" t="str">
        <f>IFERROR(__xludf.DUMMYFUNCTION("""COMPUTED_VALUE"""),"67-72")</f>
        <v>67-72</v>
      </c>
      <c r="W508" s="144">
        <f>IFERROR(__xludf.DUMMYFUNCTION("""COMPUTED_VALUE"""),45768.0)</f>
        <v>45768</v>
      </c>
      <c r="X508" s="144">
        <f>IFERROR(__xludf.DUMMYFUNCTION("""COMPUTED_VALUE"""),45775.0)</f>
        <v>45775</v>
      </c>
      <c r="Y508" s="144">
        <f>IFERROR(__xludf.DUMMYFUNCTION("""COMPUTED_VALUE"""),45796.0)</f>
        <v>45796</v>
      </c>
      <c r="Z508" s="131" t="str">
        <f>IFERROR(__xludf.DUMMYFUNCTION("""COMPUTED_VALUE"""),"D40-4L")</f>
        <v>D40-4L</v>
      </c>
      <c r="AA508" s="131">
        <f>IFERROR(__xludf.DUMMYFUNCTION("""COMPUTED_VALUE"""),49.0)</f>
        <v>49</v>
      </c>
      <c r="AB508" s="131">
        <f>IFERROR(__xludf.DUMMYFUNCTION("""COMPUTED_VALUE"""),81.0)</f>
        <v>81</v>
      </c>
      <c r="AC508" s="131">
        <f>IFERROR(__xludf.DUMMYFUNCTION("""COMPUTED_VALUE"""),17.0)</f>
        <v>17</v>
      </c>
      <c r="AD508" s="131">
        <f>IFERROR(__xludf.DUMMYFUNCTION("""COMPUTED_VALUE"""),17.0)</f>
        <v>17</v>
      </c>
      <c r="AE508" s="131">
        <f>IFERROR(__xludf.DUMMYFUNCTION("""COMPUTED_VALUE"""),14.0)</f>
        <v>14</v>
      </c>
      <c r="AF508" s="131">
        <f>IFERROR(__xludf.DUMMYFUNCTION("""COMPUTED_VALUE"""),46.0)</f>
        <v>46</v>
      </c>
      <c r="AG508" s="131">
        <f>IFERROR(__xludf.DUMMYFUNCTION("""COMPUTED_VALUE"""),17.0)</f>
        <v>17</v>
      </c>
      <c r="AH508" s="131">
        <f>IFERROR(__xludf.DUMMYFUNCTION("""COMPUTED_VALUE"""),17.0)</f>
        <v>17</v>
      </c>
      <c r="AI508" s="131">
        <f>IFERROR(__xludf.DUMMYFUNCTION("""COMPUTED_VALUE"""),303.0)</f>
        <v>303</v>
      </c>
      <c r="AJ508" s="131"/>
      <c r="AK508" s="131"/>
    </row>
    <row r="509">
      <c r="A509" s="145" t="str">
        <f>IFERROR(__xludf.DUMMYFUNCTION("""COMPUTED_VALUE"""),"Y")</f>
        <v>Y</v>
      </c>
      <c r="B509" s="146" t="str">
        <f>IFERROR(__xludf.DUMMYFUNCTION("""COMPUTED_VALUE"""),"7")</f>
        <v>7</v>
      </c>
      <c r="C509" s="146" t="str">
        <f>IFERROR(__xludf.DUMMYFUNCTION("""COMPUTED_VALUE"""),"67-72")</f>
        <v>67-72</v>
      </c>
      <c r="D509" s="147">
        <f>IFERROR(__xludf.DUMMYFUNCTION("""COMPUTED_VALUE"""),45768.0)</f>
        <v>45768</v>
      </c>
      <c r="E509" s="147">
        <f>IFERROR(__xludf.DUMMYFUNCTION("""COMPUTED_VALUE"""),45775.0)</f>
        <v>45775</v>
      </c>
      <c r="F509" s="147">
        <f>IFERROR(__xludf.DUMMYFUNCTION("""COMPUTED_VALUE"""),45796.0)</f>
        <v>45796</v>
      </c>
      <c r="G509" s="146" t="str">
        <f>IFERROR(__xludf.DUMMYFUNCTION("""COMPUTED_VALUE"""),"D40-4L")</f>
        <v>D40-4L</v>
      </c>
      <c r="H509" s="148">
        <f>IFERROR(__xludf.DUMMYFUNCTION("""COMPUTED_VALUE"""),49.0)</f>
        <v>49</v>
      </c>
      <c r="I509" s="148">
        <f>IFERROR(__xludf.DUMMYFUNCTION("""COMPUTED_VALUE"""),81.0)</f>
        <v>81</v>
      </c>
      <c r="J509" s="146">
        <f>IFERROR(__xludf.DUMMYFUNCTION("""COMPUTED_VALUE"""),17.0)</f>
        <v>17</v>
      </c>
      <c r="K509" s="146">
        <f>IFERROR(__xludf.DUMMYFUNCTION("""COMPUTED_VALUE"""),17.0)</f>
        <v>17</v>
      </c>
      <c r="L509" s="146">
        <f>IFERROR(__xludf.DUMMYFUNCTION("""COMPUTED_VALUE"""),14.0)</f>
        <v>14</v>
      </c>
      <c r="M509" s="146">
        <f>IFERROR(__xludf.DUMMYFUNCTION("""COMPUTED_VALUE"""),46.0)</f>
        <v>46</v>
      </c>
      <c r="N509" s="146">
        <f>IFERROR(__xludf.DUMMYFUNCTION("""COMPUTED_VALUE"""),17.0)</f>
        <v>17</v>
      </c>
      <c r="O509" s="146">
        <f>IFERROR(__xludf.DUMMYFUNCTION("""COMPUTED_VALUE"""),17.0)</f>
        <v>17</v>
      </c>
      <c r="P509" s="146">
        <f>IFERROR(__xludf.DUMMYFUNCTION("""COMPUTED_VALUE"""),303.0)</f>
        <v>303</v>
      </c>
      <c r="Q509" s="146"/>
      <c r="R509" s="146"/>
      <c r="T509" s="131" t="str">
        <f>IFERROR(__xludf.DUMMYFUNCTION("""COMPUTED_VALUE"""),"Y")</f>
        <v>Y</v>
      </c>
      <c r="U509" s="131" t="str">
        <f>IFERROR(__xludf.DUMMYFUNCTION("""COMPUTED_VALUE"""),"7")</f>
        <v>7</v>
      </c>
      <c r="V509" s="131" t="str">
        <f>IFERROR(__xludf.DUMMYFUNCTION("""COMPUTED_VALUE"""),"67-72")</f>
        <v>67-72</v>
      </c>
      <c r="W509" s="144">
        <f>IFERROR(__xludf.DUMMYFUNCTION("""COMPUTED_VALUE"""),45768.0)</f>
        <v>45768</v>
      </c>
      <c r="X509" s="144">
        <f>IFERROR(__xludf.DUMMYFUNCTION("""COMPUTED_VALUE"""),45775.0)</f>
        <v>45775</v>
      </c>
      <c r="Y509" s="144">
        <f>IFERROR(__xludf.DUMMYFUNCTION("""COMPUTED_VALUE"""),45796.0)</f>
        <v>45796</v>
      </c>
      <c r="Z509" s="131" t="str">
        <f>IFERROR(__xludf.DUMMYFUNCTION("""COMPUTED_VALUE"""),"D40-3R")</f>
        <v>D40-3R</v>
      </c>
      <c r="AA509" s="131">
        <f>IFERROR(__xludf.DUMMYFUNCTION("""COMPUTED_VALUE"""),219.0)</f>
        <v>219</v>
      </c>
      <c r="AB509" s="131">
        <f>IFERROR(__xludf.DUMMYFUNCTION("""COMPUTED_VALUE"""),281.0)</f>
        <v>281</v>
      </c>
      <c r="AC509" s="131">
        <f>IFERROR(__xludf.DUMMYFUNCTION("""COMPUTED_VALUE"""),32.0)</f>
        <v>32</v>
      </c>
      <c r="AD509" s="131">
        <f>IFERROR(__xludf.DUMMYFUNCTION("""COMPUTED_VALUE"""),32.0)</f>
        <v>32</v>
      </c>
      <c r="AE509" s="131"/>
      <c r="AF509" s="131"/>
      <c r="AG509" s="131"/>
      <c r="AH509" s="131"/>
      <c r="AI509" s="131">
        <f>IFERROR(__xludf.DUMMYFUNCTION("""COMPUTED_VALUE"""),303.0)</f>
        <v>303</v>
      </c>
      <c r="AJ509" s="131"/>
      <c r="AK509" s="131"/>
    </row>
    <row r="510">
      <c r="A510" s="145" t="str">
        <f>IFERROR(__xludf.DUMMYFUNCTION("""COMPUTED_VALUE"""),"Y")</f>
        <v>Y</v>
      </c>
      <c r="B510" s="146" t="str">
        <f>IFERROR(__xludf.DUMMYFUNCTION("""COMPUTED_VALUE"""),"7")</f>
        <v>7</v>
      </c>
      <c r="C510" s="146" t="str">
        <f>IFERROR(__xludf.DUMMYFUNCTION("""COMPUTED_VALUE"""),"67-72")</f>
        <v>67-72</v>
      </c>
      <c r="D510" s="147">
        <f>IFERROR(__xludf.DUMMYFUNCTION("""COMPUTED_VALUE"""),45768.0)</f>
        <v>45768</v>
      </c>
      <c r="E510" s="147">
        <f>IFERROR(__xludf.DUMMYFUNCTION("""COMPUTED_VALUE"""),45775.0)</f>
        <v>45775</v>
      </c>
      <c r="F510" s="147">
        <f>IFERROR(__xludf.DUMMYFUNCTION("""COMPUTED_VALUE"""),45796.0)</f>
        <v>45796</v>
      </c>
      <c r="G510" s="146" t="str">
        <f>IFERROR(__xludf.DUMMYFUNCTION("""COMPUTED_VALUE"""),"D40-3R")</f>
        <v>D40-3R</v>
      </c>
      <c r="H510" s="148">
        <f>IFERROR(__xludf.DUMMYFUNCTION("""COMPUTED_VALUE"""),219.0)</f>
        <v>219</v>
      </c>
      <c r="I510" s="148">
        <f>IFERROR(__xludf.DUMMYFUNCTION("""COMPUTED_VALUE"""),281.0)</f>
        <v>281</v>
      </c>
      <c r="J510" s="146">
        <f>IFERROR(__xludf.DUMMYFUNCTION("""COMPUTED_VALUE"""),32.0)</f>
        <v>32</v>
      </c>
      <c r="K510" s="146">
        <f>IFERROR(__xludf.DUMMYFUNCTION("""COMPUTED_VALUE"""),32.0)</f>
        <v>32</v>
      </c>
      <c r="L510" s="146"/>
      <c r="M510" s="146"/>
      <c r="N510" s="146"/>
      <c r="O510" s="146"/>
      <c r="P510" s="146">
        <f>IFERROR(__xludf.DUMMYFUNCTION("""COMPUTED_VALUE"""),303.0)</f>
        <v>303</v>
      </c>
      <c r="Q510" s="146"/>
      <c r="R510" s="146"/>
      <c r="T510" s="131" t="str">
        <f>IFERROR(__xludf.DUMMYFUNCTION("""COMPUTED_VALUE"""),"Y")</f>
        <v>Y</v>
      </c>
      <c r="U510" s="131" t="str">
        <f>IFERROR(__xludf.DUMMYFUNCTION("""COMPUTED_VALUE"""),"7")</f>
        <v>7</v>
      </c>
      <c r="V510" s="131" t="str">
        <f>IFERROR(__xludf.DUMMYFUNCTION("""COMPUTED_VALUE"""),"55-60")</f>
        <v>55-60</v>
      </c>
      <c r="W510" s="144">
        <f>IFERROR(__xludf.DUMMYFUNCTION("""COMPUTED_VALUE"""),45768.0)</f>
        <v>45768</v>
      </c>
      <c r="X510" s="144">
        <f>IFERROR(__xludf.DUMMYFUNCTION("""COMPUTED_VALUE"""),45775.0)</f>
        <v>45775</v>
      </c>
      <c r="Y510" s="144">
        <f>IFERROR(__xludf.DUMMYFUNCTION("""COMPUTED_VALUE"""),45796.0)</f>
        <v>45796</v>
      </c>
      <c r="Z510" s="131" t="str">
        <f>IFERROR(__xludf.DUMMYFUNCTION("""COMPUTED_VALUE"""),"D42-1R")</f>
        <v>D42-1R</v>
      </c>
      <c r="AA510" s="131">
        <f>IFERROR(__xludf.DUMMYFUNCTION("""COMPUTED_VALUE"""),1.0)</f>
        <v>1</v>
      </c>
      <c r="AB510" s="131">
        <f>IFERROR(__xludf.DUMMYFUNCTION("""COMPUTED_VALUE"""),245.0)</f>
        <v>245</v>
      </c>
      <c r="AC510" s="131">
        <f>IFERROR(__xludf.DUMMYFUNCTION("""COMPUTED_VALUE"""),123.0)</f>
        <v>123</v>
      </c>
      <c r="AD510" s="131">
        <f>IFERROR(__xludf.DUMMYFUNCTION("""COMPUTED_VALUE"""),123.0)</f>
        <v>123</v>
      </c>
      <c r="AE510" s="131"/>
      <c r="AF510" s="131"/>
      <c r="AG510" s="131"/>
      <c r="AH510" s="131"/>
      <c r="AI510" s="131">
        <f>IFERROR(__xludf.DUMMYFUNCTION("""COMPUTED_VALUE"""),304.0)</f>
        <v>304</v>
      </c>
      <c r="AJ510" s="131"/>
      <c r="AK510" s="131"/>
    </row>
    <row r="511">
      <c r="A511" s="145" t="str">
        <f>IFERROR(__xludf.DUMMYFUNCTION("""COMPUTED_VALUE"""),"Y")</f>
        <v>Y</v>
      </c>
      <c r="B511" s="146" t="str">
        <f>IFERROR(__xludf.DUMMYFUNCTION("""COMPUTED_VALUE"""),"7")</f>
        <v>7</v>
      </c>
      <c r="C511" s="146" t="str">
        <f>IFERROR(__xludf.DUMMYFUNCTION("""COMPUTED_VALUE"""),"55-60")</f>
        <v>55-60</v>
      </c>
      <c r="D511" s="147">
        <f>IFERROR(__xludf.DUMMYFUNCTION("""COMPUTED_VALUE"""),45768.0)</f>
        <v>45768</v>
      </c>
      <c r="E511" s="147">
        <f>IFERROR(__xludf.DUMMYFUNCTION("""COMPUTED_VALUE"""),45775.0)</f>
        <v>45775</v>
      </c>
      <c r="F511" s="147">
        <f>IFERROR(__xludf.DUMMYFUNCTION("""COMPUTED_VALUE"""),45796.0)</f>
        <v>45796</v>
      </c>
      <c r="G511" s="146" t="str">
        <f>IFERROR(__xludf.DUMMYFUNCTION("""COMPUTED_VALUE"""),"D42-1R")</f>
        <v>D42-1R</v>
      </c>
      <c r="H511" s="148">
        <f>IFERROR(__xludf.DUMMYFUNCTION("""COMPUTED_VALUE"""),1.0)</f>
        <v>1</v>
      </c>
      <c r="I511" s="148">
        <f>IFERROR(__xludf.DUMMYFUNCTION("""COMPUTED_VALUE"""),245.0)</f>
        <v>245</v>
      </c>
      <c r="J511" s="146">
        <f>IFERROR(__xludf.DUMMYFUNCTION("""COMPUTED_VALUE"""),123.0)</f>
        <v>123</v>
      </c>
      <c r="K511" s="146">
        <f>IFERROR(__xludf.DUMMYFUNCTION("""COMPUTED_VALUE"""),123.0)</f>
        <v>123</v>
      </c>
      <c r="L511" s="146"/>
      <c r="M511" s="146"/>
      <c r="N511" s="146"/>
      <c r="O511" s="146"/>
      <c r="P511" s="146">
        <f>IFERROR(__xludf.DUMMYFUNCTION("""COMPUTED_VALUE"""),304.0)</f>
        <v>304</v>
      </c>
      <c r="Q511" s="146"/>
      <c r="R511" s="146"/>
      <c r="T511" s="131"/>
      <c r="U511" s="131" t="str">
        <f>IFERROR(__xludf.DUMMYFUNCTION("""COMPUTED_VALUE"""),"7")</f>
        <v>7</v>
      </c>
      <c r="V511" s="131"/>
      <c r="W511" s="144">
        <f>IFERROR(__xludf.DUMMYFUNCTION("""COMPUTED_VALUE"""),45768.0)</f>
        <v>45768</v>
      </c>
      <c r="X511" s="144">
        <f>IFERROR(__xludf.DUMMYFUNCTION("""COMPUTED_VALUE"""),45775.0)</f>
        <v>45775</v>
      </c>
      <c r="Y511" s="144">
        <f>IFERROR(__xludf.DUMMYFUNCTION("""COMPUTED_VALUE"""),45796.0)</f>
        <v>45796</v>
      </c>
      <c r="Z511" s="131" t="str">
        <f>IFERROR(__xludf.DUMMYFUNCTION("""COMPUTED_VALUE"""),"BRG12")</f>
        <v>BRG12</v>
      </c>
      <c r="AA511" s="131"/>
      <c r="AB511" s="131"/>
      <c r="AC511" s="131"/>
      <c r="AD511" s="131"/>
      <c r="AE511" s="131">
        <f>IFERROR(__xludf.DUMMYFUNCTION("""COMPUTED_VALUE"""),2408.0)</f>
        <v>2408</v>
      </c>
      <c r="AF511" s="131">
        <f>IFERROR(__xludf.DUMMYFUNCTION("""COMPUTED_VALUE"""),2440.0)</f>
        <v>2440</v>
      </c>
      <c r="AG511" s="131">
        <f>IFERROR(__xludf.DUMMYFUNCTION("""COMPUTED_VALUE"""),17.0)</f>
        <v>17</v>
      </c>
      <c r="AH511" s="131">
        <f>IFERROR(__xludf.DUMMYFUNCTION("""COMPUTED_VALUE"""),17.0)</f>
        <v>17</v>
      </c>
      <c r="AI511" s="131">
        <f>IFERROR(__xludf.DUMMYFUNCTION("""COMPUTED_VALUE"""),305.0)</f>
        <v>305</v>
      </c>
      <c r="AJ511" s="131"/>
      <c r="AK511" s="131"/>
    </row>
    <row r="512">
      <c r="A512" s="145"/>
      <c r="B512" s="146" t="str">
        <f>IFERROR(__xludf.DUMMYFUNCTION("""COMPUTED_VALUE"""),"7")</f>
        <v>7</v>
      </c>
      <c r="C512" s="146"/>
      <c r="D512" s="147">
        <f>IFERROR(__xludf.DUMMYFUNCTION("""COMPUTED_VALUE"""),45768.0)</f>
        <v>45768</v>
      </c>
      <c r="E512" s="147">
        <f>IFERROR(__xludf.DUMMYFUNCTION("""COMPUTED_VALUE"""),45775.0)</f>
        <v>45775</v>
      </c>
      <c r="F512" s="147">
        <f>IFERROR(__xludf.DUMMYFUNCTION("""COMPUTED_VALUE"""),45796.0)</f>
        <v>45796</v>
      </c>
      <c r="G512" s="146" t="str">
        <f>IFERROR(__xludf.DUMMYFUNCTION("""COMPUTED_VALUE"""),"BRG12")</f>
        <v>BRG12</v>
      </c>
      <c r="H512" s="148"/>
      <c r="I512" s="148"/>
      <c r="J512" s="146"/>
      <c r="K512" s="146"/>
      <c r="L512" s="146">
        <f>IFERROR(__xludf.DUMMYFUNCTION("""COMPUTED_VALUE"""),2408.0)</f>
        <v>2408</v>
      </c>
      <c r="M512" s="146">
        <f>IFERROR(__xludf.DUMMYFUNCTION("""COMPUTED_VALUE"""),2440.0)</f>
        <v>2440</v>
      </c>
      <c r="N512" s="146">
        <f>IFERROR(__xludf.DUMMYFUNCTION("""COMPUTED_VALUE"""),17.0)</f>
        <v>17</v>
      </c>
      <c r="O512" s="146">
        <f>IFERROR(__xludf.DUMMYFUNCTION("""COMPUTED_VALUE"""),17.0)</f>
        <v>17</v>
      </c>
      <c r="P512" s="146">
        <f>IFERROR(__xludf.DUMMYFUNCTION("""COMPUTED_VALUE"""),305.0)</f>
        <v>305</v>
      </c>
      <c r="Q512" s="146"/>
      <c r="R512" s="146"/>
      <c r="T512" s="131"/>
      <c r="U512" s="131" t="str">
        <f>IFERROR(__xludf.DUMMYFUNCTION("""COMPUTED_VALUE"""),"7")</f>
        <v>7</v>
      </c>
      <c r="V512" s="131"/>
      <c r="W512" s="144">
        <f>IFERROR(__xludf.DUMMYFUNCTION("""COMPUTED_VALUE"""),45768.0)</f>
        <v>45768</v>
      </c>
      <c r="X512" s="144">
        <f>IFERROR(__xludf.DUMMYFUNCTION("""COMPUTED_VALUE"""),45775.0)</f>
        <v>45775</v>
      </c>
      <c r="Y512" s="144">
        <f>IFERROR(__xludf.DUMMYFUNCTION("""COMPUTED_VALUE"""),45796.0)</f>
        <v>45796</v>
      </c>
      <c r="Z512" s="131" t="str">
        <f>IFERROR(__xludf.DUMMYFUNCTION("""COMPUTED_VALUE"""),"BRG12")</f>
        <v>BRG12</v>
      </c>
      <c r="AA512" s="131"/>
      <c r="AB512" s="131"/>
      <c r="AC512" s="131"/>
      <c r="AD512" s="131"/>
      <c r="AE512" s="131">
        <f>IFERROR(__xludf.DUMMYFUNCTION("""COMPUTED_VALUE"""),2448.0)</f>
        <v>2448</v>
      </c>
      <c r="AF512" s="131">
        <f>IFERROR(__xludf.DUMMYFUNCTION("""COMPUTED_VALUE"""),2460.0)</f>
        <v>2460</v>
      </c>
      <c r="AG512" s="131">
        <f>IFERROR(__xludf.DUMMYFUNCTION("""COMPUTED_VALUE"""),7.0)</f>
        <v>7</v>
      </c>
      <c r="AH512" s="131">
        <f>IFERROR(__xludf.DUMMYFUNCTION("""COMPUTED_VALUE"""),7.0)</f>
        <v>7</v>
      </c>
      <c r="AI512" s="131">
        <f>IFERROR(__xludf.DUMMYFUNCTION("""COMPUTED_VALUE"""),305.0)</f>
        <v>305</v>
      </c>
      <c r="AJ512" s="131"/>
      <c r="AK512" s="131"/>
    </row>
    <row r="513">
      <c r="A513" s="145"/>
      <c r="B513" s="146" t="str">
        <f>IFERROR(__xludf.DUMMYFUNCTION("""COMPUTED_VALUE"""),"7")</f>
        <v>7</v>
      </c>
      <c r="C513" s="146"/>
      <c r="D513" s="147">
        <f>IFERROR(__xludf.DUMMYFUNCTION("""COMPUTED_VALUE"""),45768.0)</f>
        <v>45768</v>
      </c>
      <c r="E513" s="147">
        <f>IFERROR(__xludf.DUMMYFUNCTION("""COMPUTED_VALUE"""),45775.0)</f>
        <v>45775</v>
      </c>
      <c r="F513" s="147">
        <f>IFERROR(__xludf.DUMMYFUNCTION("""COMPUTED_VALUE"""),45796.0)</f>
        <v>45796</v>
      </c>
      <c r="G513" s="146" t="str">
        <f>IFERROR(__xludf.DUMMYFUNCTION("""COMPUTED_VALUE"""),"BRG12")</f>
        <v>BRG12</v>
      </c>
      <c r="H513" s="148"/>
      <c r="I513" s="148"/>
      <c r="J513" s="146"/>
      <c r="K513" s="146"/>
      <c r="L513" s="146">
        <f>IFERROR(__xludf.DUMMYFUNCTION("""COMPUTED_VALUE"""),2448.0)</f>
        <v>2448</v>
      </c>
      <c r="M513" s="146">
        <f>IFERROR(__xludf.DUMMYFUNCTION("""COMPUTED_VALUE"""),2460.0)</f>
        <v>2460</v>
      </c>
      <c r="N513" s="146">
        <f>IFERROR(__xludf.DUMMYFUNCTION("""COMPUTED_VALUE"""),7.0)</f>
        <v>7</v>
      </c>
      <c r="O513" s="146">
        <f>IFERROR(__xludf.DUMMYFUNCTION("""COMPUTED_VALUE"""),7.0)</f>
        <v>7</v>
      </c>
      <c r="P513" s="146">
        <f>IFERROR(__xludf.DUMMYFUNCTION("""COMPUTED_VALUE"""),305.0)</f>
        <v>305</v>
      </c>
      <c r="Q513" s="146"/>
      <c r="R513" s="146"/>
      <c r="T513" s="131" t="str">
        <f>IFERROR(__xludf.DUMMYFUNCTION("""COMPUTED_VALUE"""),"Y")</f>
        <v>Y</v>
      </c>
      <c r="U513" s="131" t="str">
        <f>IFERROR(__xludf.DUMMYFUNCTION("""COMPUTED_VALUE"""),"7")</f>
        <v>7</v>
      </c>
      <c r="V513" s="131" t="str">
        <f>IFERROR(__xludf.DUMMYFUNCTION("""COMPUTED_VALUE"""),"85-90")</f>
        <v>85-90</v>
      </c>
      <c r="W513" s="144">
        <f>IFERROR(__xludf.DUMMYFUNCTION("""COMPUTED_VALUE"""),45768.0)</f>
        <v>45768</v>
      </c>
      <c r="X513" s="144">
        <f>IFERROR(__xludf.DUMMYFUNCTION("""COMPUTED_VALUE"""),45775.0)</f>
        <v>45775</v>
      </c>
      <c r="Y513" s="144">
        <f>IFERROR(__xludf.DUMMYFUNCTION("""COMPUTED_VALUE"""),45796.0)</f>
        <v>45796</v>
      </c>
      <c r="Z513" s="131" t="str">
        <f>IFERROR(__xludf.DUMMYFUNCTION("""COMPUTED_VALUE"""),"D40-4L")</f>
        <v>D40-4L</v>
      </c>
      <c r="AA513" s="131">
        <f>IFERROR(__xludf.DUMMYFUNCTION("""COMPUTED_VALUE"""),3.0)</f>
        <v>3</v>
      </c>
      <c r="AB513" s="131">
        <f>IFERROR(__xludf.DUMMYFUNCTION("""COMPUTED_VALUE"""),3.0)</f>
        <v>3</v>
      </c>
      <c r="AC513" s="131">
        <f>IFERROR(__xludf.DUMMYFUNCTION("""COMPUTED_VALUE"""),1.0)</f>
        <v>1</v>
      </c>
      <c r="AD513" s="131">
        <f>IFERROR(__xludf.DUMMYFUNCTION("""COMPUTED_VALUE"""),1.0)</f>
        <v>1</v>
      </c>
      <c r="AE513" s="131"/>
      <c r="AF513" s="131"/>
      <c r="AG513" s="131"/>
      <c r="AH513" s="131"/>
      <c r="AI513" s="131">
        <f>IFERROR(__xludf.DUMMYFUNCTION("""COMPUTED_VALUE"""),308.0)</f>
        <v>308</v>
      </c>
      <c r="AJ513" s="131"/>
      <c r="AK513" s="131"/>
    </row>
    <row r="514">
      <c r="A514" s="145" t="str">
        <f>IFERROR(__xludf.DUMMYFUNCTION("""COMPUTED_VALUE"""),"Y")</f>
        <v>Y</v>
      </c>
      <c r="B514" s="146" t="str">
        <f>IFERROR(__xludf.DUMMYFUNCTION("""COMPUTED_VALUE"""),"7")</f>
        <v>7</v>
      </c>
      <c r="C514" s="146" t="str">
        <f>IFERROR(__xludf.DUMMYFUNCTION("""COMPUTED_VALUE"""),"85-90")</f>
        <v>85-90</v>
      </c>
      <c r="D514" s="147">
        <f>IFERROR(__xludf.DUMMYFUNCTION("""COMPUTED_VALUE"""),45768.0)</f>
        <v>45768</v>
      </c>
      <c r="E514" s="147">
        <f>IFERROR(__xludf.DUMMYFUNCTION("""COMPUTED_VALUE"""),45775.0)</f>
        <v>45775</v>
      </c>
      <c r="F514" s="147">
        <f>IFERROR(__xludf.DUMMYFUNCTION("""COMPUTED_VALUE"""),45796.0)</f>
        <v>45796</v>
      </c>
      <c r="G514" s="146" t="str">
        <f>IFERROR(__xludf.DUMMYFUNCTION("""COMPUTED_VALUE"""),"D40-4L")</f>
        <v>D40-4L</v>
      </c>
      <c r="H514" s="148">
        <f>IFERROR(__xludf.DUMMYFUNCTION("""COMPUTED_VALUE"""),3.0)</f>
        <v>3</v>
      </c>
      <c r="I514" s="148">
        <f>IFERROR(__xludf.DUMMYFUNCTION("""COMPUTED_VALUE"""),3.0)</f>
        <v>3</v>
      </c>
      <c r="J514" s="146">
        <f>IFERROR(__xludf.DUMMYFUNCTION("""COMPUTED_VALUE"""),1.0)</f>
        <v>1</v>
      </c>
      <c r="K514" s="146">
        <f>IFERROR(__xludf.DUMMYFUNCTION("""COMPUTED_VALUE"""),1.0)</f>
        <v>1</v>
      </c>
      <c r="L514" s="146"/>
      <c r="M514" s="146"/>
      <c r="N514" s="146"/>
      <c r="O514" s="146"/>
      <c r="P514" s="146">
        <f>IFERROR(__xludf.DUMMYFUNCTION("""COMPUTED_VALUE"""),308.0)</f>
        <v>308</v>
      </c>
      <c r="Q514" s="146"/>
      <c r="R514" s="146"/>
      <c r="T514" s="131" t="str">
        <f>IFERROR(__xludf.DUMMYFUNCTION("""COMPUTED_VALUE"""),"Y")</f>
        <v>Y</v>
      </c>
      <c r="U514" s="131" t="str">
        <f>IFERROR(__xludf.DUMMYFUNCTION("""COMPUTED_VALUE"""),"7")</f>
        <v>7</v>
      </c>
      <c r="V514" s="131" t="str">
        <f>IFERROR(__xludf.DUMMYFUNCTION("""COMPUTED_VALUE"""),"85-90")</f>
        <v>85-90</v>
      </c>
      <c r="W514" s="144">
        <f>IFERROR(__xludf.DUMMYFUNCTION("""COMPUTED_VALUE"""),45768.0)</f>
        <v>45768</v>
      </c>
      <c r="X514" s="144">
        <f>IFERROR(__xludf.DUMMYFUNCTION("""COMPUTED_VALUE"""),45775.0)</f>
        <v>45775</v>
      </c>
      <c r="Y514" s="144">
        <f>IFERROR(__xludf.DUMMYFUNCTION("""COMPUTED_VALUE"""),45796.0)</f>
        <v>45796</v>
      </c>
      <c r="Z514" s="131" t="str">
        <f>IFERROR(__xludf.DUMMYFUNCTION("""COMPUTED_VALUE"""),"D40-4L")</f>
        <v>D40-4L</v>
      </c>
      <c r="AA514" s="131">
        <f>IFERROR(__xludf.DUMMYFUNCTION("""COMPUTED_VALUE"""),7.0)</f>
        <v>7</v>
      </c>
      <c r="AB514" s="131">
        <f>IFERROR(__xludf.DUMMYFUNCTION("""COMPUTED_VALUE"""),45.0)</f>
        <v>45</v>
      </c>
      <c r="AC514" s="131">
        <f>IFERROR(__xludf.DUMMYFUNCTION("""COMPUTED_VALUE"""),20.0)</f>
        <v>20</v>
      </c>
      <c r="AD514" s="131">
        <f>IFERROR(__xludf.DUMMYFUNCTION("""COMPUTED_VALUE"""),20.0)</f>
        <v>20</v>
      </c>
      <c r="AE514" s="131"/>
      <c r="AF514" s="131"/>
      <c r="AG514" s="131"/>
      <c r="AH514" s="131"/>
      <c r="AI514" s="131">
        <f>IFERROR(__xludf.DUMMYFUNCTION("""COMPUTED_VALUE"""),308.0)</f>
        <v>308</v>
      </c>
      <c r="AJ514" s="131"/>
      <c r="AK514" s="131"/>
    </row>
    <row r="515">
      <c r="A515" s="145" t="str">
        <f>IFERROR(__xludf.DUMMYFUNCTION("""COMPUTED_VALUE"""),"Y")</f>
        <v>Y</v>
      </c>
      <c r="B515" s="146" t="str">
        <f>IFERROR(__xludf.DUMMYFUNCTION("""COMPUTED_VALUE"""),"7")</f>
        <v>7</v>
      </c>
      <c r="C515" s="146" t="str">
        <f>IFERROR(__xludf.DUMMYFUNCTION("""COMPUTED_VALUE"""),"85-90")</f>
        <v>85-90</v>
      </c>
      <c r="D515" s="147">
        <f>IFERROR(__xludf.DUMMYFUNCTION("""COMPUTED_VALUE"""),45768.0)</f>
        <v>45768</v>
      </c>
      <c r="E515" s="147">
        <f>IFERROR(__xludf.DUMMYFUNCTION("""COMPUTED_VALUE"""),45775.0)</f>
        <v>45775</v>
      </c>
      <c r="F515" s="147">
        <f>IFERROR(__xludf.DUMMYFUNCTION("""COMPUTED_VALUE"""),45796.0)</f>
        <v>45796</v>
      </c>
      <c r="G515" s="146" t="str">
        <f>IFERROR(__xludf.DUMMYFUNCTION("""COMPUTED_VALUE"""),"D40-4L")</f>
        <v>D40-4L</v>
      </c>
      <c r="H515" s="148">
        <f>IFERROR(__xludf.DUMMYFUNCTION("""COMPUTED_VALUE"""),7.0)</f>
        <v>7</v>
      </c>
      <c r="I515" s="148">
        <f>IFERROR(__xludf.DUMMYFUNCTION("""COMPUTED_VALUE"""),45.0)</f>
        <v>45</v>
      </c>
      <c r="J515" s="146">
        <f>IFERROR(__xludf.DUMMYFUNCTION("""COMPUTED_VALUE"""),20.0)</f>
        <v>20</v>
      </c>
      <c r="K515" s="146">
        <f>IFERROR(__xludf.DUMMYFUNCTION("""COMPUTED_VALUE"""),20.0)</f>
        <v>20</v>
      </c>
      <c r="L515" s="146"/>
      <c r="M515" s="146"/>
      <c r="N515" s="146"/>
      <c r="O515" s="146"/>
      <c r="P515" s="146">
        <f>IFERROR(__xludf.DUMMYFUNCTION("""COMPUTED_VALUE"""),308.0)</f>
        <v>308</v>
      </c>
      <c r="Q515" s="146"/>
      <c r="R515" s="146"/>
      <c r="T515" s="131"/>
      <c r="U515" s="131" t="str">
        <f>IFERROR(__xludf.DUMMYFUNCTION("""COMPUTED_VALUE"""),"7")</f>
        <v>7</v>
      </c>
      <c r="V515" s="131"/>
      <c r="W515" s="144">
        <f>IFERROR(__xludf.DUMMYFUNCTION("""COMPUTED_VALUE"""),45769.0)</f>
        <v>45769</v>
      </c>
      <c r="X515" s="144">
        <f>IFERROR(__xludf.DUMMYFUNCTION("""COMPUTED_VALUE"""),45776.0)</f>
        <v>45776</v>
      </c>
      <c r="Y515" s="144">
        <f>IFERROR(__xludf.DUMMYFUNCTION("""COMPUTED_VALUE"""),45797.0)</f>
        <v>45797</v>
      </c>
      <c r="Z515" s="131" t="str">
        <f>IFERROR(__xludf.DUMMYFUNCTION("""COMPUTED_VALUE"""),"D42-1R")</f>
        <v>D42-1R</v>
      </c>
      <c r="AA515" s="131">
        <f>IFERROR(__xludf.DUMMYFUNCTION("""COMPUTED_VALUE"""),247.0)</f>
        <v>247</v>
      </c>
      <c r="AB515" s="131">
        <f>IFERROR(__xludf.DUMMYFUNCTION("""COMPUTED_VALUE"""),307.0)</f>
        <v>307</v>
      </c>
      <c r="AC515" s="131">
        <f>IFERROR(__xludf.DUMMYFUNCTION("""COMPUTED_VALUE"""),31.0)</f>
        <v>31</v>
      </c>
      <c r="AD515" s="131">
        <f>IFERROR(__xludf.DUMMYFUNCTION("""COMPUTED_VALUE"""),31.0)</f>
        <v>31</v>
      </c>
      <c r="AE515" s="131">
        <f>IFERROR(__xludf.DUMMYFUNCTION("""COMPUTED_VALUE"""),2.0)</f>
        <v>2</v>
      </c>
      <c r="AF515" s="131">
        <f>IFERROR(__xludf.DUMMYFUNCTION("""COMPUTED_VALUE"""),58.0)</f>
        <v>58</v>
      </c>
      <c r="AG515" s="131">
        <f>IFERROR(__xludf.DUMMYFUNCTION("""COMPUTED_VALUE"""),29.0)</f>
        <v>29</v>
      </c>
      <c r="AH515" s="131">
        <f>IFERROR(__xludf.DUMMYFUNCTION("""COMPUTED_VALUE"""),29.0)</f>
        <v>29</v>
      </c>
      <c r="AI515" s="131">
        <f>IFERROR(__xludf.DUMMYFUNCTION("""COMPUTED_VALUE"""),306.0)</f>
        <v>306</v>
      </c>
      <c r="AJ515" s="131"/>
      <c r="AK515" s="131"/>
    </row>
    <row r="516">
      <c r="A516" s="145"/>
      <c r="B516" s="146" t="str">
        <f>IFERROR(__xludf.DUMMYFUNCTION("""COMPUTED_VALUE"""),"7")</f>
        <v>7</v>
      </c>
      <c r="C516" s="146"/>
      <c r="D516" s="147">
        <f>IFERROR(__xludf.DUMMYFUNCTION("""COMPUTED_VALUE"""),45769.0)</f>
        <v>45769</v>
      </c>
      <c r="E516" s="147">
        <f>IFERROR(__xludf.DUMMYFUNCTION("""COMPUTED_VALUE"""),45776.0)</f>
        <v>45776</v>
      </c>
      <c r="F516" s="147">
        <f>IFERROR(__xludf.DUMMYFUNCTION("""COMPUTED_VALUE"""),45797.0)</f>
        <v>45797</v>
      </c>
      <c r="G516" s="146" t="str">
        <f>IFERROR(__xludf.DUMMYFUNCTION("""COMPUTED_VALUE"""),"D42-1R")</f>
        <v>D42-1R</v>
      </c>
      <c r="H516" s="148">
        <f>IFERROR(__xludf.DUMMYFUNCTION("""COMPUTED_VALUE"""),247.0)</f>
        <v>247</v>
      </c>
      <c r="I516" s="148">
        <f>IFERROR(__xludf.DUMMYFUNCTION("""COMPUTED_VALUE"""),307.0)</f>
        <v>307</v>
      </c>
      <c r="J516" s="146">
        <f>IFERROR(__xludf.DUMMYFUNCTION("""COMPUTED_VALUE"""),31.0)</f>
        <v>31</v>
      </c>
      <c r="K516" s="146">
        <f>IFERROR(__xludf.DUMMYFUNCTION("""COMPUTED_VALUE"""),31.0)</f>
        <v>31</v>
      </c>
      <c r="L516" s="146">
        <f>IFERROR(__xludf.DUMMYFUNCTION("""COMPUTED_VALUE"""),2.0)</f>
        <v>2</v>
      </c>
      <c r="M516" s="146">
        <f>IFERROR(__xludf.DUMMYFUNCTION("""COMPUTED_VALUE"""),58.0)</f>
        <v>58</v>
      </c>
      <c r="N516" s="146">
        <f>IFERROR(__xludf.DUMMYFUNCTION("""COMPUTED_VALUE"""),29.0)</f>
        <v>29</v>
      </c>
      <c r="O516" s="146">
        <f>IFERROR(__xludf.DUMMYFUNCTION("""COMPUTED_VALUE"""),29.0)</f>
        <v>29</v>
      </c>
      <c r="P516" s="146">
        <f>IFERROR(__xludf.DUMMYFUNCTION("""COMPUTED_VALUE"""),306.0)</f>
        <v>306</v>
      </c>
      <c r="Q516" s="146"/>
      <c r="R516" s="146"/>
      <c r="T516" s="131"/>
      <c r="U516" s="131" t="str">
        <f>IFERROR(__xludf.DUMMYFUNCTION("""COMPUTED_VALUE"""),"7")</f>
        <v>7</v>
      </c>
      <c r="V516" s="131"/>
      <c r="W516" s="144">
        <f>IFERROR(__xludf.DUMMYFUNCTION("""COMPUTED_VALUE"""),45769.0)</f>
        <v>45769</v>
      </c>
      <c r="X516" s="144">
        <f>IFERROR(__xludf.DUMMYFUNCTION("""COMPUTED_VALUE"""),45776.0)</f>
        <v>45776</v>
      </c>
      <c r="Y516" s="144">
        <f>IFERROR(__xludf.DUMMYFUNCTION("""COMPUTED_VALUE"""),45797.0)</f>
        <v>45797</v>
      </c>
      <c r="Z516" s="131" t="str">
        <f>IFERROR(__xludf.DUMMYFUNCTION("""COMPUTED_VALUE"""),"D42-1R")</f>
        <v>D42-1R</v>
      </c>
      <c r="AA516" s="131"/>
      <c r="AB516" s="131"/>
      <c r="AC516" s="131"/>
      <c r="AD516" s="131"/>
      <c r="AE516" s="131">
        <f>IFERROR(__xludf.DUMMYFUNCTION("""COMPUTED_VALUE"""),62.0)</f>
        <v>62</v>
      </c>
      <c r="AF516" s="131">
        <f>IFERROR(__xludf.DUMMYFUNCTION("""COMPUTED_VALUE"""),106.0)</f>
        <v>106</v>
      </c>
      <c r="AG516" s="131">
        <f>IFERROR(__xludf.DUMMYFUNCTION("""COMPUTED_VALUE"""),23.0)</f>
        <v>23</v>
      </c>
      <c r="AH516" s="131">
        <f>IFERROR(__xludf.DUMMYFUNCTION("""COMPUTED_VALUE"""),23.0)</f>
        <v>23</v>
      </c>
      <c r="AI516" s="131">
        <f>IFERROR(__xludf.DUMMYFUNCTION("""COMPUTED_VALUE"""),306.0)</f>
        <v>306</v>
      </c>
      <c r="AJ516" s="131"/>
      <c r="AK516" s="131"/>
    </row>
    <row r="517">
      <c r="A517" s="145"/>
      <c r="B517" s="146" t="str">
        <f>IFERROR(__xludf.DUMMYFUNCTION("""COMPUTED_VALUE"""),"7")</f>
        <v>7</v>
      </c>
      <c r="C517" s="146"/>
      <c r="D517" s="147">
        <f>IFERROR(__xludf.DUMMYFUNCTION("""COMPUTED_VALUE"""),45769.0)</f>
        <v>45769</v>
      </c>
      <c r="E517" s="147">
        <f>IFERROR(__xludf.DUMMYFUNCTION("""COMPUTED_VALUE"""),45776.0)</f>
        <v>45776</v>
      </c>
      <c r="F517" s="147">
        <f>IFERROR(__xludf.DUMMYFUNCTION("""COMPUTED_VALUE"""),45797.0)</f>
        <v>45797</v>
      </c>
      <c r="G517" s="146" t="str">
        <f>IFERROR(__xludf.DUMMYFUNCTION("""COMPUTED_VALUE"""),"D42-1R")</f>
        <v>D42-1R</v>
      </c>
      <c r="H517" s="148"/>
      <c r="I517" s="148"/>
      <c r="J517" s="146"/>
      <c r="K517" s="146"/>
      <c r="L517" s="146">
        <f>IFERROR(__xludf.DUMMYFUNCTION("""COMPUTED_VALUE"""),62.0)</f>
        <v>62</v>
      </c>
      <c r="M517" s="146">
        <f>IFERROR(__xludf.DUMMYFUNCTION("""COMPUTED_VALUE"""),106.0)</f>
        <v>106</v>
      </c>
      <c r="N517" s="146">
        <f>IFERROR(__xludf.DUMMYFUNCTION("""COMPUTED_VALUE"""),23.0)</f>
        <v>23</v>
      </c>
      <c r="O517" s="146">
        <f>IFERROR(__xludf.DUMMYFUNCTION("""COMPUTED_VALUE"""),23.0)</f>
        <v>23</v>
      </c>
      <c r="P517" s="146">
        <f>IFERROR(__xludf.DUMMYFUNCTION("""COMPUTED_VALUE"""),306.0)</f>
        <v>306</v>
      </c>
      <c r="Q517" s="146"/>
      <c r="R517" s="146"/>
      <c r="T517" s="131"/>
      <c r="U517" s="131" t="str">
        <f>IFERROR(__xludf.DUMMYFUNCTION("""COMPUTED_VALUE"""),"7")</f>
        <v>7</v>
      </c>
      <c r="V517" s="131"/>
      <c r="W517" s="144">
        <f>IFERROR(__xludf.DUMMYFUNCTION("""COMPUTED_VALUE"""),45769.0)</f>
        <v>45769</v>
      </c>
      <c r="X517" s="144">
        <f>IFERROR(__xludf.DUMMYFUNCTION("""COMPUTED_VALUE"""),45776.0)</f>
        <v>45776</v>
      </c>
      <c r="Y517" s="144">
        <f>IFERROR(__xludf.DUMMYFUNCTION("""COMPUTED_VALUE"""),45797.0)</f>
        <v>45797</v>
      </c>
      <c r="Z517" s="131" t="str">
        <f>IFERROR(__xludf.DUMMYFUNCTION("""COMPUTED_VALUE"""),"D42-1R")</f>
        <v>D42-1R</v>
      </c>
      <c r="AA517" s="131"/>
      <c r="AB517" s="131"/>
      <c r="AC517" s="131"/>
      <c r="AD517" s="131"/>
      <c r="AE517" s="131">
        <f>IFERROR(__xludf.DUMMYFUNCTION("""COMPUTED_VALUE"""),110.0)</f>
        <v>110</v>
      </c>
      <c r="AF517" s="131">
        <f>IFERROR(__xludf.DUMMYFUNCTION("""COMPUTED_VALUE"""),156.0)</f>
        <v>156</v>
      </c>
      <c r="AG517" s="131">
        <f>IFERROR(__xludf.DUMMYFUNCTION("""COMPUTED_VALUE"""),24.0)</f>
        <v>24</v>
      </c>
      <c r="AH517" s="131">
        <f>IFERROR(__xludf.DUMMYFUNCTION("""COMPUTED_VALUE"""),24.0)</f>
        <v>24</v>
      </c>
      <c r="AI517" s="131">
        <f>IFERROR(__xludf.DUMMYFUNCTION("""COMPUTED_VALUE"""),306.0)</f>
        <v>306</v>
      </c>
      <c r="AJ517" s="131"/>
      <c r="AK517" s="131"/>
    </row>
    <row r="518">
      <c r="A518" s="145"/>
      <c r="B518" s="146" t="str">
        <f>IFERROR(__xludf.DUMMYFUNCTION("""COMPUTED_VALUE"""),"7")</f>
        <v>7</v>
      </c>
      <c r="C518" s="146"/>
      <c r="D518" s="147">
        <f>IFERROR(__xludf.DUMMYFUNCTION("""COMPUTED_VALUE"""),45769.0)</f>
        <v>45769</v>
      </c>
      <c r="E518" s="147">
        <f>IFERROR(__xludf.DUMMYFUNCTION("""COMPUTED_VALUE"""),45776.0)</f>
        <v>45776</v>
      </c>
      <c r="F518" s="147">
        <f>IFERROR(__xludf.DUMMYFUNCTION("""COMPUTED_VALUE"""),45797.0)</f>
        <v>45797</v>
      </c>
      <c r="G518" s="146" t="str">
        <f>IFERROR(__xludf.DUMMYFUNCTION("""COMPUTED_VALUE"""),"D42-1R")</f>
        <v>D42-1R</v>
      </c>
      <c r="H518" s="148"/>
      <c r="I518" s="148"/>
      <c r="J518" s="146"/>
      <c r="K518" s="146"/>
      <c r="L518" s="146">
        <f>IFERROR(__xludf.DUMMYFUNCTION("""COMPUTED_VALUE"""),110.0)</f>
        <v>110</v>
      </c>
      <c r="M518" s="146">
        <f>IFERROR(__xludf.DUMMYFUNCTION("""COMPUTED_VALUE"""),156.0)</f>
        <v>156</v>
      </c>
      <c r="N518" s="146">
        <f>IFERROR(__xludf.DUMMYFUNCTION("""COMPUTED_VALUE"""),24.0)</f>
        <v>24</v>
      </c>
      <c r="O518" s="146">
        <f>IFERROR(__xludf.DUMMYFUNCTION("""COMPUTED_VALUE"""),24.0)</f>
        <v>24</v>
      </c>
      <c r="P518" s="146">
        <f>IFERROR(__xludf.DUMMYFUNCTION("""COMPUTED_VALUE"""),306.0)</f>
        <v>306</v>
      </c>
      <c r="Q518" s="146"/>
      <c r="R518" s="146"/>
      <c r="T518" s="131"/>
      <c r="U518" s="131" t="str">
        <f>IFERROR(__xludf.DUMMYFUNCTION("""COMPUTED_VALUE"""),"7")</f>
        <v>7</v>
      </c>
      <c r="V518" s="131"/>
      <c r="W518" s="144">
        <f>IFERROR(__xludf.DUMMYFUNCTION("""COMPUTED_VALUE"""),45769.0)</f>
        <v>45769</v>
      </c>
      <c r="X518" s="144">
        <f>IFERROR(__xludf.DUMMYFUNCTION("""COMPUTED_VALUE"""),45776.0)</f>
        <v>45776</v>
      </c>
      <c r="Y518" s="144">
        <f>IFERROR(__xludf.DUMMYFUNCTION("""COMPUTED_VALUE"""),45797.0)</f>
        <v>45797</v>
      </c>
      <c r="Z518" s="131" t="str">
        <f>IFERROR(__xludf.DUMMYFUNCTION("""COMPUTED_VALUE"""),"D42-1R")</f>
        <v>D42-1R</v>
      </c>
      <c r="AA518" s="131"/>
      <c r="AB518" s="131"/>
      <c r="AC518" s="131"/>
      <c r="AD518" s="131"/>
      <c r="AE518" s="131">
        <f>IFERROR(__xludf.DUMMYFUNCTION("""COMPUTED_VALUE"""),160.0)</f>
        <v>160</v>
      </c>
      <c r="AF518" s="131">
        <f>IFERROR(__xludf.DUMMYFUNCTION("""COMPUTED_VALUE"""),206.0)</f>
        <v>206</v>
      </c>
      <c r="AG518" s="131">
        <f>IFERROR(__xludf.DUMMYFUNCTION("""COMPUTED_VALUE"""),24.0)</f>
        <v>24</v>
      </c>
      <c r="AH518" s="131">
        <f>IFERROR(__xludf.DUMMYFUNCTION("""COMPUTED_VALUE"""),24.0)</f>
        <v>24</v>
      </c>
      <c r="AI518" s="131">
        <f>IFERROR(__xludf.DUMMYFUNCTION("""COMPUTED_VALUE"""),306.0)</f>
        <v>306</v>
      </c>
      <c r="AJ518" s="131"/>
      <c r="AK518" s="131"/>
    </row>
    <row r="519">
      <c r="A519" s="145"/>
      <c r="B519" s="146" t="str">
        <f>IFERROR(__xludf.DUMMYFUNCTION("""COMPUTED_VALUE"""),"7")</f>
        <v>7</v>
      </c>
      <c r="C519" s="146"/>
      <c r="D519" s="147">
        <f>IFERROR(__xludf.DUMMYFUNCTION("""COMPUTED_VALUE"""),45769.0)</f>
        <v>45769</v>
      </c>
      <c r="E519" s="147">
        <f>IFERROR(__xludf.DUMMYFUNCTION("""COMPUTED_VALUE"""),45776.0)</f>
        <v>45776</v>
      </c>
      <c r="F519" s="147">
        <f>IFERROR(__xludf.DUMMYFUNCTION("""COMPUTED_VALUE"""),45797.0)</f>
        <v>45797</v>
      </c>
      <c r="G519" s="146" t="str">
        <f>IFERROR(__xludf.DUMMYFUNCTION("""COMPUTED_VALUE"""),"D42-1R")</f>
        <v>D42-1R</v>
      </c>
      <c r="H519" s="148"/>
      <c r="I519" s="148"/>
      <c r="J519" s="146"/>
      <c r="K519" s="146"/>
      <c r="L519" s="146">
        <f>IFERROR(__xludf.DUMMYFUNCTION("""COMPUTED_VALUE"""),160.0)</f>
        <v>160</v>
      </c>
      <c r="M519" s="146">
        <f>IFERROR(__xludf.DUMMYFUNCTION("""COMPUTED_VALUE"""),206.0)</f>
        <v>206</v>
      </c>
      <c r="N519" s="146">
        <f>IFERROR(__xludf.DUMMYFUNCTION("""COMPUTED_VALUE"""),24.0)</f>
        <v>24</v>
      </c>
      <c r="O519" s="146">
        <f>IFERROR(__xludf.DUMMYFUNCTION("""COMPUTED_VALUE"""),24.0)</f>
        <v>24</v>
      </c>
      <c r="P519" s="146">
        <f>IFERROR(__xludf.DUMMYFUNCTION("""COMPUTED_VALUE"""),306.0)</f>
        <v>306</v>
      </c>
      <c r="Q519" s="146"/>
      <c r="R519" s="146"/>
      <c r="T519" s="131"/>
      <c r="U519" s="131" t="str">
        <f>IFERROR(__xludf.DUMMYFUNCTION("""COMPUTED_VALUE"""),"7")</f>
        <v>7</v>
      </c>
      <c r="V519" s="131"/>
      <c r="W519" s="144">
        <f>IFERROR(__xludf.DUMMYFUNCTION("""COMPUTED_VALUE"""),45769.0)</f>
        <v>45769</v>
      </c>
      <c r="X519" s="144">
        <f>IFERROR(__xludf.DUMMYFUNCTION("""COMPUTED_VALUE"""),45776.0)</f>
        <v>45776</v>
      </c>
      <c r="Y519" s="144">
        <f>IFERROR(__xludf.DUMMYFUNCTION("""COMPUTED_VALUE"""),45797.0)</f>
        <v>45797</v>
      </c>
      <c r="Z519" s="131" t="str">
        <f>IFERROR(__xludf.DUMMYFUNCTION("""COMPUTED_VALUE"""),"D42-1R")</f>
        <v>D42-1R</v>
      </c>
      <c r="AA519" s="131"/>
      <c r="AB519" s="131"/>
      <c r="AC519" s="131"/>
      <c r="AD519" s="131"/>
      <c r="AE519" s="131">
        <f>IFERROR(__xludf.DUMMYFUNCTION("""COMPUTED_VALUE"""),210.0)</f>
        <v>210</v>
      </c>
      <c r="AF519" s="131">
        <f>IFERROR(__xludf.DUMMYFUNCTION("""COMPUTED_VALUE"""),216.0)</f>
        <v>216</v>
      </c>
      <c r="AG519" s="131">
        <f>IFERROR(__xludf.DUMMYFUNCTION("""COMPUTED_VALUE"""),4.0)</f>
        <v>4</v>
      </c>
      <c r="AH519" s="131">
        <f>IFERROR(__xludf.DUMMYFUNCTION("""COMPUTED_VALUE"""),4.0)</f>
        <v>4</v>
      </c>
      <c r="AI519" s="131">
        <f>IFERROR(__xludf.DUMMYFUNCTION("""COMPUTED_VALUE"""),306.0)</f>
        <v>306</v>
      </c>
      <c r="AJ519" s="131"/>
      <c r="AK519" s="131"/>
    </row>
    <row r="520">
      <c r="A520" s="145"/>
      <c r="B520" s="146" t="str">
        <f>IFERROR(__xludf.DUMMYFUNCTION("""COMPUTED_VALUE"""),"7")</f>
        <v>7</v>
      </c>
      <c r="C520" s="146"/>
      <c r="D520" s="147">
        <f>IFERROR(__xludf.DUMMYFUNCTION("""COMPUTED_VALUE"""),45769.0)</f>
        <v>45769</v>
      </c>
      <c r="E520" s="147">
        <f>IFERROR(__xludf.DUMMYFUNCTION("""COMPUTED_VALUE"""),45776.0)</f>
        <v>45776</v>
      </c>
      <c r="F520" s="147">
        <f>IFERROR(__xludf.DUMMYFUNCTION("""COMPUTED_VALUE"""),45797.0)</f>
        <v>45797</v>
      </c>
      <c r="G520" s="146" t="str">
        <f>IFERROR(__xludf.DUMMYFUNCTION("""COMPUTED_VALUE"""),"D42-1R")</f>
        <v>D42-1R</v>
      </c>
      <c r="H520" s="148"/>
      <c r="I520" s="148"/>
      <c r="J520" s="146"/>
      <c r="K520" s="146"/>
      <c r="L520" s="146">
        <f>IFERROR(__xludf.DUMMYFUNCTION("""COMPUTED_VALUE"""),210.0)</f>
        <v>210</v>
      </c>
      <c r="M520" s="146">
        <f>IFERROR(__xludf.DUMMYFUNCTION("""COMPUTED_VALUE"""),216.0)</f>
        <v>216</v>
      </c>
      <c r="N520" s="146">
        <f>IFERROR(__xludf.DUMMYFUNCTION("""COMPUTED_VALUE"""),4.0)</f>
        <v>4</v>
      </c>
      <c r="O520" s="146">
        <f>IFERROR(__xludf.DUMMYFUNCTION("""COMPUTED_VALUE"""),4.0)</f>
        <v>4</v>
      </c>
      <c r="P520" s="146">
        <f>IFERROR(__xludf.DUMMYFUNCTION("""COMPUTED_VALUE"""),306.0)</f>
        <v>306</v>
      </c>
      <c r="Q520" s="146"/>
      <c r="R520" s="146"/>
      <c r="T520" s="131"/>
      <c r="U520" s="131" t="str">
        <f>IFERROR(__xludf.DUMMYFUNCTION("""COMPUTED_VALUE"""),"7")</f>
        <v>7</v>
      </c>
      <c r="V520" s="131"/>
      <c r="W520" s="144">
        <f>IFERROR(__xludf.DUMMYFUNCTION("""COMPUTED_VALUE"""),45769.0)</f>
        <v>45769</v>
      </c>
      <c r="X520" s="144">
        <f>IFERROR(__xludf.DUMMYFUNCTION("""COMPUTED_VALUE"""),45776.0)</f>
        <v>45776</v>
      </c>
      <c r="Y520" s="144">
        <f>IFERROR(__xludf.DUMMYFUNCTION("""COMPUTED_VALUE"""),45797.0)</f>
        <v>45797</v>
      </c>
      <c r="Z520" s="131" t="str">
        <f>IFERROR(__xludf.DUMMYFUNCTION("""COMPUTED_VALUE"""),"BRG12")</f>
        <v>BRG12</v>
      </c>
      <c r="AA520" s="131">
        <f>IFERROR(__xludf.DUMMYFUNCTION("""COMPUTED_VALUE"""),2413.0)</f>
        <v>2413</v>
      </c>
      <c r="AB520" s="131">
        <f>IFERROR(__xludf.DUMMYFUNCTION("""COMPUTED_VALUE"""),2429.0)</f>
        <v>2429</v>
      </c>
      <c r="AC520" s="131">
        <f>IFERROR(__xludf.DUMMYFUNCTION("""COMPUTED_VALUE"""),9.0)</f>
        <v>9</v>
      </c>
      <c r="AD520" s="131">
        <f>IFERROR(__xludf.DUMMYFUNCTION("""COMPUTED_VALUE"""),9.0)</f>
        <v>9</v>
      </c>
      <c r="AE520" s="131">
        <f>IFERROR(__xludf.DUMMYFUNCTION("""COMPUTED_VALUE"""),2462.0)</f>
        <v>2462</v>
      </c>
      <c r="AF520" s="131">
        <f>IFERROR(__xludf.DUMMYFUNCTION("""COMPUTED_VALUE"""),2492.0)</f>
        <v>2492</v>
      </c>
      <c r="AG520" s="131">
        <f>IFERROR(__xludf.DUMMYFUNCTION("""COMPUTED_VALUE"""),16.0)</f>
        <v>16</v>
      </c>
      <c r="AH520" s="131">
        <f>IFERROR(__xludf.DUMMYFUNCTION("""COMPUTED_VALUE"""),16.0)</f>
        <v>16</v>
      </c>
      <c r="AI520" s="131">
        <f>IFERROR(__xludf.DUMMYFUNCTION("""COMPUTED_VALUE"""),307.0)</f>
        <v>307</v>
      </c>
      <c r="AJ520" s="131"/>
      <c r="AK520" s="131"/>
    </row>
    <row r="521">
      <c r="A521" s="145"/>
      <c r="B521" s="146" t="str">
        <f>IFERROR(__xludf.DUMMYFUNCTION("""COMPUTED_VALUE"""),"7")</f>
        <v>7</v>
      </c>
      <c r="C521" s="146"/>
      <c r="D521" s="147">
        <f>IFERROR(__xludf.DUMMYFUNCTION("""COMPUTED_VALUE"""),45769.0)</f>
        <v>45769</v>
      </c>
      <c r="E521" s="147">
        <f>IFERROR(__xludf.DUMMYFUNCTION("""COMPUTED_VALUE"""),45776.0)</f>
        <v>45776</v>
      </c>
      <c r="F521" s="147">
        <f>IFERROR(__xludf.DUMMYFUNCTION("""COMPUTED_VALUE"""),45797.0)</f>
        <v>45797</v>
      </c>
      <c r="G521" s="146" t="str">
        <f>IFERROR(__xludf.DUMMYFUNCTION("""COMPUTED_VALUE"""),"BRG12")</f>
        <v>BRG12</v>
      </c>
      <c r="H521" s="148">
        <f>IFERROR(__xludf.DUMMYFUNCTION("""COMPUTED_VALUE"""),2413.0)</f>
        <v>2413</v>
      </c>
      <c r="I521" s="148">
        <f>IFERROR(__xludf.DUMMYFUNCTION("""COMPUTED_VALUE"""),2429.0)</f>
        <v>2429</v>
      </c>
      <c r="J521" s="146">
        <f>IFERROR(__xludf.DUMMYFUNCTION("""COMPUTED_VALUE"""),9.0)</f>
        <v>9</v>
      </c>
      <c r="K521" s="146">
        <f>IFERROR(__xludf.DUMMYFUNCTION("""COMPUTED_VALUE"""),9.0)</f>
        <v>9</v>
      </c>
      <c r="L521" s="146">
        <f>IFERROR(__xludf.DUMMYFUNCTION("""COMPUTED_VALUE"""),2462.0)</f>
        <v>2462</v>
      </c>
      <c r="M521" s="146">
        <f>IFERROR(__xludf.DUMMYFUNCTION("""COMPUTED_VALUE"""),2492.0)</f>
        <v>2492</v>
      </c>
      <c r="N521" s="146">
        <f>IFERROR(__xludf.DUMMYFUNCTION("""COMPUTED_VALUE"""),16.0)</f>
        <v>16</v>
      </c>
      <c r="O521" s="146">
        <f>IFERROR(__xludf.DUMMYFUNCTION("""COMPUTED_VALUE"""),16.0)</f>
        <v>16</v>
      </c>
      <c r="P521" s="146">
        <f>IFERROR(__xludf.DUMMYFUNCTION("""COMPUTED_VALUE"""),307.0)</f>
        <v>307</v>
      </c>
      <c r="Q521" s="146"/>
      <c r="R521" s="146"/>
      <c r="T521" s="131" t="str">
        <f>IFERROR(__xludf.DUMMYFUNCTION("""COMPUTED_VALUE"""),"Y")</f>
        <v>Y</v>
      </c>
      <c r="U521" s="131" t="str">
        <f>IFERROR(__xludf.DUMMYFUNCTION("""COMPUTED_VALUE"""),"7")</f>
        <v>7</v>
      </c>
      <c r="V521" s="131" t="str">
        <f>IFERROR(__xludf.DUMMYFUNCTION("""COMPUTED_VALUE"""),"85-90")</f>
        <v>85-90</v>
      </c>
      <c r="W521" s="144">
        <f>IFERROR(__xludf.DUMMYFUNCTION("""COMPUTED_VALUE"""),45769.0)</f>
        <v>45769</v>
      </c>
      <c r="X521" s="144">
        <f>IFERROR(__xludf.DUMMYFUNCTION("""COMPUTED_VALUE"""),45776.0)</f>
        <v>45776</v>
      </c>
      <c r="Y521" s="144">
        <f>IFERROR(__xludf.DUMMYFUNCTION("""COMPUTED_VALUE"""),45797.0)</f>
        <v>45797</v>
      </c>
      <c r="Z521" s="131" t="str">
        <f>IFERROR(__xludf.DUMMYFUNCTION("""COMPUTED_VALUE"""),"D40-3R")</f>
        <v>D40-3R</v>
      </c>
      <c r="AA521" s="131">
        <f>IFERROR(__xludf.DUMMYFUNCTION("""COMPUTED_VALUE"""),309.0)</f>
        <v>309</v>
      </c>
      <c r="AB521" s="131">
        <f>IFERROR(__xludf.DUMMYFUNCTION("""COMPUTED_VALUE"""),309.0)</f>
        <v>309</v>
      </c>
      <c r="AC521" s="131">
        <f>IFERROR(__xludf.DUMMYFUNCTION("""COMPUTED_VALUE"""),1.0)</f>
        <v>1</v>
      </c>
      <c r="AD521" s="131">
        <f>IFERROR(__xludf.DUMMYFUNCTION("""COMPUTED_VALUE"""),1.0)</f>
        <v>1</v>
      </c>
      <c r="AE521" s="131">
        <f>IFERROR(__xludf.DUMMYFUNCTION("""COMPUTED_VALUE"""),250.0)</f>
        <v>250</v>
      </c>
      <c r="AF521" s="131">
        <f>IFERROR(__xludf.DUMMYFUNCTION("""COMPUTED_VALUE"""),250.0)</f>
        <v>250</v>
      </c>
      <c r="AG521" s="131">
        <f>IFERROR(__xludf.DUMMYFUNCTION("""COMPUTED_VALUE"""),1.0)</f>
        <v>1</v>
      </c>
      <c r="AH521" s="131">
        <f>IFERROR(__xludf.DUMMYFUNCTION("""COMPUTED_VALUE"""),1.0)</f>
        <v>1</v>
      </c>
      <c r="AI521" s="131">
        <f>IFERROR(__xludf.DUMMYFUNCTION("""COMPUTED_VALUE"""),308.0)</f>
        <v>308</v>
      </c>
      <c r="AJ521" s="131"/>
      <c r="AK521" s="131"/>
    </row>
    <row r="522">
      <c r="A522" s="145" t="str">
        <f>IFERROR(__xludf.DUMMYFUNCTION("""COMPUTED_VALUE"""),"Y")</f>
        <v>Y</v>
      </c>
      <c r="B522" s="146" t="str">
        <f>IFERROR(__xludf.DUMMYFUNCTION("""COMPUTED_VALUE"""),"7")</f>
        <v>7</v>
      </c>
      <c r="C522" s="146" t="str">
        <f>IFERROR(__xludf.DUMMYFUNCTION("""COMPUTED_VALUE"""),"85-90")</f>
        <v>85-90</v>
      </c>
      <c r="D522" s="147">
        <f>IFERROR(__xludf.DUMMYFUNCTION("""COMPUTED_VALUE"""),45769.0)</f>
        <v>45769</v>
      </c>
      <c r="E522" s="147">
        <f>IFERROR(__xludf.DUMMYFUNCTION("""COMPUTED_VALUE"""),45776.0)</f>
        <v>45776</v>
      </c>
      <c r="F522" s="147">
        <f>IFERROR(__xludf.DUMMYFUNCTION("""COMPUTED_VALUE"""),45797.0)</f>
        <v>45797</v>
      </c>
      <c r="G522" s="146" t="str">
        <f>IFERROR(__xludf.DUMMYFUNCTION("""COMPUTED_VALUE"""),"D40-3R")</f>
        <v>D40-3R</v>
      </c>
      <c r="H522" s="148">
        <f>IFERROR(__xludf.DUMMYFUNCTION("""COMPUTED_VALUE"""),309.0)</f>
        <v>309</v>
      </c>
      <c r="I522" s="148">
        <f>IFERROR(__xludf.DUMMYFUNCTION("""COMPUTED_VALUE"""),309.0)</f>
        <v>309</v>
      </c>
      <c r="J522" s="146">
        <f>IFERROR(__xludf.DUMMYFUNCTION("""COMPUTED_VALUE"""),1.0)</f>
        <v>1</v>
      </c>
      <c r="K522" s="146">
        <f>IFERROR(__xludf.DUMMYFUNCTION("""COMPUTED_VALUE"""),1.0)</f>
        <v>1</v>
      </c>
      <c r="L522" s="146">
        <f>IFERROR(__xludf.DUMMYFUNCTION("""COMPUTED_VALUE"""),250.0)</f>
        <v>250</v>
      </c>
      <c r="M522" s="146">
        <f>IFERROR(__xludf.DUMMYFUNCTION("""COMPUTED_VALUE"""),250.0)</f>
        <v>250</v>
      </c>
      <c r="N522" s="146">
        <f>IFERROR(__xludf.DUMMYFUNCTION("""COMPUTED_VALUE"""),1.0)</f>
        <v>1</v>
      </c>
      <c r="O522" s="146">
        <f>IFERROR(__xludf.DUMMYFUNCTION("""COMPUTED_VALUE"""),1.0)</f>
        <v>1</v>
      </c>
      <c r="P522" s="146">
        <f>IFERROR(__xludf.DUMMYFUNCTION("""COMPUTED_VALUE"""),308.0)</f>
        <v>308</v>
      </c>
      <c r="Q522" s="146"/>
      <c r="R522" s="146"/>
      <c r="T522" s="131" t="str">
        <f>IFERROR(__xludf.DUMMYFUNCTION("""COMPUTED_VALUE"""),"Y")</f>
        <v>Y</v>
      </c>
      <c r="U522" s="131" t="str">
        <f>IFERROR(__xludf.DUMMYFUNCTION("""COMPUTED_VALUE"""),"7")</f>
        <v>7</v>
      </c>
      <c r="V522" s="131" t="str">
        <f>IFERROR(__xludf.DUMMYFUNCTION("""COMPUTED_VALUE"""),"85-90")</f>
        <v>85-90</v>
      </c>
      <c r="W522" s="144">
        <f>IFERROR(__xludf.DUMMYFUNCTION("""COMPUTED_VALUE"""),45769.0)</f>
        <v>45769</v>
      </c>
      <c r="X522" s="144">
        <f>IFERROR(__xludf.DUMMYFUNCTION("""COMPUTED_VALUE"""),45776.0)</f>
        <v>45776</v>
      </c>
      <c r="Y522" s="144">
        <f>IFERROR(__xludf.DUMMYFUNCTION("""COMPUTED_VALUE"""),45797.0)</f>
        <v>45797</v>
      </c>
      <c r="Z522" s="131" t="str">
        <f>IFERROR(__xludf.DUMMYFUNCTION("""COMPUTED_VALUE"""),"D40-3R")</f>
        <v>D40-3R</v>
      </c>
      <c r="AA522" s="131">
        <f>IFERROR(__xludf.DUMMYFUNCTION("""COMPUTED_VALUE"""),251.0)</f>
        <v>251</v>
      </c>
      <c r="AB522" s="131">
        <f>IFERROR(__xludf.DUMMYFUNCTION("""COMPUTED_VALUE"""),253.0)</f>
        <v>253</v>
      </c>
      <c r="AC522" s="131">
        <f>IFERROR(__xludf.DUMMYFUNCTION("""COMPUTED_VALUE"""),2.0)</f>
        <v>2</v>
      </c>
      <c r="AD522" s="131">
        <f>IFERROR(__xludf.DUMMYFUNCTION("""COMPUTED_VALUE"""),2.0)</f>
        <v>2</v>
      </c>
      <c r="AE522" s="131">
        <f>IFERROR(__xludf.DUMMYFUNCTION("""COMPUTED_VALUE"""),288.0)</f>
        <v>288</v>
      </c>
      <c r="AF522" s="131">
        <f>IFERROR(__xludf.DUMMYFUNCTION("""COMPUTED_VALUE"""),306.0)</f>
        <v>306</v>
      </c>
      <c r="AG522" s="131">
        <f>IFERROR(__xludf.DUMMYFUNCTION("""COMPUTED_VALUE"""),10.0)</f>
        <v>10</v>
      </c>
      <c r="AH522" s="131">
        <f>IFERROR(__xludf.DUMMYFUNCTION("""COMPUTED_VALUE"""),10.0)</f>
        <v>10</v>
      </c>
      <c r="AI522" s="131">
        <f>IFERROR(__xludf.DUMMYFUNCTION("""COMPUTED_VALUE"""),308.0)</f>
        <v>308</v>
      </c>
      <c r="AJ522" s="131"/>
      <c r="AK522" s="131"/>
    </row>
    <row r="523">
      <c r="A523" s="145" t="str">
        <f>IFERROR(__xludf.DUMMYFUNCTION("""COMPUTED_VALUE"""),"Y")</f>
        <v>Y</v>
      </c>
      <c r="B523" s="146" t="str">
        <f>IFERROR(__xludf.DUMMYFUNCTION("""COMPUTED_VALUE"""),"7")</f>
        <v>7</v>
      </c>
      <c r="C523" s="146" t="str">
        <f>IFERROR(__xludf.DUMMYFUNCTION("""COMPUTED_VALUE"""),"85-90")</f>
        <v>85-90</v>
      </c>
      <c r="D523" s="147">
        <f>IFERROR(__xludf.DUMMYFUNCTION("""COMPUTED_VALUE"""),45769.0)</f>
        <v>45769</v>
      </c>
      <c r="E523" s="147">
        <f>IFERROR(__xludf.DUMMYFUNCTION("""COMPUTED_VALUE"""),45776.0)</f>
        <v>45776</v>
      </c>
      <c r="F523" s="147">
        <f>IFERROR(__xludf.DUMMYFUNCTION("""COMPUTED_VALUE"""),45797.0)</f>
        <v>45797</v>
      </c>
      <c r="G523" s="146" t="str">
        <f>IFERROR(__xludf.DUMMYFUNCTION("""COMPUTED_VALUE"""),"D40-3R")</f>
        <v>D40-3R</v>
      </c>
      <c r="H523" s="148">
        <f>IFERROR(__xludf.DUMMYFUNCTION("""COMPUTED_VALUE"""),251.0)</f>
        <v>251</v>
      </c>
      <c r="I523" s="148">
        <f>IFERROR(__xludf.DUMMYFUNCTION("""COMPUTED_VALUE"""),253.0)</f>
        <v>253</v>
      </c>
      <c r="J523" s="146">
        <f>IFERROR(__xludf.DUMMYFUNCTION("""COMPUTED_VALUE"""),2.0)</f>
        <v>2</v>
      </c>
      <c r="K523" s="146">
        <f>IFERROR(__xludf.DUMMYFUNCTION("""COMPUTED_VALUE"""),2.0)</f>
        <v>2</v>
      </c>
      <c r="L523" s="146">
        <f>IFERROR(__xludf.DUMMYFUNCTION("""COMPUTED_VALUE"""),288.0)</f>
        <v>288</v>
      </c>
      <c r="M523" s="146">
        <f>IFERROR(__xludf.DUMMYFUNCTION("""COMPUTED_VALUE"""),306.0)</f>
        <v>306</v>
      </c>
      <c r="N523" s="146">
        <f>IFERROR(__xludf.DUMMYFUNCTION("""COMPUTED_VALUE"""),10.0)</f>
        <v>10</v>
      </c>
      <c r="O523" s="146">
        <f>IFERROR(__xludf.DUMMYFUNCTION("""COMPUTED_VALUE"""),10.0)</f>
        <v>10</v>
      </c>
      <c r="P523" s="146">
        <f>IFERROR(__xludf.DUMMYFUNCTION("""COMPUTED_VALUE"""),308.0)</f>
        <v>308</v>
      </c>
      <c r="Q523" s="146"/>
      <c r="R523" s="146"/>
      <c r="T523" s="131" t="str">
        <f>IFERROR(__xludf.DUMMYFUNCTION("""COMPUTED_VALUE"""),"Y")</f>
        <v>Y</v>
      </c>
      <c r="U523" s="131" t="str">
        <f>IFERROR(__xludf.DUMMYFUNCTION("""COMPUTED_VALUE"""),"7")</f>
        <v>7</v>
      </c>
      <c r="V523" s="131" t="str">
        <f>IFERROR(__xludf.DUMMYFUNCTION("""COMPUTED_VALUE"""),"85-90")</f>
        <v>85-90</v>
      </c>
      <c r="W523" s="144">
        <f>IFERROR(__xludf.DUMMYFUNCTION("""COMPUTED_VALUE"""),45769.0)</f>
        <v>45769</v>
      </c>
      <c r="X523" s="144">
        <f>IFERROR(__xludf.DUMMYFUNCTION("""COMPUTED_VALUE"""),45776.0)</f>
        <v>45776</v>
      </c>
      <c r="Y523" s="144">
        <f>IFERROR(__xludf.DUMMYFUNCTION("""COMPUTED_VALUE"""),45797.0)</f>
        <v>45797</v>
      </c>
      <c r="Z523" s="131" t="str">
        <f>IFERROR(__xludf.DUMMYFUNCTION("""COMPUTED_VALUE"""),"D40-3R")</f>
        <v>D40-3R</v>
      </c>
      <c r="AA523" s="131">
        <f>IFERROR(__xludf.DUMMYFUNCTION("""COMPUTED_VALUE"""),257.0)</f>
        <v>257</v>
      </c>
      <c r="AB523" s="131">
        <f>IFERROR(__xludf.DUMMYFUNCTION("""COMPUTED_VALUE"""),285.0)</f>
        <v>285</v>
      </c>
      <c r="AC523" s="131">
        <f>IFERROR(__xludf.DUMMYFUNCTION("""COMPUTED_VALUE"""),15.0)</f>
        <v>15</v>
      </c>
      <c r="AD523" s="131">
        <f>IFERROR(__xludf.DUMMYFUNCTION("""COMPUTED_VALUE"""),15.0)</f>
        <v>15</v>
      </c>
      <c r="AE523" s="131">
        <f>IFERROR(__xludf.DUMMYFUNCTION("""COMPUTED_VALUE"""),220.0)</f>
        <v>220</v>
      </c>
      <c r="AF523" s="131">
        <f>IFERROR(__xludf.DUMMYFUNCTION("""COMPUTED_VALUE"""),248.0)</f>
        <v>248</v>
      </c>
      <c r="AG523" s="131">
        <f>IFERROR(__xludf.DUMMYFUNCTION("""COMPUTED_VALUE"""),15.0)</f>
        <v>15</v>
      </c>
      <c r="AH523" s="131">
        <f>IFERROR(__xludf.DUMMYFUNCTION("""COMPUTED_VALUE"""),15.0)</f>
        <v>15</v>
      </c>
      <c r="AI523" s="131">
        <f>IFERROR(__xludf.DUMMYFUNCTION("""COMPUTED_VALUE"""),308.0)</f>
        <v>308</v>
      </c>
      <c r="AJ523" s="131"/>
      <c r="AK523" s="131"/>
    </row>
    <row r="524">
      <c r="A524" s="145" t="str">
        <f>IFERROR(__xludf.DUMMYFUNCTION("""COMPUTED_VALUE"""),"Y")</f>
        <v>Y</v>
      </c>
      <c r="B524" s="146" t="str">
        <f>IFERROR(__xludf.DUMMYFUNCTION("""COMPUTED_VALUE"""),"7")</f>
        <v>7</v>
      </c>
      <c r="C524" s="146" t="str">
        <f>IFERROR(__xludf.DUMMYFUNCTION("""COMPUTED_VALUE"""),"85-90")</f>
        <v>85-90</v>
      </c>
      <c r="D524" s="147">
        <f>IFERROR(__xludf.DUMMYFUNCTION("""COMPUTED_VALUE"""),45769.0)</f>
        <v>45769</v>
      </c>
      <c r="E524" s="147">
        <f>IFERROR(__xludf.DUMMYFUNCTION("""COMPUTED_VALUE"""),45776.0)</f>
        <v>45776</v>
      </c>
      <c r="F524" s="147">
        <f>IFERROR(__xludf.DUMMYFUNCTION("""COMPUTED_VALUE"""),45797.0)</f>
        <v>45797</v>
      </c>
      <c r="G524" s="146" t="str">
        <f>IFERROR(__xludf.DUMMYFUNCTION("""COMPUTED_VALUE"""),"D40-3R")</f>
        <v>D40-3R</v>
      </c>
      <c r="H524" s="148">
        <f>IFERROR(__xludf.DUMMYFUNCTION("""COMPUTED_VALUE"""),257.0)</f>
        <v>257</v>
      </c>
      <c r="I524" s="148">
        <f>IFERROR(__xludf.DUMMYFUNCTION("""COMPUTED_VALUE"""),285.0)</f>
        <v>285</v>
      </c>
      <c r="J524" s="146">
        <f>IFERROR(__xludf.DUMMYFUNCTION("""COMPUTED_VALUE"""),15.0)</f>
        <v>15</v>
      </c>
      <c r="K524" s="146">
        <f>IFERROR(__xludf.DUMMYFUNCTION("""COMPUTED_VALUE"""),15.0)</f>
        <v>15</v>
      </c>
      <c r="L524" s="146">
        <f>IFERROR(__xludf.DUMMYFUNCTION("""COMPUTED_VALUE"""),220.0)</f>
        <v>220</v>
      </c>
      <c r="M524" s="146">
        <f>IFERROR(__xludf.DUMMYFUNCTION("""COMPUTED_VALUE"""),248.0)</f>
        <v>248</v>
      </c>
      <c r="N524" s="146">
        <f>IFERROR(__xludf.DUMMYFUNCTION("""COMPUTED_VALUE"""),15.0)</f>
        <v>15</v>
      </c>
      <c r="O524" s="146">
        <f>IFERROR(__xludf.DUMMYFUNCTION("""COMPUTED_VALUE"""),15.0)</f>
        <v>15</v>
      </c>
      <c r="P524" s="146">
        <f>IFERROR(__xludf.DUMMYFUNCTION("""COMPUTED_VALUE"""),308.0)</f>
        <v>308</v>
      </c>
      <c r="Q524" s="146"/>
      <c r="R524" s="146"/>
      <c r="T524" s="131" t="str">
        <f>IFERROR(__xludf.DUMMYFUNCTION("""COMPUTED_VALUE"""),"Y")</f>
        <v>Y</v>
      </c>
      <c r="U524" s="131" t="str">
        <f>IFERROR(__xludf.DUMMYFUNCTION("""COMPUTED_VALUE"""),"7")</f>
        <v>7</v>
      </c>
      <c r="V524" s="131" t="str">
        <f>IFERROR(__xludf.DUMMYFUNCTION("""COMPUTED_VALUE"""),"103-108")</f>
        <v>103-108</v>
      </c>
      <c r="W524" s="144">
        <f>IFERROR(__xludf.DUMMYFUNCTION("""COMPUTED_VALUE"""),45770.0)</f>
        <v>45770</v>
      </c>
      <c r="X524" s="144">
        <f>IFERROR(__xludf.DUMMYFUNCTION("""COMPUTED_VALUE"""),45777.0)</f>
        <v>45777</v>
      </c>
      <c r="Y524" s="144">
        <f>IFERROR(__xludf.DUMMYFUNCTION("""COMPUTED_VALUE"""),45798.0)</f>
        <v>45798</v>
      </c>
      <c r="Z524" s="131" t="str">
        <f>IFERROR(__xludf.DUMMYFUNCTION("""COMPUTED_VALUE"""),"D42-1R")</f>
        <v>D42-1R</v>
      </c>
      <c r="AA524" s="131"/>
      <c r="AB524" s="131"/>
      <c r="AC524" s="131"/>
      <c r="AD524" s="131"/>
      <c r="AE524" s="131">
        <f>IFERROR(__xludf.DUMMYFUNCTION("""COMPUTED_VALUE"""),218.0)</f>
        <v>218</v>
      </c>
      <c r="AF524" s="131">
        <f>IFERROR(__xludf.DUMMYFUNCTION("""COMPUTED_VALUE"""),256.0)</f>
        <v>256</v>
      </c>
      <c r="AG524" s="131">
        <f>IFERROR(__xludf.DUMMYFUNCTION("""COMPUTED_VALUE"""),20.0)</f>
        <v>20</v>
      </c>
      <c r="AH524" s="131">
        <f>IFERROR(__xludf.DUMMYFUNCTION("""COMPUTED_VALUE"""),20.0)</f>
        <v>20</v>
      </c>
      <c r="AI524" s="131">
        <f>IFERROR(__xludf.DUMMYFUNCTION("""COMPUTED_VALUE"""),309.0)</f>
        <v>309</v>
      </c>
      <c r="AJ524" s="131"/>
      <c r="AK524" s="131"/>
    </row>
    <row r="525">
      <c r="A525" s="145" t="str">
        <f>IFERROR(__xludf.DUMMYFUNCTION("""COMPUTED_VALUE"""),"Y")</f>
        <v>Y</v>
      </c>
      <c r="B525" s="146" t="str">
        <f>IFERROR(__xludf.DUMMYFUNCTION("""COMPUTED_VALUE"""),"7")</f>
        <v>7</v>
      </c>
      <c r="C525" s="146" t="str">
        <f>IFERROR(__xludf.DUMMYFUNCTION("""COMPUTED_VALUE"""),"103-108")</f>
        <v>103-108</v>
      </c>
      <c r="D525" s="147">
        <f>IFERROR(__xludf.DUMMYFUNCTION("""COMPUTED_VALUE"""),45770.0)</f>
        <v>45770</v>
      </c>
      <c r="E525" s="147">
        <f>IFERROR(__xludf.DUMMYFUNCTION("""COMPUTED_VALUE"""),45777.0)</f>
        <v>45777</v>
      </c>
      <c r="F525" s="147">
        <f>IFERROR(__xludf.DUMMYFUNCTION("""COMPUTED_VALUE"""),45798.0)</f>
        <v>45798</v>
      </c>
      <c r="G525" s="146" t="str">
        <f>IFERROR(__xludf.DUMMYFUNCTION("""COMPUTED_VALUE"""),"D42-1R")</f>
        <v>D42-1R</v>
      </c>
      <c r="H525" s="148"/>
      <c r="I525" s="148"/>
      <c r="J525" s="146"/>
      <c r="K525" s="146"/>
      <c r="L525" s="146">
        <f>IFERROR(__xludf.DUMMYFUNCTION("""COMPUTED_VALUE"""),218.0)</f>
        <v>218</v>
      </c>
      <c r="M525" s="146">
        <f>IFERROR(__xludf.DUMMYFUNCTION("""COMPUTED_VALUE"""),256.0)</f>
        <v>256</v>
      </c>
      <c r="N525" s="146">
        <f>IFERROR(__xludf.DUMMYFUNCTION("""COMPUTED_VALUE"""),20.0)</f>
        <v>20</v>
      </c>
      <c r="O525" s="146">
        <f>IFERROR(__xludf.DUMMYFUNCTION("""COMPUTED_VALUE"""),20.0)</f>
        <v>20</v>
      </c>
      <c r="P525" s="146">
        <f>IFERROR(__xludf.DUMMYFUNCTION("""COMPUTED_VALUE"""),309.0)</f>
        <v>309</v>
      </c>
      <c r="Q525" s="146"/>
      <c r="R525" s="146"/>
      <c r="T525" s="131" t="str">
        <f>IFERROR(__xludf.DUMMYFUNCTION("""COMPUTED_VALUE"""),"Y")</f>
        <v>Y</v>
      </c>
      <c r="U525" s="131" t="str">
        <f>IFERROR(__xludf.DUMMYFUNCTION("""COMPUTED_VALUE"""),"7")</f>
        <v>7</v>
      </c>
      <c r="V525" s="131" t="str">
        <f>IFERROR(__xludf.DUMMYFUNCTION("""COMPUTED_VALUE"""),"103-108")</f>
        <v>103-108</v>
      </c>
      <c r="W525" s="144">
        <f>IFERROR(__xludf.DUMMYFUNCTION("""COMPUTED_VALUE"""),45770.0)</f>
        <v>45770</v>
      </c>
      <c r="X525" s="144">
        <f>IFERROR(__xludf.DUMMYFUNCTION("""COMPUTED_VALUE"""),45777.0)</f>
        <v>45777</v>
      </c>
      <c r="Y525" s="144">
        <f>IFERROR(__xludf.DUMMYFUNCTION("""COMPUTED_VALUE"""),45798.0)</f>
        <v>45798</v>
      </c>
      <c r="Z525" s="131" t="str">
        <f>IFERROR(__xludf.DUMMYFUNCTION("""COMPUTED_VALUE"""),"D42-1R")</f>
        <v>D42-1R</v>
      </c>
      <c r="AA525" s="131"/>
      <c r="AB525" s="131"/>
      <c r="AC525" s="131"/>
      <c r="AD525" s="131"/>
      <c r="AE525" s="131">
        <f>IFERROR(__xludf.DUMMYFUNCTION("""COMPUTED_VALUE"""),260.0)</f>
        <v>260</v>
      </c>
      <c r="AF525" s="131">
        <f>IFERROR(__xludf.DUMMYFUNCTION("""COMPUTED_VALUE"""),308.0)</f>
        <v>308</v>
      </c>
      <c r="AG525" s="131">
        <f>IFERROR(__xludf.DUMMYFUNCTION("""COMPUTED_VALUE"""),25.0)</f>
        <v>25</v>
      </c>
      <c r="AH525" s="131">
        <f>IFERROR(__xludf.DUMMYFUNCTION("""COMPUTED_VALUE"""),25.0)</f>
        <v>25</v>
      </c>
      <c r="AI525" s="131">
        <f>IFERROR(__xludf.DUMMYFUNCTION("""COMPUTED_VALUE"""),309.0)</f>
        <v>309</v>
      </c>
      <c r="AJ525" s="131"/>
      <c r="AK525" s="131"/>
    </row>
    <row r="526">
      <c r="A526" s="145" t="str">
        <f>IFERROR(__xludf.DUMMYFUNCTION("""COMPUTED_VALUE"""),"Y")</f>
        <v>Y</v>
      </c>
      <c r="B526" s="146" t="str">
        <f>IFERROR(__xludf.DUMMYFUNCTION("""COMPUTED_VALUE"""),"7")</f>
        <v>7</v>
      </c>
      <c r="C526" s="146" t="str">
        <f>IFERROR(__xludf.DUMMYFUNCTION("""COMPUTED_VALUE"""),"103-108")</f>
        <v>103-108</v>
      </c>
      <c r="D526" s="147">
        <f>IFERROR(__xludf.DUMMYFUNCTION("""COMPUTED_VALUE"""),45770.0)</f>
        <v>45770</v>
      </c>
      <c r="E526" s="147">
        <f>IFERROR(__xludf.DUMMYFUNCTION("""COMPUTED_VALUE"""),45777.0)</f>
        <v>45777</v>
      </c>
      <c r="F526" s="147">
        <f>IFERROR(__xludf.DUMMYFUNCTION("""COMPUTED_VALUE"""),45798.0)</f>
        <v>45798</v>
      </c>
      <c r="G526" s="146" t="str">
        <f>IFERROR(__xludf.DUMMYFUNCTION("""COMPUTED_VALUE"""),"D42-1R")</f>
        <v>D42-1R</v>
      </c>
      <c r="H526" s="148"/>
      <c r="I526" s="148"/>
      <c r="J526" s="146"/>
      <c r="K526" s="146"/>
      <c r="L526" s="146">
        <f>IFERROR(__xludf.DUMMYFUNCTION("""COMPUTED_VALUE"""),260.0)</f>
        <v>260</v>
      </c>
      <c r="M526" s="146">
        <f>IFERROR(__xludf.DUMMYFUNCTION("""COMPUTED_VALUE"""),308.0)</f>
        <v>308</v>
      </c>
      <c r="N526" s="146">
        <f>IFERROR(__xludf.DUMMYFUNCTION("""COMPUTED_VALUE"""),25.0)</f>
        <v>25</v>
      </c>
      <c r="O526" s="146">
        <f>IFERROR(__xludf.DUMMYFUNCTION("""COMPUTED_VALUE"""),25.0)</f>
        <v>25</v>
      </c>
      <c r="P526" s="146">
        <f>IFERROR(__xludf.DUMMYFUNCTION("""COMPUTED_VALUE"""),309.0)</f>
        <v>309</v>
      </c>
      <c r="Q526" s="146"/>
      <c r="R526" s="146"/>
      <c r="T526" s="131" t="str">
        <f>IFERROR(__xludf.DUMMYFUNCTION("""COMPUTED_VALUE"""),"Y")</f>
        <v>Y</v>
      </c>
      <c r="U526" s="131" t="str">
        <f>IFERROR(__xludf.DUMMYFUNCTION("""COMPUTED_VALUE"""),"7")</f>
        <v>7</v>
      </c>
      <c r="V526" s="131" t="str">
        <f>IFERROR(__xludf.DUMMYFUNCTION("""COMPUTED_VALUE"""),"103-108")</f>
        <v>103-108</v>
      </c>
      <c r="W526" s="144">
        <f>IFERROR(__xludf.DUMMYFUNCTION("""COMPUTED_VALUE"""),45770.0)</f>
        <v>45770</v>
      </c>
      <c r="X526" s="144">
        <f>IFERROR(__xludf.DUMMYFUNCTION("""COMPUTED_VALUE"""),45777.0)</f>
        <v>45777</v>
      </c>
      <c r="Y526" s="144">
        <f>IFERROR(__xludf.DUMMYFUNCTION("""COMPUTED_VALUE"""),45798.0)</f>
        <v>45798</v>
      </c>
      <c r="Z526" s="131" t="str">
        <f>IFERROR(__xludf.DUMMYFUNCTION("""COMPUTED_VALUE"""),"D42-2R")</f>
        <v>D42-2R</v>
      </c>
      <c r="AA526" s="131">
        <f>IFERROR(__xludf.DUMMYFUNCTION("""COMPUTED_VALUE"""),1.0)</f>
        <v>1</v>
      </c>
      <c r="AB526" s="131">
        <f>IFERROR(__xludf.DUMMYFUNCTION("""COMPUTED_VALUE"""),191.0)</f>
        <v>191</v>
      </c>
      <c r="AC526" s="131">
        <f>IFERROR(__xludf.DUMMYFUNCTION("""COMPUTED_VALUE"""),96.0)</f>
        <v>96</v>
      </c>
      <c r="AD526" s="131">
        <f>IFERROR(__xludf.DUMMYFUNCTION("""COMPUTED_VALUE"""),96.0)</f>
        <v>96</v>
      </c>
      <c r="AE526" s="131"/>
      <c r="AF526" s="131"/>
      <c r="AG526" s="131"/>
      <c r="AH526" s="131"/>
      <c r="AI526" s="131">
        <f>IFERROR(__xludf.DUMMYFUNCTION("""COMPUTED_VALUE"""),309.0)</f>
        <v>309</v>
      </c>
      <c r="AJ526" s="131"/>
      <c r="AK526" s="131"/>
    </row>
    <row r="527">
      <c r="A527" s="145" t="str">
        <f>IFERROR(__xludf.DUMMYFUNCTION("""COMPUTED_VALUE"""),"Y")</f>
        <v>Y</v>
      </c>
      <c r="B527" s="146" t="str">
        <f>IFERROR(__xludf.DUMMYFUNCTION("""COMPUTED_VALUE"""),"7")</f>
        <v>7</v>
      </c>
      <c r="C527" s="146" t="str">
        <f>IFERROR(__xludf.DUMMYFUNCTION("""COMPUTED_VALUE"""),"103-108")</f>
        <v>103-108</v>
      </c>
      <c r="D527" s="147">
        <f>IFERROR(__xludf.DUMMYFUNCTION("""COMPUTED_VALUE"""),45770.0)</f>
        <v>45770</v>
      </c>
      <c r="E527" s="147">
        <f>IFERROR(__xludf.DUMMYFUNCTION("""COMPUTED_VALUE"""),45777.0)</f>
        <v>45777</v>
      </c>
      <c r="F527" s="147">
        <f>IFERROR(__xludf.DUMMYFUNCTION("""COMPUTED_VALUE"""),45798.0)</f>
        <v>45798</v>
      </c>
      <c r="G527" s="146" t="str">
        <f>IFERROR(__xludf.DUMMYFUNCTION("""COMPUTED_VALUE"""),"D42-2R")</f>
        <v>D42-2R</v>
      </c>
      <c r="H527" s="148">
        <f>IFERROR(__xludf.DUMMYFUNCTION("""COMPUTED_VALUE"""),1.0)</f>
        <v>1</v>
      </c>
      <c r="I527" s="148">
        <f>IFERROR(__xludf.DUMMYFUNCTION("""COMPUTED_VALUE"""),191.0)</f>
        <v>191</v>
      </c>
      <c r="J527" s="146">
        <f>IFERROR(__xludf.DUMMYFUNCTION("""COMPUTED_VALUE"""),96.0)</f>
        <v>96</v>
      </c>
      <c r="K527" s="146">
        <f>IFERROR(__xludf.DUMMYFUNCTION("""COMPUTED_VALUE"""),96.0)</f>
        <v>96</v>
      </c>
      <c r="L527" s="146"/>
      <c r="M527" s="146"/>
      <c r="N527" s="146"/>
      <c r="O527" s="146"/>
      <c r="P527" s="146">
        <f>IFERROR(__xludf.DUMMYFUNCTION("""COMPUTED_VALUE"""),309.0)</f>
        <v>309</v>
      </c>
      <c r="Q527" s="146"/>
      <c r="R527" s="146"/>
      <c r="T527" s="131" t="str">
        <f>IFERROR(__xludf.DUMMYFUNCTION("""COMPUTED_VALUE"""),"Y")</f>
        <v>Y</v>
      </c>
      <c r="U527" s="131" t="str">
        <f>IFERROR(__xludf.DUMMYFUNCTION("""COMPUTED_VALUE"""),"7")</f>
        <v>7</v>
      </c>
      <c r="V527" s="131" t="str">
        <f>IFERROR(__xludf.DUMMYFUNCTION("""COMPUTED_VALUE"""),"115-120")</f>
        <v>115-120</v>
      </c>
      <c r="W527" s="144">
        <f>IFERROR(__xludf.DUMMYFUNCTION("""COMPUTED_VALUE"""),45771.0)</f>
        <v>45771</v>
      </c>
      <c r="X527" s="144">
        <f>IFERROR(__xludf.DUMMYFUNCTION("""COMPUTED_VALUE"""),45778.0)</f>
        <v>45778</v>
      </c>
      <c r="Y527" s="144">
        <f>IFERROR(__xludf.DUMMYFUNCTION("""COMPUTED_VALUE"""),45799.0)</f>
        <v>45799</v>
      </c>
      <c r="Z527" s="131" t="str">
        <f>IFERROR(__xludf.DUMMYFUNCTION("""COMPUTED_VALUE"""),"D42-2R")</f>
        <v>D42-2R</v>
      </c>
      <c r="AA527" s="131">
        <f>IFERROR(__xludf.DUMMYFUNCTION("""COMPUTED_VALUE"""),193.0)</f>
        <v>193</v>
      </c>
      <c r="AB527" s="131">
        <f>IFERROR(__xludf.DUMMYFUNCTION("""COMPUTED_VALUE"""),303.0)</f>
        <v>303</v>
      </c>
      <c r="AC527" s="131">
        <f>IFERROR(__xludf.DUMMYFUNCTION("""COMPUTED_VALUE"""),56.0)</f>
        <v>56</v>
      </c>
      <c r="AD527" s="131">
        <f>IFERROR(__xludf.DUMMYFUNCTION("""COMPUTED_VALUE"""),56.0)</f>
        <v>56</v>
      </c>
      <c r="AE527" s="131">
        <f>IFERROR(__xludf.DUMMYFUNCTION("""COMPUTED_VALUE"""),2.0)</f>
        <v>2</v>
      </c>
      <c r="AF527" s="131">
        <f>IFERROR(__xludf.DUMMYFUNCTION("""COMPUTED_VALUE"""),6.0)</f>
        <v>6</v>
      </c>
      <c r="AG527" s="131">
        <f>IFERROR(__xludf.DUMMYFUNCTION("""COMPUTED_VALUE"""),3.0)</f>
        <v>3</v>
      </c>
      <c r="AH527" s="131">
        <f>IFERROR(__xludf.DUMMYFUNCTION("""COMPUTED_VALUE"""),3.0)</f>
        <v>3</v>
      </c>
      <c r="AI527" s="131">
        <f>IFERROR(__xludf.DUMMYFUNCTION("""COMPUTED_VALUE"""),310.0)</f>
        <v>310</v>
      </c>
      <c r="AJ527" s="131"/>
      <c r="AK527" s="131"/>
    </row>
    <row r="528">
      <c r="A528" s="145" t="str">
        <f>IFERROR(__xludf.DUMMYFUNCTION("""COMPUTED_VALUE"""),"Y")</f>
        <v>Y</v>
      </c>
      <c r="B528" s="146" t="str">
        <f>IFERROR(__xludf.DUMMYFUNCTION("""COMPUTED_VALUE"""),"7")</f>
        <v>7</v>
      </c>
      <c r="C528" s="146" t="str">
        <f>IFERROR(__xludf.DUMMYFUNCTION("""COMPUTED_VALUE"""),"115-120")</f>
        <v>115-120</v>
      </c>
      <c r="D528" s="147">
        <f>IFERROR(__xludf.DUMMYFUNCTION("""COMPUTED_VALUE"""),45771.0)</f>
        <v>45771</v>
      </c>
      <c r="E528" s="147">
        <f>IFERROR(__xludf.DUMMYFUNCTION("""COMPUTED_VALUE"""),45778.0)</f>
        <v>45778</v>
      </c>
      <c r="F528" s="147">
        <f>IFERROR(__xludf.DUMMYFUNCTION("""COMPUTED_VALUE"""),45799.0)</f>
        <v>45799</v>
      </c>
      <c r="G528" s="146" t="str">
        <f>IFERROR(__xludf.DUMMYFUNCTION("""COMPUTED_VALUE"""),"D42-2R")</f>
        <v>D42-2R</v>
      </c>
      <c r="H528" s="148">
        <f>IFERROR(__xludf.DUMMYFUNCTION("""COMPUTED_VALUE"""),193.0)</f>
        <v>193</v>
      </c>
      <c r="I528" s="148">
        <f>IFERROR(__xludf.DUMMYFUNCTION("""COMPUTED_VALUE"""),303.0)</f>
        <v>303</v>
      </c>
      <c r="J528" s="146">
        <f>IFERROR(__xludf.DUMMYFUNCTION("""COMPUTED_VALUE"""),56.0)</f>
        <v>56</v>
      </c>
      <c r="K528" s="146">
        <f>IFERROR(__xludf.DUMMYFUNCTION("""COMPUTED_VALUE"""),56.0)</f>
        <v>56</v>
      </c>
      <c r="L528" s="146">
        <f>IFERROR(__xludf.DUMMYFUNCTION("""COMPUTED_VALUE"""),2.0)</f>
        <v>2</v>
      </c>
      <c r="M528" s="146">
        <f>IFERROR(__xludf.DUMMYFUNCTION("""COMPUTED_VALUE"""),6.0)</f>
        <v>6</v>
      </c>
      <c r="N528" s="146">
        <f>IFERROR(__xludf.DUMMYFUNCTION("""COMPUTED_VALUE"""),3.0)</f>
        <v>3</v>
      </c>
      <c r="O528" s="146">
        <f>IFERROR(__xludf.DUMMYFUNCTION("""COMPUTED_VALUE"""),3.0)</f>
        <v>3</v>
      </c>
      <c r="P528" s="146">
        <f>IFERROR(__xludf.DUMMYFUNCTION("""COMPUTED_VALUE"""),310.0)</f>
        <v>310</v>
      </c>
      <c r="Q528" s="146"/>
      <c r="R528" s="146"/>
      <c r="T528" s="131" t="str">
        <f>IFERROR(__xludf.DUMMYFUNCTION("""COMPUTED_VALUE"""),"Y")</f>
        <v>Y</v>
      </c>
      <c r="U528" s="131" t="str">
        <f>IFERROR(__xludf.DUMMYFUNCTION("""COMPUTED_VALUE"""),"7")</f>
        <v>7</v>
      </c>
      <c r="V528" s="131" t="str">
        <f>IFERROR(__xludf.DUMMYFUNCTION("""COMPUTED_VALUE"""),"115-120")</f>
        <v>115-120</v>
      </c>
      <c r="W528" s="144">
        <f>IFERROR(__xludf.DUMMYFUNCTION("""COMPUTED_VALUE"""),45771.0)</f>
        <v>45771</v>
      </c>
      <c r="X528" s="144">
        <f>IFERROR(__xludf.DUMMYFUNCTION("""COMPUTED_VALUE"""),45778.0)</f>
        <v>45778</v>
      </c>
      <c r="Y528" s="144">
        <f>IFERROR(__xludf.DUMMYFUNCTION("""COMPUTED_VALUE"""),45799.0)</f>
        <v>45799</v>
      </c>
      <c r="Z528" s="131" t="str">
        <f>IFERROR(__xludf.DUMMYFUNCTION("""COMPUTED_VALUE"""),"D42-2R")</f>
        <v>D42-2R</v>
      </c>
      <c r="AA528" s="131"/>
      <c r="AB528" s="131"/>
      <c r="AC528" s="131"/>
      <c r="AD528" s="131"/>
      <c r="AE528" s="131">
        <f>IFERROR(__xludf.DUMMYFUNCTION("""COMPUTED_VALUE"""),10.0)</f>
        <v>10</v>
      </c>
      <c r="AF528" s="131">
        <f>IFERROR(__xludf.DUMMYFUNCTION("""COMPUTED_VALUE"""),58.0)</f>
        <v>58</v>
      </c>
      <c r="AG528" s="131">
        <f>IFERROR(__xludf.DUMMYFUNCTION("""COMPUTED_VALUE"""),25.0)</f>
        <v>25</v>
      </c>
      <c r="AH528" s="131">
        <f>IFERROR(__xludf.DUMMYFUNCTION("""COMPUTED_VALUE"""),25.0)</f>
        <v>25</v>
      </c>
      <c r="AI528" s="131">
        <f>IFERROR(__xludf.DUMMYFUNCTION("""COMPUTED_VALUE"""),310.0)</f>
        <v>310</v>
      </c>
      <c r="AJ528" s="131"/>
      <c r="AK528" s="131"/>
    </row>
    <row r="529">
      <c r="A529" s="145" t="str">
        <f>IFERROR(__xludf.DUMMYFUNCTION("""COMPUTED_VALUE"""),"Y")</f>
        <v>Y</v>
      </c>
      <c r="B529" s="146" t="str">
        <f>IFERROR(__xludf.DUMMYFUNCTION("""COMPUTED_VALUE"""),"7")</f>
        <v>7</v>
      </c>
      <c r="C529" s="146" t="str">
        <f>IFERROR(__xludf.DUMMYFUNCTION("""COMPUTED_VALUE"""),"115-120")</f>
        <v>115-120</v>
      </c>
      <c r="D529" s="147">
        <f>IFERROR(__xludf.DUMMYFUNCTION("""COMPUTED_VALUE"""),45771.0)</f>
        <v>45771</v>
      </c>
      <c r="E529" s="147">
        <f>IFERROR(__xludf.DUMMYFUNCTION("""COMPUTED_VALUE"""),45778.0)</f>
        <v>45778</v>
      </c>
      <c r="F529" s="147">
        <f>IFERROR(__xludf.DUMMYFUNCTION("""COMPUTED_VALUE"""),45799.0)</f>
        <v>45799</v>
      </c>
      <c r="G529" s="146" t="str">
        <f>IFERROR(__xludf.DUMMYFUNCTION("""COMPUTED_VALUE"""),"D42-2R")</f>
        <v>D42-2R</v>
      </c>
      <c r="H529" s="148"/>
      <c r="I529" s="148"/>
      <c r="J529" s="146"/>
      <c r="K529" s="146"/>
      <c r="L529" s="146">
        <f>IFERROR(__xludf.DUMMYFUNCTION("""COMPUTED_VALUE"""),10.0)</f>
        <v>10</v>
      </c>
      <c r="M529" s="146">
        <f>IFERROR(__xludf.DUMMYFUNCTION("""COMPUTED_VALUE"""),58.0)</f>
        <v>58</v>
      </c>
      <c r="N529" s="146">
        <f>IFERROR(__xludf.DUMMYFUNCTION("""COMPUTED_VALUE"""),25.0)</f>
        <v>25</v>
      </c>
      <c r="O529" s="146">
        <f>IFERROR(__xludf.DUMMYFUNCTION("""COMPUTED_VALUE"""),25.0)</f>
        <v>25</v>
      </c>
      <c r="P529" s="146">
        <f>IFERROR(__xludf.DUMMYFUNCTION("""COMPUTED_VALUE"""),310.0)</f>
        <v>310</v>
      </c>
      <c r="Q529" s="146"/>
      <c r="R529" s="146"/>
      <c r="T529" s="131" t="str">
        <f>IFERROR(__xludf.DUMMYFUNCTION("""COMPUTED_VALUE"""),"Y")</f>
        <v>Y</v>
      </c>
      <c r="U529" s="131" t="str">
        <f>IFERROR(__xludf.DUMMYFUNCTION("""COMPUTED_VALUE"""),"7")</f>
        <v>7</v>
      </c>
      <c r="V529" s="131" t="str">
        <f>IFERROR(__xludf.DUMMYFUNCTION("""COMPUTED_VALUE"""),"115-120")</f>
        <v>115-120</v>
      </c>
      <c r="W529" s="144">
        <f>IFERROR(__xludf.DUMMYFUNCTION("""COMPUTED_VALUE"""),45771.0)</f>
        <v>45771</v>
      </c>
      <c r="X529" s="144">
        <f>IFERROR(__xludf.DUMMYFUNCTION("""COMPUTED_VALUE"""),45778.0)</f>
        <v>45778</v>
      </c>
      <c r="Y529" s="144">
        <f>IFERROR(__xludf.DUMMYFUNCTION("""COMPUTED_VALUE"""),45799.0)</f>
        <v>45799</v>
      </c>
      <c r="Z529" s="131" t="str">
        <f>IFERROR(__xludf.DUMMYFUNCTION("""COMPUTED_VALUE"""),"D42-2R")</f>
        <v>D42-2R</v>
      </c>
      <c r="AA529" s="131"/>
      <c r="AB529" s="131"/>
      <c r="AC529" s="131"/>
      <c r="AD529" s="131"/>
      <c r="AE529" s="131">
        <f>IFERROR(__xludf.DUMMYFUNCTION("""COMPUTED_VALUE"""),62.0)</f>
        <v>62</v>
      </c>
      <c r="AF529" s="131">
        <f>IFERROR(__xludf.DUMMYFUNCTION("""COMPUTED_VALUE"""),106.0)</f>
        <v>106</v>
      </c>
      <c r="AG529" s="131">
        <f>IFERROR(__xludf.DUMMYFUNCTION("""COMPUTED_VALUE"""),23.0)</f>
        <v>23</v>
      </c>
      <c r="AH529" s="131">
        <f>IFERROR(__xludf.DUMMYFUNCTION("""COMPUTED_VALUE"""),23.0)</f>
        <v>23</v>
      </c>
      <c r="AI529" s="131">
        <f>IFERROR(__xludf.DUMMYFUNCTION("""COMPUTED_VALUE"""),310.0)</f>
        <v>310</v>
      </c>
      <c r="AJ529" s="131"/>
      <c r="AK529" s="131"/>
    </row>
    <row r="530">
      <c r="A530" s="145" t="str">
        <f>IFERROR(__xludf.DUMMYFUNCTION("""COMPUTED_VALUE"""),"Y")</f>
        <v>Y</v>
      </c>
      <c r="B530" s="146" t="str">
        <f>IFERROR(__xludf.DUMMYFUNCTION("""COMPUTED_VALUE"""),"7")</f>
        <v>7</v>
      </c>
      <c r="C530" s="146" t="str">
        <f>IFERROR(__xludf.DUMMYFUNCTION("""COMPUTED_VALUE"""),"115-120")</f>
        <v>115-120</v>
      </c>
      <c r="D530" s="147">
        <f>IFERROR(__xludf.DUMMYFUNCTION("""COMPUTED_VALUE"""),45771.0)</f>
        <v>45771</v>
      </c>
      <c r="E530" s="147">
        <f>IFERROR(__xludf.DUMMYFUNCTION("""COMPUTED_VALUE"""),45778.0)</f>
        <v>45778</v>
      </c>
      <c r="F530" s="147">
        <f>IFERROR(__xludf.DUMMYFUNCTION("""COMPUTED_VALUE"""),45799.0)</f>
        <v>45799</v>
      </c>
      <c r="G530" s="146" t="str">
        <f>IFERROR(__xludf.DUMMYFUNCTION("""COMPUTED_VALUE"""),"D42-2R")</f>
        <v>D42-2R</v>
      </c>
      <c r="H530" s="148"/>
      <c r="I530" s="148"/>
      <c r="J530" s="146"/>
      <c r="K530" s="146"/>
      <c r="L530" s="146">
        <f>IFERROR(__xludf.DUMMYFUNCTION("""COMPUTED_VALUE"""),62.0)</f>
        <v>62</v>
      </c>
      <c r="M530" s="146">
        <f>IFERROR(__xludf.DUMMYFUNCTION("""COMPUTED_VALUE"""),106.0)</f>
        <v>106</v>
      </c>
      <c r="N530" s="146">
        <f>IFERROR(__xludf.DUMMYFUNCTION("""COMPUTED_VALUE"""),23.0)</f>
        <v>23</v>
      </c>
      <c r="O530" s="146">
        <f>IFERROR(__xludf.DUMMYFUNCTION("""COMPUTED_VALUE"""),23.0)</f>
        <v>23</v>
      </c>
      <c r="P530" s="146">
        <f>IFERROR(__xludf.DUMMYFUNCTION("""COMPUTED_VALUE"""),310.0)</f>
        <v>310</v>
      </c>
      <c r="Q530" s="146"/>
      <c r="R530" s="146"/>
      <c r="T530" s="131" t="str">
        <f>IFERROR(__xludf.DUMMYFUNCTION("""COMPUTED_VALUE"""),"Y")</f>
        <v>Y</v>
      </c>
      <c r="U530" s="131" t="str">
        <f>IFERROR(__xludf.DUMMYFUNCTION("""COMPUTED_VALUE"""),"7")</f>
        <v>7</v>
      </c>
      <c r="V530" s="131" t="str">
        <f>IFERROR(__xludf.DUMMYFUNCTION("""COMPUTED_VALUE"""),"115-120")</f>
        <v>115-120</v>
      </c>
      <c r="W530" s="144">
        <f>IFERROR(__xludf.DUMMYFUNCTION("""COMPUTED_VALUE"""),45771.0)</f>
        <v>45771</v>
      </c>
      <c r="X530" s="144">
        <f>IFERROR(__xludf.DUMMYFUNCTION("""COMPUTED_VALUE"""),45778.0)</f>
        <v>45778</v>
      </c>
      <c r="Y530" s="144">
        <f>IFERROR(__xludf.DUMMYFUNCTION("""COMPUTED_VALUE"""),45799.0)</f>
        <v>45799</v>
      </c>
      <c r="Z530" s="131" t="str">
        <f>IFERROR(__xludf.DUMMYFUNCTION("""COMPUTED_VALUE"""),"D42-2R")</f>
        <v>D42-2R</v>
      </c>
      <c r="AA530" s="131"/>
      <c r="AB530" s="131"/>
      <c r="AC530" s="131"/>
      <c r="AD530" s="131"/>
      <c r="AE530" s="131">
        <f>IFERROR(__xludf.DUMMYFUNCTION("""COMPUTED_VALUE"""),110.0)</f>
        <v>110</v>
      </c>
      <c r="AF530" s="131">
        <f>IFERROR(__xludf.DUMMYFUNCTION("""COMPUTED_VALUE"""),122.0)</f>
        <v>122</v>
      </c>
      <c r="AG530" s="131">
        <f>IFERROR(__xludf.DUMMYFUNCTION("""COMPUTED_VALUE"""),7.0)</f>
        <v>7</v>
      </c>
      <c r="AH530" s="131">
        <f>IFERROR(__xludf.DUMMYFUNCTION("""COMPUTED_VALUE"""),7.0)</f>
        <v>7</v>
      </c>
      <c r="AI530" s="131">
        <f>IFERROR(__xludf.DUMMYFUNCTION("""COMPUTED_VALUE"""),310.0)</f>
        <v>310</v>
      </c>
      <c r="AJ530" s="131"/>
      <c r="AK530" s="131"/>
    </row>
    <row r="531">
      <c r="A531" s="145" t="str">
        <f>IFERROR(__xludf.DUMMYFUNCTION("""COMPUTED_VALUE"""),"Y")</f>
        <v>Y</v>
      </c>
      <c r="B531" s="146" t="str">
        <f>IFERROR(__xludf.DUMMYFUNCTION("""COMPUTED_VALUE"""),"7")</f>
        <v>7</v>
      </c>
      <c r="C531" s="146" t="str">
        <f>IFERROR(__xludf.DUMMYFUNCTION("""COMPUTED_VALUE"""),"115-120")</f>
        <v>115-120</v>
      </c>
      <c r="D531" s="147">
        <f>IFERROR(__xludf.DUMMYFUNCTION("""COMPUTED_VALUE"""),45771.0)</f>
        <v>45771</v>
      </c>
      <c r="E531" s="147">
        <f>IFERROR(__xludf.DUMMYFUNCTION("""COMPUTED_VALUE"""),45778.0)</f>
        <v>45778</v>
      </c>
      <c r="F531" s="147">
        <f>IFERROR(__xludf.DUMMYFUNCTION("""COMPUTED_VALUE"""),45799.0)</f>
        <v>45799</v>
      </c>
      <c r="G531" s="146" t="str">
        <f>IFERROR(__xludf.DUMMYFUNCTION("""COMPUTED_VALUE"""),"D42-2R")</f>
        <v>D42-2R</v>
      </c>
      <c r="H531" s="148"/>
      <c r="I531" s="148"/>
      <c r="J531" s="146"/>
      <c r="K531" s="146"/>
      <c r="L531" s="146">
        <f>IFERROR(__xludf.DUMMYFUNCTION("""COMPUTED_VALUE"""),110.0)</f>
        <v>110</v>
      </c>
      <c r="M531" s="146">
        <f>IFERROR(__xludf.DUMMYFUNCTION("""COMPUTED_VALUE"""),122.0)</f>
        <v>122</v>
      </c>
      <c r="N531" s="146">
        <f>IFERROR(__xludf.DUMMYFUNCTION("""COMPUTED_VALUE"""),7.0)</f>
        <v>7</v>
      </c>
      <c r="O531" s="146">
        <f>IFERROR(__xludf.DUMMYFUNCTION("""COMPUTED_VALUE"""),7.0)</f>
        <v>7</v>
      </c>
      <c r="P531" s="146">
        <f>IFERROR(__xludf.DUMMYFUNCTION("""COMPUTED_VALUE"""),310.0)</f>
        <v>310</v>
      </c>
      <c r="Q531" s="146"/>
      <c r="R531" s="146"/>
      <c r="T531" s="131" t="str">
        <f>IFERROR(__xludf.DUMMYFUNCTION("""COMPUTED_VALUE"""),"Y")</f>
        <v>Y</v>
      </c>
      <c r="U531" s="131" t="str">
        <f>IFERROR(__xludf.DUMMYFUNCTION("""COMPUTED_VALUE"""),"7")</f>
        <v>7</v>
      </c>
      <c r="V531" s="131" t="str">
        <f>IFERROR(__xludf.DUMMYFUNCTION("""COMPUTED_VALUE"""),"127-132 ")</f>
        <v>127-132 </v>
      </c>
      <c r="W531" s="144">
        <f>IFERROR(__xludf.DUMMYFUNCTION("""COMPUTED_VALUE"""),45773.0)</f>
        <v>45773</v>
      </c>
      <c r="X531" s="144">
        <f>IFERROR(__xludf.DUMMYFUNCTION("""COMPUTED_VALUE"""),45780.0)</f>
        <v>45780</v>
      </c>
      <c r="Y531" s="144">
        <f>IFERROR(__xludf.DUMMYFUNCTION("""COMPUTED_VALUE"""),45801.0)</f>
        <v>45801</v>
      </c>
      <c r="Z531" s="131" t="str">
        <f>IFERROR(__xludf.DUMMYFUNCTION("""COMPUTED_VALUE"""),"D42-2R")</f>
        <v>D42-2R</v>
      </c>
      <c r="AA531" s="131">
        <f>IFERROR(__xludf.DUMMYFUNCTION("""COMPUTED_VALUE"""),305.0)</f>
        <v>305</v>
      </c>
      <c r="AB531" s="131">
        <f>IFERROR(__xludf.DUMMYFUNCTION("""COMPUTED_VALUE"""),309.0)</f>
        <v>309</v>
      </c>
      <c r="AC531" s="131">
        <f>IFERROR(__xludf.DUMMYFUNCTION("""COMPUTED_VALUE"""),3.0)</f>
        <v>3</v>
      </c>
      <c r="AD531" s="131">
        <f>IFERROR(__xludf.DUMMYFUNCTION("""COMPUTED_VALUE"""),3.0)</f>
        <v>3</v>
      </c>
      <c r="AE531" s="131">
        <f>IFERROR(__xludf.DUMMYFUNCTION("""COMPUTED_VALUE"""),124.0)</f>
        <v>124</v>
      </c>
      <c r="AF531" s="131">
        <f>IFERROR(__xludf.DUMMYFUNCTION("""COMPUTED_VALUE"""),156.0)</f>
        <v>156</v>
      </c>
      <c r="AG531" s="131">
        <f>IFERROR(__xludf.DUMMYFUNCTION("""COMPUTED_VALUE"""),17.0)</f>
        <v>17</v>
      </c>
      <c r="AH531" s="131">
        <f>IFERROR(__xludf.DUMMYFUNCTION("""COMPUTED_VALUE"""),17.0)</f>
        <v>17</v>
      </c>
      <c r="AI531" s="131">
        <f>IFERROR(__xludf.DUMMYFUNCTION("""COMPUTED_VALUE"""),311.0)</f>
        <v>311</v>
      </c>
      <c r="AJ531" s="131"/>
      <c r="AK531" s="131"/>
    </row>
    <row r="532">
      <c r="A532" s="145" t="str">
        <f>IFERROR(__xludf.DUMMYFUNCTION("""COMPUTED_VALUE"""),"Y")</f>
        <v>Y</v>
      </c>
      <c r="B532" s="146" t="str">
        <f>IFERROR(__xludf.DUMMYFUNCTION("""COMPUTED_VALUE"""),"7")</f>
        <v>7</v>
      </c>
      <c r="C532" s="146" t="str">
        <f>IFERROR(__xludf.DUMMYFUNCTION("""COMPUTED_VALUE"""),"127-132 ")</f>
        <v>127-132 </v>
      </c>
      <c r="D532" s="147">
        <f>IFERROR(__xludf.DUMMYFUNCTION("""COMPUTED_VALUE"""),45773.0)</f>
        <v>45773</v>
      </c>
      <c r="E532" s="147">
        <f>IFERROR(__xludf.DUMMYFUNCTION("""COMPUTED_VALUE"""),45780.0)</f>
        <v>45780</v>
      </c>
      <c r="F532" s="147">
        <f>IFERROR(__xludf.DUMMYFUNCTION("""COMPUTED_VALUE"""),45801.0)</f>
        <v>45801</v>
      </c>
      <c r="G532" s="146" t="str">
        <f>IFERROR(__xludf.DUMMYFUNCTION("""COMPUTED_VALUE"""),"D42-2R")</f>
        <v>D42-2R</v>
      </c>
      <c r="H532" s="148">
        <f>IFERROR(__xludf.DUMMYFUNCTION("""COMPUTED_VALUE"""),305.0)</f>
        <v>305</v>
      </c>
      <c r="I532" s="148">
        <f>IFERROR(__xludf.DUMMYFUNCTION("""COMPUTED_VALUE"""),309.0)</f>
        <v>309</v>
      </c>
      <c r="J532" s="146">
        <f>IFERROR(__xludf.DUMMYFUNCTION("""COMPUTED_VALUE"""),3.0)</f>
        <v>3</v>
      </c>
      <c r="K532" s="146">
        <f>IFERROR(__xludf.DUMMYFUNCTION("""COMPUTED_VALUE"""),3.0)</f>
        <v>3</v>
      </c>
      <c r="L532" s="146">
        <f>IFERROR(__xludf.DUMMYFUNCTION("""COMPUTED_VALUE"""),124.0)</f>
        <v>124</v>
      </c>
      <c r="M532" s="146">
        <f>IFERROR(__xludf.DUMMYFUNCTION("""COMPUTED_VALUE"""),156.0)</f>
        <v>156</v>
      </c>
      <c r="N532" s="146">
        <f>IFERROR(__xludf.DUMMYFUNCTION("""COMPUTED_VALUE"""),17.0)</f>
        <v>17</v>
      </c>
      <c r="O532" s="146">
        <f>IFERROR(__xludf.DUMMYFUNCTION("""COMPUTED_VALUE"""),17.0)</f>
        <v>17</v>
      </c>
      <c r="P532" s="146">
        <f>IFERROR(__xludf.DUMMYFUNCTION("""COMPUTED_VALUE"""),311.0)</f>
        <v>311</v>
      </c>
      <c r="Q532" s="146"/>
      <c r="R532" s="146"/>
      <c r="T532" s="131" t="str">
        <f>IFERROR(__xludf.DUMMYFUNCTION("""COMPUTED_VALUE"""),"Y")</f>
        <v>Y</v>
      </c>
      <c r="U532" s="131" t="str">
        <f>IFERROR(__xludf.DUMMYFUNCTION("""COMPUTED_VALUE"""),"7")</f>
        <v>7</v>
      </c>
      <c r="V532" s="131" t="str">
        <f>IFERROR(__xludf.DUMMYFUNCTION("""COMPUTED_VALUE"""),"127-132 ")</f>
        <v>127-132 </v>
      </c>
      <c r="W532" s="144">
        <f>IFERROR(__xludf.DUMMYFUNCTION("""COMPUTED_VALUE"""),45773.0)</f>
        <v>45773</v>
      </c>
      <c r="X532" s="144">
        <f>IFERROR(__xludf.DUMMYFUNCTION("""COMPUTED_VALUE"""),45780.0)</f>
        <v>45780</v>
      </c>
      <c r="Y532" s="144">
        <f>IFERROR(__xludf.DUMMYFUNCTION("""COMPUTED_VALUE"""),45801.0)</f>
        <v>45801</v>
      </c>
      <c r="Z532" s="131" t="str">
        <f>IFERROR(__xludf.DUMMYFUNCTION("""COMPUTED_VALUE"""),"D42-2R")</f>
        <v>D42-2R</v>
      </c>
      <c r="AA532" s="131"/>
      <c r="AB532" s="131"/>
      <c r="AC532" s="131"/>
      <c r="AD532" s="131"/>
      <c r="AE532" s="131">
        <f>IFERROR(__xludf.DUMMYFUNCTION("""COMPUTED_VALUE"""),160.0)</f>
        <v>160</v>
      </c>
      <c r="AF532" s="131">
        <f>IFERROR(__xludf.DUMMYFUNCTION("""COMPUTED_VALUE"""),208.0)</f>
        <v>208</v>
      </c>
      <c r="AG532" s="131">
        <f>IFERROR(__xludf.DUMMYFUNCTION("""COMPUTED_VALUE"""),25.0)</f>
        <v>25</v>
      </c>
      <c r="AH532" s="131">
        <f>IFERROR(__xludf.DUMMYFUNCTION("""COMPUTED_VALUE"""),25.0)</f>
        <v>25</v>
      </c>
      <c r="AI532" s="131">
        <f>IFERROR(__xludf.DUMMYFUNCTION("""COMPUTED_VALUE"""),311.0)</f>
        <v>311</v>
      </c>
      <c r="AJ532" s="131"/>
      <c r="AK532" s="131"/>
    </row>
    <row r="533">
      <c r="A533" s="145" t="str">
        <f>IFERROR(__xludf.DUMMYFUNCTION("""COMPUTED_VALUE"""),"Y")</f>
        <v>Y</v>
      </c>
      <c r="B533" s="146" t="str">
        <f>IFERROR(__xludf.DUMMYFUNCTION("""COMPUTED_VALUE"""),"7")</f>
        <v>7</v>
      </c>
      <c r="C533" s="146" t="str">
        <f>IFERROR(__xludf.DUMMYFUNCTION("""COMPUTED_VALUE"""),"127-132 ")</f>
        <v>127-132 </v>
      </c>
      <c r="D533" s="147">
        <f>IFERROR(__xludf.DUMMYFUNCTION("""COMPUTED_VALUE"""),45773.0)</f>
        <v>45773</v>
      </c>
      <c r="E533" s="147">
        <f>IFERROR(__xludf.DUMMYFUNCTION("""COMPUTED_VALUE"""),45780.0)</f>
        <v>45780</v>
      </c>
      <c r="F533" s="147">
        <f>IFERROR(__xludf.DUMMYFUNCTION("""COMPUTED_VALUE"""),45801.0)</f>
        <v>45801</v>
      </c>
      <c r="G533" s="146" t="str">
        <f>IFERROR(__xludf.DUMMYFUNCTION("""COMPUTED_VALUE"""),"D42-2R")</f>
        <v>D42-2R</v>
      </c>
      <c r="H533" s="148"/>
      <c r="I533" s="148"/>
      <c r="J533" s="146"/>
      <c r="K533" s="146"/>
      <c r="L533" s="146">
        <f>IFERROR(__xludf.DUMMYFUNCTION("""COMPUTED_VALUE"""),160.0)</f>
        <v>160</v>
      </c>
      <c r="M533" s="146">
        <f>IFERROR(__xludf.DUMMYFUNCTION("""COMPUTED_VALUE"""),208.0)</f>
        <v>208</v>
      </c>
      <c r="N533" s="146">
        <f>IFERROR(__xludf.DUMMYFUNCTION("""COMPUTED_VALUE"""),25.0)</f>
        <v>25</v>
      </c>
      <c r="O533" s="146">
        <f>IFERROR(__xludf.DUMMYFUNCTION("""COMPUTED_VALUE"""),25.0)</f>
        <v>25</v>
      </c>
      <c r="P533" s="146">
        <f>IFERROR(__xludf.DUMMYFUNCTION("""COMPUTED_VALUE"""),311.0)</f>
        <v>311</v>
      </c>
      <c r="Q533" s="146"/>
      <c r="R533" s="146"/>
      <c r="T533" s="131" t="str">
        <f>IFERROR(__xludf.DUMMYFUNCTION("""COMPUTED_VALUE"""),"Y")</f>
        <v>Y</v>
      </c>
      <c r="U533" s="131" t="str">
        <f>IFERROR(__xludf.DUMMYFUNCTION("""COMPUTED_VALUE"""),"7")</f>
        <v>7</v>
      </c>
      <c r="V533" s="131" t="str">
        <f>IFERROR(__xludf.DUMMYFUNCTION("""COMPUTED_VALUE"""),"127-132 يوجد اختلاف في رقم البتوينا")</f>
        <v>127-132 يوجد اختلاف في رقم البتوينا</v>
      </c>
      <c r="W533" s="144">
        <f>IFERROR(__xludf.DUMMYFUNCTION("""COMPUTED_VALUE"""),45773.0)</f>
        <v>45773</v>
      </c>
      <c r="X533" s="144">
        <f>IFERROR(__xludf.DUMMYFUNCTION("""COMPUTED_VALUE"""),45780.0)</f>
        <v>45780</v>
      </c>
      <c r="Y533" s="144">
        <f>IFERROR(__xludf.DUMMYFUNCTION("""COMPUTED_VALUE"""),45801.0)</f>
        <v>45801</v>
      </c>
      <c r="Z533" s="131" t="str">
        <f>IFERROR(__xludf.DUMMYFUNCTION("""COMPUTED_VALUE"""),"D42-2R")</f>
        <v>D42-2R</v>
      </c>
      <c r="AA533" s="131"/>
      <c r="AB533" s="131"/>
      <c r="AC533" s="131"/>
      <c r="AD533" s="131"/>
      <c r="AE533" s="131">
        <f>IFERROR(__xludf.DUMMYFUNCTION("""COMPUTED_VALUE"""),210.0)</f>
        <v>210</v>
      </c>
      <c r="AF533" s="131">
        <f>IFERROR(__xludf.DUMMYFUNCTION("""COMPUTED_VALUE"""),310.0)</f>
        <v>310</v>
      </c>
      <c r="AG533" s="131">
        <f>IFERROR(__xludf.DUMMYFUNCTION("""COMPUTED_VALUE"""),51.0)</f>
        <v>51</v>
      </c>
      <c r="AH533" s="131">
        <f>IFERROR(__xludf.DUMMYFUNCTION("""COMPUTED_VALUE"""),51.0)</f>
        <v>51</v>
      </c>
      <c r="AI533" s="131">
        <f>IFERROR(__xludf.DUMMYFUNCTION("""COMPUTED_VALUE"""),311.0)</f>
        <v>311</v>
      </c>
      <c r="AJ533" s="131"/>
      <c r="AK533" s="131"/>
    </row>
    <row r="534">
      <c r="A534" s="145" t="str">
        <f>IFERROR(__xludf.DUMMYFUNCTION("""COMPUTED_VALUE"""),"Y")</f>
        <v>Y</v>
      </c>
      <c r="B534" s="146" t="str">
        <f>IFERROR(__xludf.DUMMYFUNCTION("""COMPUTED_VALUE"""),"7")</f>
        <v>7</v>
      </c>
      <c r="C534" s="146" t="str">
        <f>IFERROR(__xludf.DUMMYFUNCTION("""COMPUTED_VALUE"""),"127-132 يوجد اختلاف في رقم البتوينا")</f>
        <v>127-132 يوجد اختلاف في رقم البتوينا</v>
      </c>
      <c r="D534" s="147">
        <f>IFERROR(__xludf.DUMMYFUNCTION("""COMPUTED_VALUE"""),45773.0)</f>
        <v>45773</v>
      </c>
      <c r="E534" s="147">
        <f>IFERROR(__xludf.DUMMYFUNCTION("""COMPUTED_VALUE"""),45780.0)</f>
        <v>45780</v>
      </c>
      <c r="F534" s="147">
        <f>IFERROR(__xludf.DUMMYFUNCTION("""COMPUTED_VALUE"""),45801.0)</f>
        <v>45801</v>
      </c>
      <c r="G534" s="146" t="str">
        <f>IFERROR(__xludf.DUMMYFUNCTION("""COMPUTED_VALUE"""),"D42-2R")</f>
        <v>D42-2R</v>
      </c>
      <c r="H534" s="148"/>
      <c r="I534" s="148"/>
      <c r="J534" s="146"/>
      <c r="K534" s="146"/>
      <c r="L534" s="146">
        <f>IFERROR(__xludf.DUMMYFUNCTION("""COMPUTED_VALUE"""),210.0)</f>
        <v>210</v>
      </c>
      <c r="M534" s="146">
        <f>IFERROR(__xludf.DUMMYFUNCTION("""COMPUTED_VALUE"""),310.0)</f>
        <v>310</v>
      </c>
      <c r="N534" s="146">
        <f>IFERROR(__xludf.DUMMYFUNCTION("""COMPUTED_VALUE"""),51.0)</f>
        <v>51</v>
      </c>
      <c r="O534" s="146">
        <f>IFERROR(__xludf.DUMMYFUNCTION("""COMPUTED_VALUE"""),51.0)</f>
        <v>51</v>
      </c>
      <c r="P534" s="146">
        <f>IFERROR(__xludf.DUMMYFUNCTION("""COMPUTED_VALUE"""),311.0)</f>
        <v>311</v>
      </c>
      <c r="Q534" s="146"/>
      <c r="R534" s="146"/>
      <c r="T534" s="131" t="str">
        <f>IFERROR(__xludf.DUMMYFUNCTION("""COMPUTED_VALUE"""),"Y")</f>
        <v>Y</v>
      </c>
      <c r="U534" s="131" t="str">
        <f>IFERROR(__xludf.DUMMYFUNCTION("""COMPUTED_VALUE"""),"7")</f>
        <v>7</v>
      </c>
      <c r="V534" s="131" t="str">
        <f>IFERROR(__xludf.DUMMYFUNCTION("""COMPUTED_VALUE"""),"127-132 ")</f>
        <v>127-132 </v>
      </c>
      <c r="W534" s="144">
        <f>IFERROR(__xludf.DUMMYFUNCTION("""COMPUTED_VALUE"""),45773.0)</f>
        <v>45773</v>
      </c>
      <c r="X534" s="144">
        <f>IFERROR(__xludf.DUMMYFUNCTION("""COMPUTED_VALUE"""),45780.0)</f>
        <v>45780</v>
      </c>
      <c r="Y534" s="144">
        <f>IFERROR(__xludf.DUMMYFUNCTION("""COMPUTED_VALUE"""),45801.0)</f>
        <v>45801</v>
      </c>
      <c r="Z534" s="131" t="str">
        <f>IFERROR(__xludf.DUMMYFUNCTION("""COMPUTED_VALUE"""),"D42-2L")</f>
        <v>D42-2L</v>
      </c>
      <c r="AA534" s="131">
        <f>IFERROR(__xludf.DUMMYFUNCTION("""COMPUTED_VALUE"""),9.0)</f>
        <v>9</v>
      </c>
      <c r="AB534" s="131">
        <f>IFERROR(__xludf.DUMMYFUNCTION("""COMPUTED_VALUE"""),85.0)</f>
        <v>85</v>
      </c>
      <c r="AC534" s="131">
        <f>IFERROR(__xludf.DUMMYFUNCTION("""COMPUTED_VALUE"""),39.0)</f>
        <v>39</v>
      </c>
      <c r="AD534" s="131">
        <f>IFERROR(__xludf.DUMMYFUNCTION("""COMPUTED_VALUE"""),39.0)</f>
        <v>39</v>
      </c>
      <c r="AE534" s="131"/>
      <c r="AF534" s="131"/>
      <c r="AG534" s="131"/>
      <c r="AH534" s="131"/>
      <c r="AI534" s="131">
        <f>IFERROR(__xludf.DUMMYFUNCTION("""COMPUTED_VALUE"""),311.0)</f>
        <v>311</v>
      </c>
      <c r="AJ534" s="131"/>
      <c r="AK534" s="131"/>
    </row>
    <row r="535">
      <c r="A535" s="145" t="str">
        <f>IFERROR(__xludf.DUMMYFUNCTION("""COMPUTED_VALUE"""),"Y")</f>
        <v>Y</v>
      </c>
      <c r="B535" s="146" t="str">
        <f>IFERROR(__xludf.DUMMYFUNCTION("""COMPUTED_VALUE"""),"7")</f>
        <v>7</v>
      </c>
      <c r="C535" s="146" t="str">
        <f>IFERROR(__xludf.DUMMYFUNCTION("""COMPUTED_VALUE"""),"127-132 ")</f>
        <v>127-132 </v>
      </c>
      <c r="D535" s="147">
        <f>IFERROR(__xludf.DUMMYFUNCTION("""COMPUTED_VALUE"""),45773.0)</f>
        <v>45773</v>
      </c>
      <c r="E535" s="147">
        <f>IFERROR(__xludf.DUMMYFUNCTION("""COMPUTED_VALUE"""),45780.0)</f>
        <v>45780</v>
      </c>
      <c r="F535" s="147">
        <f>IFERROR(__xludf.DUMMYFUNCTION("""COMPUTED_VALUE"""),45801.0)</f>
        <v>45801</v>
      </c>
      <c r="G535" s="146" t="str">
        <f>IFERROR(__xludf.DUMMYFUNCTION("""COMPUTED_VALUE"""),"D42-2L")</f>
        <v>D42-2L</v>
      </c>
      <c r="H535" s="148">
        <f>IFERROR(__xludf.DUMMYFUNCTION("""COMPUTED_VALUE"""),9.0)</f>
        <v>9</v>
      </c>
      <c r="I535" s="148">
        <f>IFERROR(__xludf.DUMMYFUNCTION("""COMPUTED_VALUE"""),85.0)</f>
        <v>85</v>
      </c>
      <c r="J535" s="146">
        <f>IFERROR(__xludf.DUMMYFUNCTION("""COMPUTED_VALUE"""),39.0)</f>
        <v>39</v>
      </c>
      <c r="K535" s="146">
        <f>IFERROR(__xludf.DUMMYFUNCTION("""COMPUTED_VALUE"""),39.0)</f>
        <v>39</v>
      </c>
      <c r="L535" s="146"/>
      <c r="M535" s="146"/>
      <c r="N535" s="146"/>
      <c r="O535" s="146"/>
      <c r="P535" s="146">
        <f>IFERROR(__xludf.DUMMYFUNCTION("""COMPUTED_VALUE"""),311.0)</f>
        <v>311</v>
      </c>
      <c r="Q535" s="146"/>
      <c r="R535" s="146"/>
      <c r="T535" s="131" t="str">
        <f>IFERROR(__xludf.DUMMYFUNCTION("""COMPUTED_VALUE"""),"Y")</f>
        <v>Y</v>
      </c>
      <c r="U535" s="131" t="str">
        <f>IFERROR(__xludf.DUMMYFUNCTION("""COMPUTED_VALUE"""),"7")</f>
        <v>7</v>
      </c>
      <c r="V535" s="131" t="str">
        <f>IFERROR(__xludf.DUMMYFUNCTION("""COMPUTED_VALUE"""),"145-150")</f>
        <v>145-150</v>
      </c>
      <c r="W535" s="144">
        <f>IFERROR(__xludf.DUMMYFUNCTION("""COMPUTED_VALUE"""),45774.0)</f>
        <v>45774</v>
      </c>
      <c r="X535" s="144">
        <f>IFERROR(__xludf.DUMMYFUNCTION("""COMPUTED_VALUE"""),45781.0)</f>
        <v>45781</v>
      </c>
      <c r="Y535" s="144">
        <f>IFERROR(__xludf.DUMMYFUNCTION("""COMPUTED_VALUE"""),45802.0)</f>
        <v>45802</v>
      </c>
      <c r="Z535" s="131" t="str">
        <f>IFERROR(__xludf.DUMMYFUNCTION("""COMPUTED_VALUE"""),"D42-2L")</f>
        <v>D42-2L</v>
      </c>
      <c r="AA535" s="131">
        <f>IFERROR(__xludf.DUMMYFUNCTION("""COMPUTED_VALUE"""),87.0)</f>
        <v>87</v>
      </c>
      <c r="AB535" s="131">
        <f>IFERROR(__xludf.DUMMYFUNCTION("""COMPUTED_VALUE"""),309.0)</f>
        <v>309</v>
      </c>
      <c r="AC535" s="131">
        <f>IFERROR(__xludf.DUMMYFUNCTION("""COMPUTED_VALUE"""),112.0)</f>
        <v>112</v>
      </c>
      <c r="AD535" s="131">
        <f>IFERROR(__xludf.DUMMYFUNCTION("""COMPUTED_VALUE"""),112.0)</f>
        <v>112</v>
      </c>
      <c r="AE535" s="131">
        <f>IFERROR(__xludf.DUMMYFUNCTION("""COMPUTED_VALUE"""),10.0)</f>
        <v>10</v>
      </c>
      <c r="AF535" s="131">
        <f>IFERROR(__xludf.DUMMYFUNCTION("""COMPUTED_VALUE"""),74.0)</f>
        <v>74</v>
      </c>
      <c r="AG535" s="131">
        <f>IFERROR(__xludf.DUMMYFUNCTION("""COMPUTED_VALUE"""),33.0)</f>
        <v>33</v>
      </c>
      <c r="AH535" s="131">
        <f>IFERROR(__xludf.DUMMYFUNCTION("""COMPUTED_VALUE"""),33.0)</f>
        <v>33</v>
      </c>
      <c r="AI535" s="131">
        <f>IFERROR(__xludf.DUMMYFUNCTION("""COMPUTED_VALUE"""),312.0)</f>
        <v>312</v>
      </c>
      <c r="AJ535" s="131"/>
      <c r="AK535" s="131"/>
    </row>
    <row r="536">
      <c r="A536" s="145" t="str">
        <f>IFERROR(__xludf.DUMMYFUNCTION("""COMPUTED_VALUE"""),"Y")</f>
        <v>Y</v>
      </c>
      <c r="B536" s="146" t="str">
        <f>IFERROR(__xludf.DUMMYFUNCTION("""COMPUTED_VALUE"""),"7")</f>
        <v>7</v>
      </c>
      <c r="C536" s="146" t="str">
        <f>IFERROR(__xludf.DUMMYFUNCTION("""COMPUTED_VALUE"""),"145-150")</f>
        <v>145-150</v>
      </c>
      <c r="D536" s="147">
        <f>IFERROR(__xludf.DUMMYFUNCTION("""COMPUTED_VALUE"""),45774.0)</f>
        <v>45774</v>
      </c>
      <c r="E536" s="147">
        <f>IFERROR(__xludf.DUMMYFUNCTION("""COMPUTED_VALUE"""),45781.0)</f>
        <v>45781</v>
      </c>
      <c r="F536" s="147">
        <f>IFERROR(__xludf.DUMMYFUNCTION("""COMPUTED_VALUE"""),45802.0)</f>
        <v>45802</v>
      </c>
      <c r="G536" s="146" t="str">
        <f>IFERROR(__xludf.DUMMYFUNCTION("""COMPUTED_VALUE"""),"D42-2L")</f>
        <v>D42-2L</v>
      </c>
      <c r="H536" s="148">
        <f>IFERROR(__xludf.DUMMYFUNCTION("""COMPUTED_VALUE"""),87.0)</f>
        <v>87</v>
      </c>
      <c r="I536" s="148">
        <f>IFERROR(__xludf.DUMMYFUNCTION("""COMPUTED_VALUE"""),309.0)</f>
        <v>309</v>
      </c>
      <c r="J536" s="146">
        <f>IFERROR(__xludf.DUMMYFUNCTION("""COMPUTED_VALUE"""),112.0)</f>
        <v>112</v>
      </c>
      <c r="K536" s="146">
        <f>IFERROR(__xludf.DUMMYFUNCTION("""COMPUTED_VALUE"""),112.0)</f>
        <v>112</v>
      </c>
      <c r="L536" s="146">
        <f>IFERROR(__xludf.DUMMYFUNCTION("""COMPUTED_VALUE"""),10.0)</f>
        <v>10</v>
      </c>
      <c r="M536" s="146">
        <f>IFERROR(__xludf.DUMMYFUNCTION("""COMPUTED_VALUE"""),74.0)</f>
        <v>74</v>
      </c>
      <c r="N536" s="146">
        <f>IFERROR(__xludf.DUMMYFUNCTION("""COMPUTED_VALUE"""),33.0)</f>
        <v>33</v>
      </c>
      <c r="O536" s="146">
        <f>IFERROR(__xludf.DUMMYFUNCTION("""COMPUTED_VALUE"""),33.0)</f>
        <v>33</v>
      </c>
      <c r="P536" s="146">
        <f>IFERROR(__xludf.DUMMYFUNCTION("""COMPUTED_VALUE"""),312.0)</f>
        <v>312</v>
      </c>
      <c r="Q536" s="146"/>
      <c r="R536" s="146"/>
      <c r="T536" s="131" t="str">
        <f>IFERROR(__xludf.DUMMYFUNCTION("""COMPUTED_VALUE"""),"Y")</f>
        <v>Y</v>
      </c>
      <c r="U536" s="131" t="str">
        <f>IFERROR(__xludf.DUMMYFUNCTION("""COMPUTED_VALUE"""),"7")</f>
        <v>7</v>
      </c>
      <c r="V536" s="131" t="str">
        <f>IFERROR(__xludf.DUMMYFUNCTION("""COMPUTED_VALUE"""),"157-162")</f>
        <v>157-162</v>
      </c>
      <c r="W536" s="144">
        <f>IFERROR(__xludf.DUMMYFUNCTION("""COMPUTED_VALUE"""),45774.0)</f>
        <v>45774</v>
      </c>
      <c r="X536" s="144">
        <f>IFERROR(__xludf.DUMMYFUNCTION("""COMPUTED_VALUE"""),45781.0)</f>
        <v>45781</v>
      </c>
      <c r="Y536" s="144">
        <f>IFERROR(__xludf.DUMMYFUNCTION("""COMPUTED_VALUE"""),45802.0)</f>
        <v>45802</v>
      </c>
      <c r="Z536" s="131" t="str">
        <f>IFERROR(__xludf.DUMMYFUNCTION("""COMPUTED_VALUE"""),"D35-1L")</f>
        <v>D35-1L</v>
      </c>
      <c r="AA536" s="131">
        <f>IFERROR(__xludf.DUMMYFUNCTION("""COMPUTED_VALUE"""),5.0)</f>
        <v>5</v>
      </c>
      <c r="AB536" s="131">
        <f>IFERROR(__xludf.DUMMYFUNCTION("""COMPUTED_VALUE"""),7.0)</f>
        <v>7</v>
      </c>
      <c r="AC536" s="131">
        <f>IFERROR(__xludf.DUMMYFUNCTION("""COMPUTED_VALUE"""),2.0)</f>
        <v>2</v>
      </c>
      <c r="AD536" s="131">
        <f>IFERROR(__xludf.DUMMYFUNCTION("""COMPUTED_VALUE"""),2.0)</f>
        <v>2</v>
      </c>
      <c r="AE536" s="131"/>
      <c r="AF536" s="131"/>
      <c r="AG536" s="131"/>
      <c r="AH536" s="131"/>
      <c r="AI536" s="131">
        <f>IFERROR(__xludf.DUMMYFUNCTION("""COMPUTED_VALUE"""),314.0)</f>
        <v>314</v>
      </c>
      <c r="AJ536" s="131"/>
      <c r="AK536" s="131"/>
    </row>
    <row r="537">
      <c r="A537" s="145" t="str">
        <f>IFERROR(__xludf.DUMMYFUNCTION("""COMPUTED_VALUE"""),"Y")</f>
        <v>Y</v>
      </c>
      <c r="B537" s="146" t="str">
        <f>IFERROR(__xludf.DUMMYFUNCTION("""COMPUTED_VALUE"""),"7")</f>
        <v>7</v>
      </c>
      <c r="C537" s="146" t="str">
        <f>IFERROR(__xludf.DUMMYFUNCTION("""COMPUTED_VALUE"""),"157-162")</f>
        <v>157-162</v>
      </c>
      <c r="D537" s="147">
        <f>IFERROR(__xludf.DUMMYFUNCTION("""COMPUTED_VALUE"""),45774.0)</f>
        <v>45774</v>
      </c>
      <c r="E537" s="147">
        <f>IFERROR(__xludf.DUMMYFUNCTION("""COMPUTED_VALUE"""),45781.0)</f>
        <v>45781</v>
      </c>
      <c r="F537" s="147">
        <f>IFERROR(__xludf.DUMMYFUNCTION("""COMPUTED_VALUE"""),45802.0)</f>
        <v>45802</v>
      </c>
      <c r="G537" s="146" t="str">
        <f>IFERROR(__xludf.DUMMYFUNCTION("""COMPUTED_VALUE"""),"D35-1L")</f>
        <v>D35-1L</v>
      </c>
      <c r="H537" s="148">
        <f>IFERROR(__xludf.DUMMYFUNCTION("""COMPUTED_VALUE"""),5.0)</f>
        <v>5</v>
      </c>
      <c r="I537" s="148">
        <f>IFERROR(__xludf.DUMMYFUNCTION("""COMPUTED_VALUE"""),7.0)</f>
        <v>7</v>
      </c>
      <c r="J537" s="146">
        <f>IFERROR(__xludf.DUMMYFUNCTION("""COMPUTED_VALUE"""),2.0)</f>
        <v>2</v>
      </c>
      <c r="K537" s="146">
        <f>IFERROR(__xludf.DUMMYFUNCTION("""COMPUTED_VALUE"""),2.0)</f>
        <v>2</v>
      </c>
      <c r="L537" s="146"/>
      <c r="M537" s="146"/>
      <c r="N537" s="146"/>
      <c r="O537" s="146"/>
      <c r="P537" s="146">
        <f>IFERROR(__xludf.DUMMYFUNCTION("""COMPUTED_VALUE"""),314.0)</f>
        <v>314</v>
      </c>
      <c r="Q537" s="146"/>
      <c r="R537" s="146"/>
      <c r="T537" s="131" t="str">
        <f>IFERROR(__xludf.DUMMYFUNCTION("""COMPUTED_VALUE"""),"Y")</f>
        <v>Y</v>
      </c>
      <c r="U537" s="131" t="str">
        <f>IFERROR(__xludf.DUMMYFUNCTION("""COMPUTED_VALUE"""),"7")</f>
        <v>7</v>
      </c>
      <c r="V537" s="131" t="str">
        <f>IFERROR(__xludf.DUMMYFUNCTION("""COMPUTED_VALUE"""),"157-162")</f>
        <v>157-162</v>
      </c>
      <c r="W537" s="144">
        <f>IFERROR(__xludf.DUMMYFUNCTION("""COMPUTED_VALUE"""),45774.0)</f>
        <v>45774</v>
      </c>
      <c r="X537" s="144">
        <f>IFERROR(__xludf.DUMMYFUNCTION("""COMPUTED_VALUE"""),45781.0)</f>
        <v>45781</v>
      </c>
      <c r="Y537" s="144">
        <f>IFERROR(__xludf.DUMMYFUNCTION("""COMPUTED_VALUE"""),45802.0)</f>
        <v>45802</v>
      </c>
      <c r="Z537" s="131" t="str">
        <f>IFERROR(__xludf.DUMMYFUNCTION("""COMPUTED_VALUE"""),"D35-1L")</f>
        <v>D35-1L</v>
      </c>
      <c r="AA537" s="131">
        <f>IFERROR(__xludf.DUMMYFUNCTION("""COMPUTED_VALUE"""),9.0)</f>
        <v>9</v>
      </c>
      <c r="AB537" s="131">
        <f>IFERROR(__xludf.DUMMYFUNCTION("""COMPUTED_VALUE"""),57.0)</f>
        <v>57</v>
      </c>
      <c r="AC537" s="131">
        <f>IFERROR(__xludf.DUMMYFUNCTION("""COMPUTED_VALUE"""),25.0)</f>
        <v>25</v>
      </c>
      <c r="AD537" s="131">
        <f>IFERROR(__xludf.DUMMYFUNCTION("""COMPUTED_VALUE"""),25.0)</f>
        <v>25</v>
      </c>
      <c r="AE537" s="131"/>
      <c r="AF537" s="131"/>
      <c r="AG537" s="131"/>
      <c r="AH537" s="131"/>
      <c r="AI537" s="131">
        <f>IFERROR(__xludf.DUMMYFUNCTION("""COMPUTED_VALUE"""),314.0)</f>
        <v>314</v>
      </c>
      <c r="AJ537" s="131"/>
      <c r="AK537" s="131"/>
    </row>
    <row r="538">
      <c r="A538" s="145" t="str">
        <f>IFERROR(__xludf.DUMMYFUNCTION("""COMPUTED_VALUE"""),"Y")</f>
        <v>Y</v>
      </c>
      <c r="B538" s="146" t="str">
        <f>IFERROR(__xludf.DUMMYFUNCTION("""COMPUTED_VALUE"""),"7")</f>
        <v>7</v>
      </c>
      <c r="C538" s="146" t="str">
        <f>IFERROR(__xludf.DUMMYFUNCTION("""COMPUTED_VALUE"""),"157-162")</f>
        <v>157-162</v>
      </c>
      <c r="D538" s="147">
        <f>IFERROR(__xludf.DUMMYFUNCTION("""COMPUTED_VALUE"""),45774.0)</f>
        <v>45774</v>
      </c>
      <c r="E538" s="147">
        <f>IFERROR(__xludf.DUMMYFUNCTION("""COMPUTED_VALUE"""),45781.0)</f>
        <v>45781</v>
      </c>
      <c r="F538" s="147">
        <f>IFERROR(__xludf.DUMMYFUNCTION("""COMPUTED_VALUE"""),45802.0)</f>
        <v>45802</v>
      </c>
      <c r="G538" s="146" t="str">
        <f>IFERROR(__xludf.DUMMYFUNCTION("""COMPUTED_VALUE"""),"D35-1L")</f>
        <v>D35-1L</v>
      </c>
      <c r="H538" s="148">
        <f>IFERROR(__xludf.DUMMYFUNCTION("""COMPUTED_VALUE"""),9.0)</f>
        <v>9</v>
      </c>
      <c r="I538" s="148">
        <f>IFERROR(__xludf.DUMMYFUNCTION("""COMPUTED_VALUE"""),57.0)</f>
        <v>57</v>
      </c>
      <c r="J538" s="146">
        <f>IFERROR(__xludf.DUMMYFUNCTION("""COMPUTED_VALUE"""),25.0)</f>
        <v>25</v>
      </c>
      <c r="K538" s="146">
        <f>IFERROR(__xludf.DUMMYFUNCTION("""COMPUTED_VALUE"""),25.0)</f>
        <v>25</v>
      </c>
      <c r="L538" s="146"/>
      <c r="M538" s="146"/>
      <c r="N538" s="146"/>
      <c r="O538" s="146"/>
      <c r="P538" s="146">
        <f>IFERROR(__xludf.DUMMYFUNCTION("""COMPUTED_VALUE"""),314.0)</f>
        <v>314</v>
      </c>
      <c r="Q538" s="146"/>
      <c r="R538" s="146"/>
      <c r="T538" s="131" t="str">
        <f>IFERROR(__xludf.DUMMYFUNCTION("""COMPUTED_VALUE"""),"Y")</f>
        <v>Y</v>
      </c>
      <c r="U538" s="131" t="str">
        <f>IFERROR(__xludf.DUMMYFUNCTION("""COMPUTED_VALUE"""),"7")</f>
        <v>7</v>
      </c>
      <c r="V538" s="131" t="str">
        <f>IFERROR(__xludf.DUMMYFUNCTION("""COMPUTED_VALUE"""),"157-162")</f>
        <v>157-162</v>
      </c>
      <c r="W538" s="144">
        <f>IFERROR(__xludf.DUMMYFUNCTION("""COMPUTED_VALUE"""),45774.0)</f>
        <v>45774</v>
      </c>
      <c r="X538" s="144">
        <f>IFERROR(__xludf.DUMMYFUNCTION("""COMPUTED_VALUE"""),45781.0)</f>
        <v>45781</v>
      </c>
      <c r="Y538" s="144">
        <f>IFERROR(__xludf.DUMMYFUNCTION("""COMPUTED_VALUE"""),45802.0)</f>
        <v>45802</v>
      </c>
      <c r="Z538" s="131" t="str">
        <f>IFERROR(__xludf.DUMMYFUNCTION("""COMPUTED_VALUE"""),"D35-1L")</f>
        <v>D35-1L</v>
      </c>
      <c r="AA538" s="131">
        <f>IFERROR(__xludf.DUMMYFUNCTION("""COMPUTED_VALUE"""),59.0)</f>
        <v>59</v>
      </c>
      <c r="AB538" s="131">
        <f>IFERROR(__xludf.DUMMYFUNCTION("""COMPUTED_VALUE"""),69.0)</f>
        <v>69</v>
      </c>
      <c r="AC538" s="131">
        <f>IFERROR(__xludf.DUMMYFUNCTION("""COMPUTED_VALUE"""),6.0)</f>
        <v>6</v>
      </c>
      <c r="AD538" s="131">
        <f>IFERROR(__xludf.DUMMYFUNCTION("""COMPUTED_VALUE"""),6.0)</f>
        <v>6</v>
      </c>
      <c r="AE538" s="131"/>
      <c r="AF538" s="131"/>
      <c r="AG538" s="131"/>
      <c r="AH538" s="131"/>
      <c r="AI538" s="131">
        <f>IFERROR(__xludf.DUMMYFUNCTION("""COMPUTED_VALUE"""),314.0)</f>
        <v>314</v>
      </c>
      <c r="AJ538" s="131"/>
      <c r="AK538" s="131"/>
    </row>
    <row r="539">
      <c r="A539" s="145" t="str">
        <f>IFERROR(__xludf.DUMMYFUNCTION("""COMPUTED_VALUE"""),"Y")</f>
        <v>Y</v>
      </c>
      <c r="B539" s="146" t="str">
        <f>IFERROR(__xludf.DUMMYFUNCTION("""COMPUTED_VALUE"""),"7")</f>
        <v>7</v>
      </c>
      <c r="C539" s="146" t="str">
        <f>IFERROR(__xludf.DUMMYFUNCTION("""COMPUTED_VALUE"""),"157-162")</f>
        <v>157-162</v>
      </c>
      <c r="D539" s="147">
        <f>IFERROR(__xludf.DUMMYFUNCTION("""COMPUTED_VALUE"""),45774.0)</f>
        <v>45774</v>
      </c>
      <c r="E539" s="147">
        <f>IFERROR(__xludf.DUMMYFUNCTION("""COMPUTED_VALUE"""),45781.0)</f>
        <v>45781</v>
      </c>
      <c r="F539" s="147">
        <f>IFERROR(__xludf.DUMMYFUNCTION("""COMPUTED_VALUE"""),45802.0)</f>
        <v>45802</v>
      </c>
      <c r="G539" s="146" t="str">
        <f>IFERROR(__xludf.DUMMYFUNCTION("""COMPUTED_VALUE"""),"D35-1L")</f>
        <v>D35-1L</v>
      </c>
      <c r="H539" s="148">
        <f>IFERROR(__xludf.DUMMYFUNCTION("""COMPUTED_VALUE"""),59.0)</f>
        <v>59</v>
      </c>
      <c r="I539" s="148">
        <f>IFERROR(__xludf.DUMMYFUNCTION("""COMPUTED_VALUE"""),69.0)</f>
        <v>69</v>
      </c>
      <c r="J539" s="146">
        <f>IFERROR(__xludf.DUMMYFUNCTION("""COMPUTED_VALUE"""),6.0)</f>
        <v>6</v>
      </c>
      <c r="K539" s="146">
        <f>IFERROR(__xludf.DUMMYFUNCTION("""COMPUTED_VALUE"""),6.0)</f>
        <v>6</v>
      </c>
      <c r="L539" s="146"/>
      <c r="M539" s="146"/>
      <c r="N539" s="146"/>
      <c r="O539" s="146"/>
      <c r="P539" s="146">
        <f>IFERROR(__xludf.DUMMYFUNCTION("""COMPUTED_VALUE"""),314.0)</f>
        <v>314</v>
      </c>
      <c r="Q539" s="146"/>
      <c r="R539" s="146"/>
      <c r="T539" s="131" t="str">
        <f>IFERROR(__xludf.DUMMYFUNCTION("""COMPUTED_VALUE"""),"Y")</f>
        <v>Y</v>
      </c>
      <c r="U539" s="131" t="str">
        <f>IFERROR(__xludf.DUMMYFUNCTION("""COMPUTED_VALUE"""),"7")</f>
        <v>7</v>
      </c>
      <c r="V539" s="131" t="str">
        <f>IFERROR(__xludf.DUMMYFUNCTION("""COMPUTED_VALUE"""),"139-144")</f>
        <v>139-144</v>
      </c>
      <c r="W539" s="144">
        <f>IFERROR(__xludf.DUMMYFUNCTION("""COMPUTED_VALUE"""),45774.0)</f>
        <v>45774</v>
      </c>
      <c r="X539" s="144">
        <f>IFERROR(__xludf.DUMMYFUNCTION("""COMPUTED_VALUE"""),45781.0)</f>
        <v>45781</v>
      </c>
      <c r="Y539" s="144">
        <f>IFERROR(__xludf.DUMMYFUNCTION("""COMPUTED_VALUE"""),45802.0)</f>
        <v>45802</v>
      </c>
      <c r="Z539" s="131" t="str">
        <f>IFERROR(__xludf.DUMMYFUNCTION("""COMPUTED_VALUE"""),"D40-4L")</f>
        <v>D40-4L</v>
      </c>
      <c r="AA539" s="131">
        <f>IFERROR(__xludf.DUMMYFUNCTION("""COMPUTED_VALUE"""),47.0)</f>
        <v>47</v>
      </c>
      <c r="AB539" s="131">
        <f>IFERROR(__xludf.DUMMYFUNCTION("""COMPUTED_VALUE"""),47.0)</f>
        <v>47</v>
      </c>
      <c r="AC539" s="131">
        <f>IFERROR(__xludf.DUMMYFUNCTION("""COMPUTED_VALUE"""),1.0)</f>
        <v>1</v>
      </c>
      <c r="AD539" s="131">
        <f>IFERROR(__xludf.DUMMYFUNCTION("""COMPUTED_VALUE"""),1.0)</f>
        <v>1</v>
      </c>
      <c r="AE539" s="131">
        <f>IFERROR(__xludf.DUMMYFUNCTION("""COMPUTED_VALUE"""),48.0)</f>
        <v>48</v>
      </c>
      <c r="AF539" s="131">
        <f>IFERROR(__xludf.DUMMYFUNCTION("""COMPUTED_VALUE"""),54.0)</f>
        <v>54</v>
      </c>
      <c r="AG539" s="131">
        <f>IFERROR(__xludf.DUMMYFUNCTION("""COMPUTED_VALUE"""),4.0)</f>
        <v>4</v>
      </c>
      <c r="AH539" s="131">
        <f>IFERROR(__xludf.DUMMYFUNCTION("""COMPUTED_VALUE"""),4.0)</f>
        <v>4</v>
      </c>
      <c r="AI539" s="131">
        <f>IFERROR(__xludf.DUMMYFUNCTION("""COMPUTED_VALUE"""),314.0)</f>
        <v>314</v>
      </c>
      <c r="AJ539" s="131"/>
      <c r="AK539" s="131"/>
    </row>
    <row r="540">
      <c r="A540" s="145" t="str">
        <f>IFERROR(__xludf.DUMMYFUNCTION("""COMPUTED_VALUE"""),"Y")</f>
        <v>Y</v>
      </c>
      <c r="B540" s="146" t="str">
        <f>IFERROR(__xludf.DUMMYFUNCTION("""COMPUTED_VALUE"""),"7")</f>
        <v>7</v>
      </c>
      <c r="C540" s="146" t="str">
        <f>IFERROR(__xludf.DUMMYFUNCTION("""COMPUTED_VALUE"""),"139-144")</f>
        <v>139-144</v>
      </c>
      <c r="D540" s="147">
        <f>IFERROR(__xludf.DUMMYFUNCTION("""COMPUTED_VALUE"""),45774.0)</f>
        <v>45774</v>
      </c>
      <c r="E540" s="147">
        <f>IFERROR(__xludf.DUMMYFUNCTION("""COMPUTED_VALUE"""),45781.0)</f>
        <v>45781</v>
      </c>
      <c r="F540" s="147">
        <f>IFERROR(__xludf.DUMMYFUNCTION("""COMPUTED_VALUE"""),45802.0)</f>
        <v>45802</v>
      </c>
      <c r="G540" s="146" t="str">
        <f>IFERROR(__xludf.DUMMYFUNCTION("""COMPUTED_VALUE"""),"D40-4L")</f>
        <v>D40-4L</v>
      </c>
      <c r="H540" s="148">
        <f>IFERROR(__xludf.DUMMYFUNCTION("""COMPUTED_VALUE"""),47.0)</f>
        <v>47</v>
      </c>
      <c r="I540" s="148">
        <f>IFERROR(__xludf.DUMMYFUNCTION("""COMPUTED_VALUE"""),47.0)</f>
        <v>47</v>
      </c>
      <c r="J540" s="146">
        <f>IFERROR(__xludf.DUMMYFUNCTION("""COMPUTED_VALUE"""),1.0)</f>
        <v>1</v>
      </c>
      <c r="K540" s="146">
        <f>IFERROR(__xludf.DUMMYFUNCTION("""COMPUTED_VALUE"""),1.0)</f>
        <v>1</v>
      </c>
      <c r="L540" s="146">
        <f>IFERROR(__xludf.DUMMYFUNCTION("""COMPUTED_VALUE"""),48.0)</f>
        <v>48</v>
      </c>
      <c r="M540" s="146">
        <f>IFERROR(__xludf.DUMMYFUNCTION("""COMPUTED_VALUE"""),54.0)</f>
        <v>54</v>
      </c>
      <c r="N540" s="146">
        <f>IFERROR(__xludf.DUMMYFUNCTION("""COMPUTED_VALUE"""),4.0)</f>
        <v>4</v>
      </c>
      <c r="O540" s="146">
        <f>IFERROR(__xludf.DUMMYFUNCTION("""COMPUTED_VALUE"""),4.0)</f>
        <v>4</v>
      </c>
      <c r="P540" s="146">
        <f>IFERROR(__xludf.DUMMYFUNCTION("""COMPUTED_VALUE"""),314.0)</f>
        <v>314</v>
      </c>
      <c r="Q540" s="146"/>
      <c r="R540" s="146"/>
      <c r="T540" s="131" t="str">
        <f>IFERROR(__xludf.DUMMYFUNCTION("""COMPUTED_VALUE"""),"Y")</f>
        <v>Y</v>
      </c>
      <c r="U540" s="131" t="str">
        <f>IFERROR(__xludf.DUMMYFUNCTION("""COMPUTED_VALUE"""),"7")</f>
        <v>7</v>
      </c>
      <c r="V540" s="131" t="str">
        <f>IFERROR(__xludf.DUMMYFUNCTION("""COMPUTED_VALUE"""),"139-144")</f>
        <v>139-144</v>
      </c>
      <c r="W540" s="144">
        <f>IFERROR(__xludf.DUMMYFUNCTION("""COMPUTED_VALUE"""),45774.0)</f>
        <v>45774</v>
      </c>
      <c r="X540" s="144">
        <f>IFERROR(__xludf.DUMMYFUNCTION("""COMPUTED_VALUE"""),45781.0)</f>
        <v>45781</v>
      </c>
      <c r="Y540" s="144">
        <f>IFERROR(__xludf.DUMMYFUNCTION("""COMPUTED_VALUE"""),45802.0)</f>
        <v>45802</v>
      </c>
      <c r="Z540" s="131" t="str">
        <f>IFERROR(__xludf.DUMMYFUNCTION("""COMPUTED_VALUE"""),"D40-4L")</f>
        <v>D40-4L</v>
      </c>
      <c r="AA540" s="131"/>
      <c r="AB540" s="131"/>
      <c r="AC540" s="131"/>
      <c r="AD540" s="131"/>
      <c r="AE540" s="131">
        <f>IFERROR(__xludf.DUMMYFUNCTION("""COMPUTED_VALUE"""),58.0)</f>
        <v>58</v>
      </c>
      <c r="AF540" s="131">
        <f>IFERROR(__xludf.DUMMYFUNCTION("""COMPUTED_VALUE"""),80.0)</f>
        <v>80</v>
      </c>
      <c r="AG540" s="131">
        <f>IFERROR(__xludf.DUMMYFUNCTION("""COMPUTED_VALUE"""),12.0)</f>
        <v>12</v>
      </c>
      <c r="AH540" s="131">
        <f>IFERROR(__xludf.DUMMYFUNCTION("""COMPUTED_VALUE"""),12.0)</f>
        <v>12</v>
      </c>
      <c r="AI540" s="131">
        <f>IFERROR(__xludf.DUMMYFUNCTION("""COMPUTED_VALUE"""),314.0)</f>
        <v>314</v>
      </c>
      <c r="AJ540" s="131"/>
      <c r="AK540" s="131"/>
    </row>
    <row r="541">
      <c r="A541" s="145" t="str">
        <f>IFERROR(__xludf.DUMMYFUNCTION("""COMPUTED_VALUE"""),"Y")</f>
        <v>Y</v>
      </c>
      <c r="B541" s="146" t="str">
        <f>IFERROR(__xludf.DUMMYFUNCTION("""COMPUTED_VALUE"""),"7")</f>
        <v>7</v>
      </c>
      <c r="C541" s="146" t="str">
        <f>IFERROR(__xludf.DUMMYFUNCTION("""COMPUTED_VALUE"""),"139-144")</f>
        <v>139-144</v>
      </c>
      <c r="D541" s="147">
        <f>IFERROR(__xludf.DUMMYFUNCTION("""COMPUTED_VALUE"""),45774.0)</f>
        <v>45774</v>
      </c>
      <c r="E541" s="147">
        <f>IFERROR(__xludf.DUMMYFUNCTION("""COMPUTED_VALUE"""),45781.0)</f>
        <v>45781</v>
      </c>
      <c r="F541" s="147">
        <f>IFERROR(__xludf.DUMMYFUNCTION("""COMPUTED_VALUE"""),45802.0)</f>
        <v>45802</v>
      </c>
      <c r="G541" s="146" t="str">
        <f>IFERROR(__xludf.DUMMYFUNCTION("""COMPUTED_VALUE"""),"D40-4L")</f>
        <v>D40-4L</v>
      </c>
      <c r="H541" s="148"/>
      <c r="I541" s="148"/>
      <c r="J541" s="146"/>
      <c r="K541" s="146"/>
      <c r="L541" s="146">
        <f>IFERROR(__xludf.DUMMYFUNCTION("""COMPUTED_VALUE"""),58.0)</f>
        <v>58</v>
      </c>
      <c r="M541" s="146">
        <f>IFERROR(__xludf.DUMMYFUNCTION("""COMPUTED_VALUE"""),80.0)</f>
        <v>80</v>
      </c>
      <c r="N541" s="146">
        <f>IFERROR(__xludf.DUMMYFUNCTION("""COMPUTED_VALUE"""),12.0)</f>
        <v>12</v>
      </c>
      <c r="O541" s="146">
        <f>IFERROR(__xludf.DUMMYFUNCTION("""COMPUTED_VALUE"""),12.0)</f>
        <v>12</v>
      </c>
      <c r="P541" s="146">
        <f>IFERROR(__xludf.DUMMYFUNCTION("""COMPUTED_VALUE"""),314.0)</f>
        <v>314</v>
      </c>
      <c r="Q541" s="146"/>
      <c r="R541" s="146"/>
      <c r="T541" s="131" t="str">
        <f>IFERROR(__xludf.DUMMYFUNCTION("""COMPUTED_VALUE"""),"Y")</f>
        <v>Y</v>
      </c>
      <c r="U541" s="131" t="str">
        <f>IFERROR(__xludf.DUMMYFUNCTION("""COMPUTED_VALUE"""),"7")</f>
        <v>7</v>
      </c>
      <c r="V541" s="131" t="str">
        <f>IFERROR(__xludf.DUMMYFUNCTION("""COMPUTED_VALUE"""),"139-144")</f>
        <v>139-144</v>
      </c>
      <c r="W541" s="144">
        <f>IFERROR(__xludf.DUMMYFUNCTION("""COMPUTED_VALUE"""),45774.0)</f>
        <v>45774</v>
      </c>
      <c r="X541" s="144">
        <f>IFERROR(__xludf.DUMMYFUNCTION("""COMPUTED_VALUE"""),45781.0)</f>
        <v>45781</v>
      </c>
      <c r="Y541" s="144">
        <f>IFERROR(__xludf.DUMMYFUNCTION("""COMPUTED_VALUE"""),45802.0)</f>
        <v>45802</v>
      </c>
      <c r="Z541" s="131" t="str">
        <f>IFERROR(__xludf.DUMMYFUNCTION("""COMPUTED_VALUE"""),"D40-3R")</f>
        <v>D40-3R</v>
      </c>
      <c r="AA541" s="131">
        <f>IFERROR(__xludf.DUMMYFUNCTION("""COMPUTED_VALUE"""),287.0)</f>
        <v>287</v>
      </c>
      <c r="AB541" s="131">
        <f>IFERROR(__xludf.DUMMYFUNCTION("""COMPUTED_VALUE"""),305.0)</f>
        <v>305</v>
      </c>
      <c r="AC541" s="131">
        <f>IFERROR(__xludf.DUMMYFUNCTION("""COMPUTED_VALUE"""),10.0)</f>
        <v>10</v>
      </c>
      <c r="AD541" s="131">
        <f>IFERROR(__xludf.DUMMYFUNCTION("""COMPUTED_VALUE"""),10.0)</f>
        <v>10</v>
      </c>
      <c r="AE541" s="131"/>
      <c r="AF541" s="131"/>
      <c r="AG541" s="131"/>
      <c r="AH541" s="131"/>
      <c r="AI541" s="131">
        <f>IFERROR(__xludf.DUMMYFUNCTION("""COMPUTED_VALUE"""),314.0)</f>
        <v>314</v>
      </c>
      <c r="AJ541" s="131"/>
      <c r="AK541" s="131"/>
    </row>
    <row r="542">
      <c r="A542" s="145" t="str">
        <f>IFERROR(__xludf.DUMMYFUNCTION("""COMPUTED_VALUE"""),"Y")</f>
        <v>Y</v>
      </c>
      <c r="B542" s="146" t="str">
        <f>IFERROR(__xludf.DUMMYFUNCTION("""COMPUTED_VALUE"""),"7")</f>
        <v>7</v>
      </c>
      <c r="C542" s="146" t="str">
        <f>IFERROR(__xludf.DUMMYFUNCTION("""COMPUTED_VALUE"""),"139-144")</f>
        <v>139-144</v>
      </c>
      <c r="D542" s="147">
        <f>IFERROR(__xludf.DUMMYFUNCTION("""COMPUTED_VALUE"""),45774.0)</f>
        <v>45774</v>
      </c>
      <c r="E542" s="147">
        <f>IFERROR(__xludf.DUMMYFUNCTION("""COMPUTED_VALUE"""),45781.0)</f>
        <v>45781</v>
      </c>
      <c r="F542" s="147">
        <f>IFERROR(__xludf.DUMMYFUNCTION("""COMPUTED_VALUE"""),45802.0)</f>
        <v>45802</v>
      </c>
      <c r="G542" s="146" t="str">
        <f>IFERROR(__xludf.DUMMYFUNCTION("""COMPUTED_VALUE"""),"D40-3R")</f>
        <v>D40-3R</v>
      </c>
      <c r="H542" s="148">
        <f>IFERROR(__xludf.DUMMYFUNCTION("""COMPUTED_VALUE"""),287.0)</f>
        <v>287</v>
      </c>
      <c r="I542" s="148">
        <f>IFERROR(__xludf.DUMMYFUNCTION("""COMPUTED_VALUE"""),305.0)</f>
        <v>305</v>
      </c>
      <c r="J542" s="146">
        <f>IFERROR(__xludf.DUMMYFUNCTION("""COMPUTED_VALUE"""),10.0)</f>
        <v>10</v>
      </c>
      <c r="K542" s="146">
        <f>IFERROR(__xludf.DUMMYFUNCTION("""COMPUTED_VALUE"""),10.0)</f>
        <v>10</v>
      </c>
      <c r="L542" s="146"/>
      <c r="M542" s="146"/>
      <c r="N542" s="146"/>
      <c r="O542" s="146"/>
      <c r="P542" s="146">
        <f>IFERROR(__xludf.DUMMYFUNCTION("""COMPUTED_VALUE"""),314.0)</f>
        <v>314</v>
      </c>
      <c r="Q542" s="146"/>
      <c r="R542" s="146"/>
      <c r="T542" s="131" t="str">
        <f>IFERROR(__xludf.DUMMYFUNCTION("""COMPUTED_VALUE"""),"Y")</f>
        <v>Y</v>
      </c>
      <c r="U542" s="131" t="str">
        <f>IFERROR(__xludf.DUMMYFUNCTION("""COMPUTED_VALUE"""),"7")</f>
        <v>7</v>
      </c>
      <c r="V542" s="131" t="str">
        <f>IFERROR(__xludf.DUMMYFUNCTION("""COMPUTED_VALUE"""),"133-138")</f>
        <v>133-138</v>
      </c>
      <c r="W542" s="144">
        <f>IFERROR(__xludf.DUMMYFUNCTION("""COMPUTED_VALUE"""),45774.0)</f>
        <v>45774</v>
      </c>
      <c r="X542" s="144">
        <f>IFERROR(__xludf.DUMMYFUNCTION("""COMPUTED_VALUE"""),45781.0)</f>
        <v>45781</v>
      </c>
      <c r="Y542" s="144">
        <f>IFERROR(__xludf.DUMMYFUNCTION("""COMPUTED_VALUE"""),45802.0)</f>
        <v>45802</v>
      </c>
      <c r="Z542" s="131" t="str">
        <f>IFERROR(__xludf.DUMMYFUNCTION("""COMPUTED_VALUE"""),"BRG12")</f>
        <v>BRG12</v>
      </c>
      <c r="AA542" s="131">
        <f>IFERROR(__xludf.DUMMYFUNCTION("""COMPUTED_VALUE"""),2431.0)</f>
        <v>2431</v>
      </c>
      <c r="AB542" s="131">
        <f>IFERROR(__xludf.DUMMYFUNCTION("""COMPUTED_VALUE"""),2439.0)</f>
        <v>2439</v>
      </c>
      <c r="AC542" s="131">
        <f>IFERROR(__xludf.DUMMYFUNCTION("""COMPUTED_VALUE"""),5.0)</f>
        <v>5</v>
      </c>
      <c r="AD542" s="131">
        <f>IFERROR(__xludf.DUMMYFUNCTION("""COMPUTED_VALUE"""),5.0)</f>
        <v>5</v>
      </c>
      <c r="AE542" s="131"/>
      <c r="AF542" s="131"/>
      <c r="AG542" s="131"/>
      <c r="AH542" s="131"/>
      <c r="AI542" s="131">
        <f>IFERROR(__xludf.DUMMYFUNCTION("""COMPUTED_VALUE"""),313.0)</f>
        <v>313</v>
      </c>
      <c r="AJ542" s="131"/>
      <c r="AK542" s="131"/>
    </row>
    <row r="543">
      <c r="A543" s="145" t="str">
        <f>IFERROR(__xludf.DUMMYFUNCTION("""COMPUTED_VALUE"""),"Y")</f>
        <v>Y</v>
      </c>
      <c r="B543" s="146" t="str">
        <f>IFERROR(__xludf.DUMMYFUNCTION("""COMPUTED_VALUE"""),"7")</f>
        <v>7</v>
      </c>
      <c r="C543" s="146" t="str">
        <f>IFERROR(__xludf.DUMMYFUNCTION("""COMPUTED_VALUE"""),"133-138")</f>
        <v>133-138</v>
      </c>
      <c r="D543" s="147">
        <f>IFERROR(__xludf.DUMMYFUNCTION("""COMPUTED_VALUE"""),45774.0)</f>
        <v>45774</v>
      </c>
      <c r="E543" s="147">
        <f>IFERROR(__xludf.DUMMYFUNCTION("""COMPUTED_VALUE"""),45781.0)</f>
        <v>45781</v>
      </c>
      <c r="F543" s="147">
        <f>IFERROR(__xludf.DUMMYFUNCTION("""COMPUTED_VALUE"""),45802.0)</f>
        <v>45802</v>
      </c>
      <c r="G543" s="146" t="str">
        <f>IFERROR(__xludf.DUMMYFUNCTION("""COMPUTED_VALUE"""),"BRG12")</f>
        <v>BRG12</v>
      </c>
      <c r="H543" s="148">
        <f>IFERROR(__xludf.DUMMYFUNCTION("""COMPUTED_VALUE"""),2431.0)</f>
        <v>2431</v>
      </c>
      <c r="I543" s="148">
        <f>IFERROR(__xludf.DUMMYFUNCTION("""COMPUTED_VALUE"""),2439.0)</f>
        <v>2439</v>
      </c>
      <c r="J543" s="146">
        <f>IFERROR(__xludf.DUMMYFUNCTION("""COMPUTED_VALUE"""),5.0)</f>
        <v>5</v>
      </c>
      <c r="K543" s="146">
        <f>IFERROR(__xludf.DUMMYFUNCTION("""COMPUTED_VALUE"""),5.0)</f>
        <v>5</v>
      </c>
      <c r="L543" s="146"/>
      <c r="M543" s="146"/>
      <c r="N543" s="146"/>
      <c r="O543" s="146"/>
      <c r="P543" s="146">
        <f>IFERROR(__xludf.DUMMYFUNCTION("""COMPUTED_VALUE"""),313.0)</f>
        <v>313</v>
      </c>
      <c r="Q543" s="146"/>
      <c r="R543" s="146"/>
      <c r="T543" s="131" t="str">
        <f>IFERROR(__xludf.DUMMYFUNCTION("""COMPUTED_VALUE"""),"Y")</f>
        <v>Y</v>
      </c>
      <c r="U543" s="131" t="str">
        <f>IFERROR(__xludf.DUMMYFUNCTION("""COMPUTED_VALUE"""),"7")</f>
        <v>7</v>
      </c>
      <c r="V543" s="131" t="str">
        <f>IFERROR(__xludf.DUMMYFUNCTION("""COMPUTED_VALUE"""),"133-138")</f>
        <v>133-138</v>
      </c>
      <c r="W543" s="144">
        <f>IFERROR(__xludf.DUMMYFUNCTION("""COMPUTED_VALUE"""),45774.0)</f>
        <v>45774</v>
      </c>
      <c r="X543" s="144">
        <f>IFERROR(__xludf.DUMMYFUNCTION("""COMPUTED_VALUE"""),45781.0)</f>
        <v>45781</v>
      </c>
      <c r="Y543" s="144">
        <f>IFERROR(__xludf.DUMMYFUNCTION("""COMPUTED_VALUE"""),45802.0)</f>
        <v>45802</v>
      </c>
      <c r="Z543" s="131" t="str">
        <f>IFERROR(__xludf.DUMMYFUNCTION("""COMPUTED_VALUE"""),"BRG12")</f>
        <v>BRG12</v>
      </c>
      <c r="AA543" s="131">
        <f>IFERROR(__xludf.DUMMYFUNCTION("""COMPUTED_VALUE"""),2449.0)</f>
        <v>2449</v>
      </c>
      <c r="AB543" s="131">
        <f>IFERROR(__xludf.DUMMYFUNCTION("""COMPUTED_VALUE"""),2491.0)</f>
        <v>2491</v>
      </c>
      <c r="AC543" s="131">
        <f>IFERROR(__xludf.DUMMYFUNCTION("""COMPUTED_VALUE"""),22.0)</f>
        <v>22</v>
      </c>
      <c r="AD543" s="131">
        <f>IFERROR(__xludf.DUMMYFUNCTION("""COMPUTED_VALUE"""),22.0)</f>
        <v>22</v>
      </c>
      <c r="AE543" s="131"/>
      <c r="AF543" s="131"/>
      <c r="AG543" s="131"/>
      <c r="AH543" s="131"/>
      <c r="AI543" s="131">
        <f>IFERROR(__xludf.DUMMYFUNCTION("""COMPUTED_VALUE"""),313.0)</f>
        <v>313</v>
      </c>
      <c r="AJ543" s="131"/>
      <c r="AK543" s="131"/>
    </row>
    <row r="544">
      <c r="A544" s="145" t="str">
        <f>IFERROR(__xludf.DUMMYFUNCTION("""COMPUTED_VALUE"""),"Y")</f>
        <v>Y</v>
      </c>
      <c r="B544" s="146" t="str">
        <f>IFERROR(__xludf.DUMMYFUNCTION("""COMPUTED_VALUE"""),"7")</f>
        <v>7</v>
      </c>
      <c r="C544" s="146" t="str">
        <f>IFERROR(__xludf.DUMMYFUNCTION("""COMPUTED_VALUE"""),"133-138")</f>
        <v>133-138</v>
      </c>
      <c r="D544" s="147">
        <f>IFERROR(__xludf.DUMMYFUNCTION("""COMPUTED_VALUE"""),45774.0)</f>
        <v>45774</v>
      </c>
      <c r="E544" s="147">
        <f>IFERROR(__xludf.DUMMYFUNCTION("""COMPUTED_VALUE"""),45781.0)</f>
        <v>45781</v>
      </c>
      <c r="F544" s="147">
        <f>IFERROR(__xludf.DUMMYFUNCTION("""COMPUTED_VALUE"""),45802.0)</f>
        <v>45802</v>
      </c>
      <c r="G544" s="146" t="str">
        <f>IFERROR(__xludf.DUMMYFUNCTION("""COMPUTED_VALUE"""),"BRG12")</f>
        <v>BRG12</v>
      </c>
      <c r="H544" s="148">
        <f>IFERROR(__xludf.DUMMYFUNCTION("""COMPUTED_VALUE"""),2449.0)</f>
        <v>2449</v>
      </c>
      <c r="I544" s="148">
        <f>IFERROR(__xludf.DUMMYFUNCTION("""COMPUTED_VALUE"""),2491.0)</f>
        <v>2491</v>
      </c>
      <c r="J544" s="146">
        <f>IFERROR(__xludf.DUMMYFUNCTION("""COMPUTED_VALUE"""),22.0)</f>
        <v>22</v>
      </c>
      <c r="K544" s="146">
        <f>IFERROR(__xludf.DUMMYFUNCTION("""COMPUTED_VALUE"""),22.0)</f>
        <v>22</v>
      </c>
      <c r="L544" s="146"/>
      <c r="M544" s="146"/>
      <c r="N544" s="146"/>
      <c r="O544" s="146"/>
      <c r="P544" s="146">
        <f>IFERROR(__xludf.DUMMYFUNCTION("""COMPUTED_VALUE"""),313.0)</f>
        <v>313</v>
      </c>
      <c r="Q544" s="146"/>
      <c r="R544" s="146"/>
      <c r="T544" s="131" t="str">
        <f>IFERROR(__xludf.DUMMYFUNCTION("""COMPUTED_VALUE"""),"Y")</f>
        <v>Y</v>
      </c>
      <c r="U544" s="131" t="str">
        <f>IFERROR(__xludf.DUMMYFUNCTION("""COMPUTED_VALUE"""),"7")</f>
        <v>7</v>
      </c>
      <c r="V544" s="131" t="str">
        <f>IFERROR(__xludf.DUMMYFUNCTION("""COMPUTED_VALUE"""),"163-168")</f>
        <v>163-168</v>
      </c>
      <c r="W544" s="144">
        <f>IFERROR(__xludf.DUMMYFUNCTION("""COMPUTED_VALUE"""),45775.0)</f>
        <v>45775</v>
      </c>
      <c r="X544" s="144">
        <f>IFERROR(__xludf.DUMMYFUNCTION("""COMPUTED_VALUE"""),45782.0)</f>
        <v>45782</v>
      </c>
      <c r="Y544" s="144">
        <f>IFERROR(__xludf.DUMMYFUNCTION("""COMPUTED_VALUE"""),45803.0)</f>
        <v>45803</v>
      </c>
      <c r="Z544" s="131" t="str">
        <f>IFERROR(__xludf.DUMMYFUNCTION("""COMPUTED_VALUE"""),"D35-1L")</f>
        <v>D35-1L</v>
      </c>
      <c r="AA544" s="131">
        <f>IFERROR(__xludf.DUMMYFUNCTION("""COMPUTED_VALUE"""),71.0)</f>
        <v>71</v>
      </c>
      <c r="AB544" s="131">
        <f>IFERROR(__xludf.DUMMYFUNCTION("""COMPUTED_VALUE"""),87.0)</f>
        <v>87</v>
      </c>
      <c r="AC544" s="131">
        <f>IFERROR(__xludf.DUMMYFUNCTION("""COMPUTED_VALUE"""),9.0)</f>
        <v>9</v>
      </c>
      <c r="AD544" s="131">
        <f>IFERROR(__xludf.DUMMYFUNCTION("""COMPUTED_VALUE"""),9.0)</f>
        <v>9</v>
      </c>
      <c r="AE544" s="131">
        <f>IFERROR(__xludf.DUMMYFUNCTION("""COMPUTED_VALUE"""),10.0)</f>
        <v>10</v>
      </c>
      <c r="AF544" s="131">
        <f>IFERROR(__xludf.DUMMYFUNCTION("""COMPUTED_VALUE"""),68.0)</f>
        <v>68</v>
      </c>
      <c r="AG544" s="131">
        <f>IFERROR(__xludf.DUMMYFUNCTION("""COMPUTED_VALUE"""),30.0)</f>
        <v>30</v>
      </c>
      <c r="AH544" s="131">
        <f>IFERROR(__xludf.DUMMYFUNCTION("""COMPUTED_VALUE"""),30.0)</f>
        <v>30</v>
      </c>
      <c r="AI544" s="131">
        <f>IFERROR(__xludf.DUMMYFUNCTION("""COMPUTED_VALUE"""),315.0)</f>
        <v>315</v>
      </c>
      <c r="AJ544" s="131"/>
      <c r="AK544" s="131"/>
    </row>
    <row r="545">
      <c r="A545" s="145" t="str">
        <f>IFERROR(__xludf.DUMMYFUNCTION("""COMPUTED_VALUE"""),"Y")</f>
        <v>Y</v>
      </c>
      <c r="B545" s="146" t="str">
        <f>IFERROR(__xludf.DUMMYFUNCTION("""COMPUTED_VALUE"""),"7")</f>
        <v>7</v>
      </c>
      <c r="C545" s="146" t="str">
        <f>IFERROR(__xludf.DUMMYFUNCTION("""COMPUTED_VALUE"""),"163-168")</f>
        <v>163-168</v>
      </c>
      <c r="D545" s="147">
        <f>IFERROR(__xludf.DUMMYFUNCTION("""COMPUTED_VALUE"""),45775.0)</f>
        <v>45775</v>
      </c>
      <c r="E545" s="147">
        <f>IFERROR(__xludf.DUMMYFUNCTION("""COMPUTED_VALUE"""),45782.0)</f>
        <v>45782</v>
      </c>
      <c r="F545" s="147">
        <f>IFERROR(__xludf.DUMMYFUNCTION("""COMPUTED_VALUE"""),45803.0)</f>
        <v>45803</v>
      </c>
      <c r="G545" s="146" t="str">
        <f>IFERROR(__xludf.DUMMYFUNCTION("""COMPUTED_VALUE"""),"D35-1L")</f>
        <v>D35-1L</v>
      </c>
      <c r="H545" s="148">
        <f>IFERROR(__xludf.DUMMYFUNCTION("""COMPUTED_VALUE"""),71.0)</f>
        <v>71</v>
      </c>
      <c r="I545" s="148">
        <f>IFERROR(__xludf.DUMMYFUNCTION("""COMPUTED_VALUE"""),87.0)</f>
        <v>87</v>
      </c>
      <c r="J545" s="146">
        <f>IFERROR(__xludf.DUMMYFUNCTION("""COMPUTED_VALUE"""),9.0)</f>
        <v>9</v>
      </c>
      <c r="K545" s="146">
        <f>IFERROR(__xludf.DUMMYFUNCTION("""COMPUTED_VALUE"""),9.0)</f>
        <v>9</v>
      </c>
      <c r="L545" s="146">
        <f>IFERROR(__xludf.DUMMYFUNCTION("""COMPUTED_VALUE"""),10.0)</f>
        <v>10</v>
      </c>
      <c r="M545" s="146">
        <f>IFERROR(__xludf.DUMMYFUNCTION("""COMPUTED_VALUE"""),68.0)</f>
        <v>68</v>
      </c>
      <c r="N545" s="146">
        <f>IFERROR(__xludf.DUMMYFUNCTION("""COMPUTED_VALUE"""),30.0)</f>
        <v>30</v>
      </c>
      <c r="O545" s="146">
        <f>IFERROR(__xludf.DUMMYFUNCTION("""COMPUTED_VALUE"""),30.0)</f>
        <v>30</v>
      </c>
      <c r="P545" s="146">
        <f>IFERROR(__xludf.DUMMYFUNCTION("""COMPUTED_VALUE"""),315.0)</f>
        <v>315</v>
      </c>
      <c r="Q545" s="146"/>
      <c r="R545" s="146"/>
      <c r="T545" s="131" t="str">
        <f>IFERROR(__xludf.DUMMYFUNCTION("""COMPUTED_VALUE"""),"Y")</f>
        <v>Y</v>
      </c>
      <c r="U545" s="131" t="str">
        <f>IFERROR(__xludf.DUMMYFUNCTION("""COMPUTED_VALUE"""),"7")</f>
        <v>7</v>
      </c>
      <c r="V545" s="131" t="str">
        <f>IFERROR(__xludf.DUMMYFUNCTION("""COMPUTED_VALUE"""),"163-168")</f>
        <v>163-168</v>
      </c>
      <c r="W545" s="144">
        <f>IFERROR(__xludf.DUMMYFUNCTION("""COMPUTED_VALUE"""),45775.0)</f>
        <v>45775</v>
      </c>
      <c r="X545" s="144">
        <f>IFERROR(__xludf.DUMMYFUNCTION("""COMPUTED_VALUE"""),45782.0)</f>
        <v>45782</v>
      </c>
      <c r="Y545" s="144">
        <f>IFERROR(__xludf.DUMMYFUNCTION("""COMPUTED_VALUE"""),45803.0)</f>
        <v>45803</v>
      </c>
      <c r="Z545" s="131" t="str">
        <f>IFERROR(__xludf.DUMMYFUNCTION("""COMPUTED_VALUE"""),"D35-1L")</f>
        <v>D35-1L</v>
      </c>
      <c r="AA545" s="131">
        <f>IFERROR(__xludf.DUMMYFUNCTION("""COMPUTED_VALUE"""),93.0)</f>
        <v>93</v>
      </c>
      <c r="AB545" s="131">
        <f>IFERROR(__xludf.DUMMYFUNCTION("""COMPUTED_VALUE"""),173.0)</f>
        <v>173</v>
      </c>
      <c r="AC545" s="131">
        <f>IFERROR(__xludf.DUMMYFUNCTION("""COMPUTED_VALUE"""),41.0)</f>
        <v>41</v>
      </c>
      <c r="AD545" s="131">
        <f>IFERROR(__xludf.DUMMYFUNCTION("""COMPUTED_VALUE"""),41.0)</f>
        <v>41</v>
      </c>
      <c r="AE545" s="131"/>
      <c r="AF545" s="131"/>
      <c r="AG545" s="131"/>
      <c r="AH545" s="131"/>
      <c r="AI545" s="131">
        <f>IFERROR(__xludf.DUMMYFUNCTION("""COMPUTED_VALUE"""),315.0)</f>
        <v>315</v>
      </c>
      <c r="AJ545" s="131"/>
      <c r="AK545" s="131"/>
    </row>
    <row r="546">
      <c r="A546" s="145" t="str">
        <f>IFERROR(__xludf.DUMMYFUNCTION("""COMPUTED_VALUE"""),"Y")</f>
        <v>Y</v>
      </c>
      <c r="B546" s="146" t="str">
        <f>IFERROR(__xludf.DUMMYFUNCTION("""COMPUTED_VALUE"""),"7")</f>
        <v>7</v>
      </c>
      <c r="C546" s="146" t="str">
        <f>IFERROR(__xludf.DUMMYFUNCTION("""COMPUTED_VALUE"""),"163-168")</f>
        <v>163-168</v>
      </c>
      <c r="D546" s="147">
        <f>IFERROR(__xludf.DUMMYFUNCTION("""COMPUTED_VALUE"""),45775.0)</f>
        <v>45775</v>
      </c>
      <c r="E546" s="147">
        <f>IFERROR(__xludf.DUMMYFUNCTION("""COMPUTED_VALUE"""),45782.0)</f>
        <v>45782</v>
      </c>
      <c r="F546" s="147">
        <f>IFERROR(__xludf.DUMMYFUNCTION("""COMPUTED_VALUE"""),45803.0)</f>
        <v>45803</v>
      </c>
      <c r="G546" s="146" t="str">
        <f>IFERROR(__xludf.DUMMYFUNCTION("""COMPUTED_VALUE"""),"D35-1L")</f>
        <v>D35-1L</v>
      </c>
      <c r="H546" s="148">
        <f>IFERROR(__xludf.DUMMYFUNCTION("""COMPUTED_VALUE"""),93.0)</f>
        <v>93</v>
      </c>
      <c r="I546" s="148">
        <f>IFERROR(__xludf.DUMMYFUNCTION("""COMPUTED_VALUE"""),173.0)</f>
        <v>173</v>
      </c>
      <c r="J546" s="146">
        <f>IFERROR(__xludf.DUMMYFUNCTION("""COMPUTED_VALUE"""),41.0)</f>
        <v>41</v>
      </c>
      <c r="K546" s="146">
        <f>IFERROR(__xludf.DUMMYFUNCTION("""COMPUTED_VALUE"""),41.0)</f>
        <v>41</v>
      </c>
      <c r="L546" s="146"/>
      <c r="M546" s="146"/>
      <c r="N546" s="146"/>
      <c r="O546" s="146"/>
      <c r="P546" s="146">
        <f>IFERROR(__xludf.DUMMYFUNCTION("""COMPUTED_VALUE"""),315.0)</f>
        <v>315</v>
      </c>
      <c r="Q546" s="146"/>
      <c r="R546" s="146"/>
      <c r="T546" s="131" t="str">
        <f>IFERROR(__xludf.DUMMYFUNCTION("""COMPUTED_VALUE"""),"Y")</f>
        <v>Y</v>
      </c>
      <c r="U546" s="131" t="str">
        <f>IFERROR(__xludf.DUMMYFUNCTION("""COMPUTED_VALUE"""),"7")</f>
        <v>7</v>
      </c>
      <c r="V546" s="131" t="str">
        <f>IFERROR(__xludf.DUMMYFUNCTION("""COMPUTED_VALUE"""),"169-174")</f>
        <v>169-174</v>
      </c>
      <c r="W546" s="144">
        <f>IFERROR(__xludf.DUMMYFUNCTION("""COMPUTED_VALUE"""),45775.0)</f>
        <v>45775</v>
      </c>
      <c r="X546" s="144">
        <f>IFERROR(__xludf.DUMMYFUNCTION("""COMPUTED_VALUE"""),45782.0)</f>
        <v>45782</v>
      </c>
      <c r="Y546" s="144">
        <f>IFERROR(__xludf.DUMMYFUNCTION("""COMPUTED_VALUE"""),45803.0)</f>
        <v>45803</v>
      </c>
      <c r="Z546" s="131" t="str">
        <f>IFERROR(__xludf.DUMMYFUNCTION("""COMPUTED_VALUE"""),"D42-2L")</f>
        <v>D42-2L</v>
      </c>
      <c r="AA546" s="131"/>
      <c r="AB546" s="131"/>
      <c r="AC546" s="131"/>
      <c r="AD546" s="131"/>
      <c r="AE546" s="131">
        <f>IFERROR(__xludf.DUMMYFUNCTION("""COMPUTED_VALUE"""),76.0)</f>
        <v>76</v>
      </c>
      <c r="AF546" s="131">
        <f>IFERROR(__xludf.DUMMYFUNCTION("""COMPUTED_VALUE"""),310.0)</f>
        <v>310</v>
      </c>
      <c r="AG546" s="131">
        <f>IFERROR(__xludf.DUMMYFUNCTION("""COMPUTED_VALUE"""),118.0)</f>
        <v>118</v>
      </c>
      <c r="AH546" s="131">
        <f>IFERROR(__xludf.DUMMYFUNCTION("""COMPUTED_VALUE"""),118.0)</f>
        <v>118</v>
      </c>
      <c r="AI546" s="131">
        <f>IFERROR(__xludf.DUMMYFUNCTION("""COMPUTED_VALUE"""),316.0)</f>
        <v>316</v>
      </c>
      <c r="AJ546" s="131"/>
      <c r="AK546" s="131"/>
    </row>
    <row r="547">
      <c r="A547" s="145" t="str">
        <f>IFERROR(__xludf.DUMMYFUNCTION("""COMPUTED_VALUE"""),"Y")</f>
        <v>Y</v>
      </c>
      <c r="B547" s="146" t="str">
        <f>IFERROR(__xludf.DUMMYFUNCTION("""COMPUTED_VALUE"""),"7")</f>
        <v>7</v>
      </c>
      <c r="C547" s="146" t="str">
        <f>IFERROR(__xludf.DUMMYFUNCTION("""COMPUTED_VALUE"""),"169-174")</f>
        <v>169-174</v>
      </c>
      <c r="D547" s="147">
        <f>IFERROR(__xludf.DUMMYFUNCTION("""COMPUTED_VALUE"""),45775.0)</f>
        <v>45775</v>
      </c>
      <c r="E547" s="147">
        <f>IFERROR(__xludf.DUMMYFUNCTION("""COMPUTED_VALUE"""),45782.0)</f>
        <v>45782</v>
      </c>
      <c r="F547" s="147">
        <f>IFERROR(__xludf.DUMMYFUNCTION("""COMPUTED_VALUE"""),45803.0)</f>
        <v>45803</v>
      </c>
      <c r="G547" s="146" t="str">
        <f>IFERROR(__xludf.DUMMYFUNCTION("""COMPUTED_VALUE"""),"D42-2L")</f>
        <v>D42-2L</v>
      </c>
      <c r="H547" s="148"/>
      <c r="I547" s="148"/>
      <c r="J547" s="146"/>
      <c r="K547" s="146"/>
      <c r="L547" s="146">
        <f>IFERROR(__xludf.DUMMYFUNCTION("""COMPUTED_VALUE"""),76.0)</f>
        <v>76</v>
      </c>
      <c r="M547" s="146">
        <f>IFERROR(__xludf.DUMMYFUNCTION("""COMPUTED_VALUE"""),310.0)</f>
        <v>310</v>
      </c>
      <c r="N547" s="146">
        <f>IFERROR(__xludf.DUMMYFUNCTION("""COMPUTED_VALUE"""),118.0)</f>
        <v>118</v>
      </c>
      <c r="O547" s="146">
        <f>IFERROR(__xludf.DUMMYFUNCTION("""COMPUTED_VALUE"""),118.0)</f>
        <v>118</v>
      </c>
      <c r="P547" s="146">
        <f>IFERROR(__xludf.DUMMYFUNCTION("""COMPUTED_VALUE"""),316.0)</f>
        <v>316</v>
      </c>
      <c r="Q547" s="146"/>
      <c r="R547" s="146"/>
      <c r="T547" s="131" t="str">
        <f>IFERROR(__xludf.DUMMYFUNCTION("""COMPUTED_VALUE"""),"Y")</f>
        <v>Y</v>
      </c>
      <c r="U547" s="131" t="str">
        <f>IFERROR(__xludf.DUMMYFUNCTION("""COMPUTED_VALUE"""),"7")</f>
        <v>7</v>
      </c>
      <c r="V547" s="131" t="str">
        <f>IFERROR(__xludf.DUMMYFUNCTION("""COMPUTED_VALUE"""),"169-174")</f>
        <v>169-174</v>
      </c>
      <c r="W547" s="144">
        <f>IFERROR(__xludf.DUMMYFUNCTION("""COMPUTED_VALUE"""),45775.0)</f>
        <v>45775</v>
      </c>
      <c r="X547" s="144">
        <f>IFERROR(__xludf.DUMMYFUNCTION("""COMPUTED_VALUE"""),45782.0)</f>
        <v>45782</v>
      </c>
      <c r="Y547" s="144">
        <f>IFERROR(__xludf.DUMMYFUNCTION("""COMPUTED_VALUE"""),45803.0)</f>
        <v>45803</v>
      </c>
      <c r="Z547" s="131" t="str">
        <f>IFERROR(__xludf.DUMMYFUNCTION("""COMPUTED_VALUE"""),"D42-5L")</f>
        <v>D42-5L</v>
      </c>
      <c r="AA547" s="131">
        <f>IFERROR(__xludf.DUMMYFUNCTION("""COMPUTED_VALUE"""),17.0)</f>
        <v>17</v>
      </c>
      <c r="AB547" s="131">
        <f>IFERROR(__xludf.DUMMYFUNCTION("""COMPUTED_VALUE"""),47.0)</f>
        <v>47</v>
      </c>
      <c r="AC547" s="131">
        <f>IFERROR(__xludf.DUMMYFUNCTION("""COMPUTED_VALUE"""),16.0)</f>
        <v>16</v>
      </c>
      <c r="AD547" s="131">
        <f>IFERROR(__xludf.DUMMYFUNCTION("""COMPUTED_VALUE"""),16.0)</f>
        <v>16</v>
      </c>
      <c r="AE547" s="131"/>
      <c r="AF547" s="131"/>
      <c r="AG547" s="131"/>
      <c r="AH547" s="131"/>
      <c r="AI547" s="131">
        <f>IFERROR(__xludf.DUMMYFUNCTION("""COMPUTED_VALUE"""),316.0)</f>
        <v>316</v>
      </c>
      <c r="AJ547" s="131"/>
      <c r="AK547" s="131"/>
    </row>
    <row r="548">
      <c r="A548" s="145" t="str">
        <f>IFERROR(__xludf.DUMMYFUNCTION("""COMPUTED_VALUE"""),"Y")</f>
        <v>Y</v>
      </c>
      <c r="B548" s="146" t="str">
        <f>IFERROR(__xludf.DUMMYFUNCTION("""COMPUTED_VALUE"""),"7")</f>
        <v>7</v>
      </c>
      <c r="C548" s="146" t="str">
        <f>IFERROR(__xludf.DUMMYFUNCTION("""COMPUTED_VALUE"""),"169-174")</f>
        <v>169-174</v>
      </c>
      <c r="D548" s="147">
        <f>IFERROR(__xludf.DUMMYFUNCTION("""COMPUTED_VALUE"""),45775.0)</f>
        <v>45775</v>
      </c>
      <c r="E548" s="147">
        <f>IFERROR(__xludf.DUMMYFUNCTION("""COMPUTED_VALUE"""),45782.0)</f>
        <v>45782</v>
      </c>
      <c r="F548" s="147">
        <f>IFERROR(__xludf.DUMMYFUNCTION("""COMPUTED_VALUE"""),45803.0)</f>
        <v>45803</v>
      </c>
      <c r="G548" s="146" t="str">
        <f>IFERROR(__xludf.DUMMYFUNCTION("""COMPUTED_VALUE"""),"D42-5L")</f>
        <v>D42-5L</v>
      </c>
      <c r="H548" s="148">
        <f>IFERROR(__xludf.DUMMYFUNCTION("""COMPUTED_VALUE"""),17.0)</f>
        <v>17</v>
      </c>
      <c r="I548" s="148">
        <f>IFERROR(__xludf.DUMMYFUNCTION("""COMPUTED_VALUE"""),47.0)</f>
        <v>47</v>
      </c>
      <c r="J548" s="146">
        <f>IFERROR(__xludf.DUMMYFUNCTION("""COMPUTED_VALUE"""),16.0)</f>
        <v>16</v>
      </c>
      <c r="K548" s="146">
        <f>IFERROR(__xludf.DUMMYFUNCTION("""COMPUTED_VALUE"""),16.0)</f>
        <v>16</v>
      </c>
      <c r="L548" s="146"/>
      <c r="M548" s="146"/>
      <c r="N548" s="146"/>
      <c r="O548" s="146"/>
      <c r="P548" s="146">
        <f>IFERROR(__xludf.DUMMYFUNCTION("""COMPUTED_VALUE"""),316.0)</f>
        <v>316</v>
      </c>
      <c r="Q548" s="146"/>
      <c r="R548" s="146"/>
      <c r="T548" s="131" t="str">
        <f>IFERROR(__xludf.DUMMYFUNCTION("""COMPUTED_VALUE"""),"Y")</f>
        <v>Y</v>
      </c>
      <c r="U548" s="131" t="str">
        <f>IFERROR(__xludf.DUMMYFUNCTION("""COMPUTED_VALUE"""),"7")</f>
        <v>7</v>
      </c>
      <c r="V548" s="131" t="str">
        <f>IFERROR(__xludf.DUMMYFUNCTION("""COMPUTED_VALUE"""),"175-180")</f>
        <v>175-180</v>
      </c>
      <c r="W548" s="144">
        <f>IFERROR(__xludf.DUMMYFUNCTION("""COMPUTED_VALUE"""),45776.0)</f>
        <v>45776</v>
      </c>
      <c r="X548" s="144">
        <f>IFERROR(__xludf.DUMMYFUNCTION("""COMPUTED_VALUE"""),45783.0)</f>
        <v>45783</v>
      </c>
      <c r="Y548" s="144">
        <f>IFERROR(__xludf.DUMMYFUNCTION("""COMPUTED_VALUE"""),45804.0)</f>
        <v>45804</v>
      </c>
      <c r="Z548" s="131" t="str">
        <f>IFERROR(__xludf.DUMMYFUNCTION("""COMPUTED_VALUE"""),"D28-1L")</f>
        <v>D28-1L</v>
      </c>
      <c r="AA548" s="131">
        <f>IFERROR(__xludf.DUMMYFUNCTION("""COMPUTED_VALUE"""),1.0)</f>
        <v>1</v>
      </c>
      <c r="AB548" s="131">
        <f>IFERROR(__xludf.DUMMYFUNCTION("""COMPUTED_VALUE"""),157.0)</f>
        <v>157</v>
      </c>
      <c r="AC548" s="131">
        <f>IFERROR(__xludf.DUMMYFUNCTION("""COMPUTED_VALUE"""),79.0)</f>
        <v>79</v>
      </c>
      <c r="AD548" s="131">
        <f>IFERROR(__xludf.DUMMYFUNCTION("""COMPUTED_VALUE"""),79.0)</f>
        <v>79</v>
      </c>
      <c r="AE548" s="131"/>
      <c r="AF548" s="131"/>
      <c r="AG548" s="131"/>
      <c r="AH548" s="131"/>
      <c r="AI548" s="131">
        <f>IFERROR(__xludf.DUMMYFUNCTION("""COMPUTED_VALUE"""),318.0)</f>
        <v>318</v>
      </c>
      <c r="AJ548" s="131"/>
      <c r="AK548" s="131"/>
    </row>
    <row r="549">
      <c r="A549" s="145" t="str">
        <f>IFERROR(__xludf.DUMMYFUNCTION("""COMPUTED_VALUE"""),"Y")</f>
        <v>Y</v>
      </c>
      <c r="B549" s="146" t="str">
        <f>IFERROR(__xludf.DUMMYFUNCTION("""COMPUTED_VALUE"""),"7")</f>
        <v>7</v>
      </c>
      <c r="C549" s="146" t="str">
        <f>IFERROR(__xludf.DUMMYFUNCTION("""COMPUTED_VALUE"""),"175-180")</f>
        <v>175-180</v>
      </c>
      <c r="D549" s="147">
        <f>IFERROR(__xludf.DUMMYFUNCTION("""COMPUTED_VALUE"""),45776.0)</f>
        <v>45776</v>
      </c>
      <c r="E549" s="147">
        <f>IFERROR(__xludf.DUMMYFUNCTION("""COMPUTED_VALUE"""),45783.0)</f>
        <v>45783</v>
      </c>
      <c r="F549" s="147">
        <f>IFERROR(__xludf.DUMMYFUNCTION("""COMPUTED_VALUE"""),45804.0)</f>
        <v>45804</v>
      </c>
      <c r="G549" s="146" t="str">
        <f>IFERROR(__xludf.DUMMYFUNCTION("""COMPUTED_VALUE"""),"D28-1L")</f>
        <v>D28-1L</v>
      </c>
      <c r="H549" s="148">
        <f>IFERROR(__xludf.DUMMYFUNCTION("""COMPUTED_VALUE"""),1.0)</f>
        <v>1</v>
      </c>
      <c r="I549" s="148">
        <f>IFERROR(__xludf.DUMMYFUNCTION("""COMPUTED_VALUE"""),157.0)</f>
        <v>157</v>
      </c>
      <c r="J549" s="146">
        <f>IFERROR(__xludf.DUMMYFUNCTION("""COMPUTED_VALUE"""),79.0)</f>
        <v>79</v>
      </c>
      <c r="K549" s="146">
        <f>IFERROR(__xludf.DUMMYFUNCTION("""COMPUTED_VALUE"""),79.0)</f>
        <v>79</v>
      </c>
      <c r="L549" s="146"/>
      <c r="M549" s="146"/>
      <c r="N549" s="146"/>
      <c r="O549" s="146"/>
      <c r="P549" s="146">
        <f>IFERROR(__xludf.DUMMYFUNCTION("""COMPUTED_VALUE"""),318.0)</f>
        <v>318</v>
      </c>
      <c r="Q549" s="146"/>
      <c r="R549" s="146"/>
      <c r="T549" s="131" t="str">
        <f>IFERROR(__xludf.DUMMYFUNCTION("""COMPUTED_VALUE"""),"Y")</f>
        <v>Y</v>
      </c>
      <c r="U549" s="131" t="str">
        <f>IFERROR(__xludf.DUMMYFUNCTION("""COMPUTED_VALUE"""),"7")</f>
        <v>7</v>
      </c>
      <c r="V549" s="131" t="str">
        <f>IFERROR(__xludf.DUMMYFUNCTION("""COMPUTED_VALUE"""),"181-186")</f>
        <v>181-186</v>
      </c>
      <c r="W549" s="144">
        <f>IFERROR(__xludf.DUMMYFUNCTION("""COMPUTED_VALUE"""),45776.0)</f>
        <v>45776</v>
      </c>
      <c r="X549" s="144">
        <f>IFERROR(__xludf.DUMMYFUNCTION("""COMPUTED_VALUE"""),45783.0)</f>
        <v>45783</v>
      </c>
      <c r="Y549" s="144">
        <f>IFERROR(__xludf.DUMMYFUNCTION("""COMPUTED_VALUE"""),45804.0)</f>
        <v>45804</v>
      </c>
      <c r="Z549" s="131" t="str">
        <f>IFERROR(__xludf.DUMMYFUNCTION("""COMPUTED_VALUE"""),"D35-1L")</f>
        <v>D35-1L</v>
      </c>
      <c r="AA549" s="131">
        <f>IFERROR(__xludf.DUMMYFUNCTION("""COMPUTED_VALUE"""),175.0)</f>
        <v>175</v>
      </c>
      <c r="AB549" s="131">
        <f>IFERROR(__xludf.DUMMYFUNCTION("""COMPUTED_VALUE"""),197.0)</f>
        <v>197</v>
      </c>
      <c r="AC549" s="131">
        <f>IFERROR(__xludf.DUMMYFUNCTION("""COMPUTED_VALUE"""),12.0)</f>
        <v>12</v>
      </c>
      <c r="AD549" s="131">
        <f>IFERROR(__xludf.DUMMYFUNCTION("""COMPUTED_VALUE"""),12.0)</f>
        <v>12</v>
      </c>
      <c r="AE549" s="131">
        <f>IFERROR(__xludf.DUMMYFUNCTION("""COMPUTED_VALUE"""),70.0)</f>
        <v>70</v>
      </c>
      <c r="AF549" s="131">
        <f>IFERROR(__xludf.DUMMYFUNCTION("""COMPUTED_VALUE"""),86.0)</f>
        <v>86</v>
      </c>
      <c r="AG549" s="131">
        <f>IFERROR(__xludf.DUMMYFUNCTION("""COMPUTED_VALUE"""),9.0)</f>
        <v>9</v>
      </c>
      <c r="AH549" s="131">
        <f>IFERROR(__xludf.DUMMYFUNCTION("""COMPUTED_VALUE"""),9.0)</f>
        <v>9</v>
      </c>
      <c r="AI549" s="131">
        <f>IFERROR(__xludf.DUMMYFUNCTION("""COMPUTED_VALUE"""),319.0)</f>
        <v>319</v>
      </c>
      <c r="AJ549" s="131"/>
      <c r="AK549" s="131"/>
    </row>
    <row r="550">
      <c r="A550" s="145" t="str">
        <f>IFERROR(__xludf.DUMMYFUNCTION("""COMPUTED_VALUE"""),"Y")</f>
        <v>Y</v>
      </c>
      <c r="B550" s="146" t="str">
        <f>IFERROR(__xludf.DUMMYFUNCTION("""COMPUTED_VALUE"""),"7")</f>
        <v>7</v>
      </c>
      <c r="C550" s="146" t="str">
        <f>IFERROR(__xludf.DUMMYFUNCTION("""COMPUTED_VALUE"""),"181-186")</f>
        <v>181-186</v>
      </c>
      <c r="D550" s="147">
        <f>IFERROR(__xludf.DUMMYFUNCTION("""COMPUTED_VALUE"""),45776.0)</f>
        <v>45776</v>
      </c>
      <c r="E550" s="147">
        <f>IFERROR(__xludf.DUMMYFUNCTION("""COMPUTED_VALUE"""),45783.0)</f>
        <v>45783</v>
      </c>
      <c r="F550" s="147">
        <f>IFERROR(__xludf.DUMMYFUNCTION("""COMPUTED_VALUE"""),45804.0)</f>
        <v>45804</v>
      </c>
      <c r="G550" s="146" t="str">
        <f>IFERROR(__xludf.DUMMYFUNCTION("""COMPUTED_VALUE"""),"D35-1L")</f>
        <v>D35-1L</v>
      </c>
      <c r="H550" s="148">
        <f>IFERROR(__xludf.DUMMYFUNCTION("""COMPUTED_VALUE"""),175.0)</f>
        <v>175</v>
      </c>
      <c r="I550" s="148">
        <f>IFERROR(__xludf.DUMMYFUNCTION("""COMPUTED_VALUE"""),197.0)</f>
        <v>197</v>
      </c>
      <c r="J550" s="146">
        <f>IFERROR(__xludf.DUMMYFUNCTION("""COMPUTED_VALUE"""),12.0)</f>
        <v>12</v>
      </c>
      <c r="K550" s="146">
        <f>IFERROR(__xludf.DUMMYFUNCTION("""COMPUTED_VALUE"""),12.0)</f>
        <v>12</v>
      </c>
      <c r="L550" s="146">
        <f>IFERROR(__xludf.DUMMYFUNCTION("""COMPUTED_VALUE"""),70.0)</f>
        <v>70</v>
      </c>
      <c r="M550" s="146">
        <f>IFERROR(__xludf.DUMMYFUNCTION("""COMPUTED_VALUE"""),86.0)</f>
        <v>86</v>
      </c>
      <c r="N550" s="146">
        <f>IFERROR(__xludf.DUMMYFUNCTION("""COMPUTED_VALUE"""),9.0)</f>
        <v>9</v>
      </c>
      <c r="O550" s="146">
        <f>IFERROR(__xludf.DUMMYFUNCTION("""COMPUTED_VALUE"""),9.0)</f>
        <v>9</v>
      </c>
      <c r="P550" s="146">
        <f>IFERROR(__xludf.DUMMYFUNCTION("""COMPUTED_VALUE"""),319.0)</f>
        <v>319</v>
      </c>
      <c r="Q550" s="146"/>
      <c r="R550" s="146"/>
      <c r="T550" s="131" t="str">
        <f>IFERROR(__xludf.DUMMYFUNCTION("""COMPUTED_VALUE"""),"Y")</f>
        <v>Y</v>
      </c>
      <c r="U550" s="131" t="str">
        <f>IFERROR(__xludf.DUMMYFUNCTION("""COMPUTED_VALUE"""),"7")</f>
        <v>7</v>
      </c>
      <c r="V550" s="131" t="str">
        <f>IFERROR(__xludf.DUMMYFUNCTION("""COMPUTED_VALUE"""),"181-186")</f>
        <v>181-186</v>
      </c>
      <c r="W550" s="144">
        <f>IFERROR(__xludf.DUMMYFUNCTION("""COMPUTED_VALUE"""),45776.0)</f>
        <v>45776</v>
      </c>
      <c r="X550" s="144">
        <f>IFERROR(__xludf.DUMMYFUNCTION("""COMPUTED_VALUE"""),45783.0)</f>
        <v>45783</v>
      </c>
      <c r="Y550" s="144">
        <f>IFERROR(__xludf.DUMMYFUNCTION("""COMPUTED_VALUE"""),45804.0)</f>
        <v>45804</v>
      </c>
      <c r="Z550" s="131" t="str">
        <f>IFERROR(__xludf.DUMMYFUNCTION("""COMPUTED_VALUE"""),"D35-1L")</f>
        <v>D35-1L</v>
      </c>
      <c r="AA550" s="131"/>
      <c r="AB550" s="131"/>
      <c r="AC550" s="131"/>
      <c r="AD550" s="131"/>
      <c r="AE550" s="131">
        <f>IFERROR(__xludf.DUMMYFUNCTION("""COMPUTED_VALUE"""),94.0)</f>
        <v>94</v>
      </c>
      <c r="AF550" s="131">
        <f>IFERROR(__xludf.DUMMYFUNCTION("""COMPUTED_VALUE"""),104.0)</f>
        <v>104</v>
      </c>
      <c r="AG550" s="131">
        <f>IFERROR(__xludf.DUMMYFUNCTION("""COMPUTED_VALUE"""),6.0)</f>
        <v>6</v>
      </c>
      <c r="AH550" s="131">
        <f>IFERROR(__xludf.DUMMYFUNCTION("""COMPUTED_VALUE"""),6.0)</f>
        <v>6</v>
      </c>
      <c r="AI550" s="131">
        <f>IFERROR(__xludf.DUMMYFUNCTION("""COMPUTED_VALUE"""),319.0)</f>
        <v>319</v>
      </c>
      <c r="AJ550" s="131"/>
      <c r="AK550" s="131"/>
    </row>
    <row r="551">
      <c r="A551" s="145" t="str">
        <f>IFERROR(__xludf.DUMMYFUNCTION("""COMPUTED_VALUE"""),"Y")</f>
        <v>Y</v>
      </c>
      <c r="B551" s="146" t="str">
        <f>IFERROR(__xludf.DUMMYFUNCTION("""COMPUTED_VALUE"""),"7")</f>
        <v>7</v>
      </c>
      <c r="C551" s="146" t="str">
        <f>IFERROR(__xludf.DUMMYFUNCTION("""COMPUTED_VALUE"""),"181-186")</f>
        <v>181-186</v>
      </c>
      <c r="D551" s="147">
        <f>IFERROR(__xludf.DUMMYFUNCTION("""COMPUTED_VALUE"""),45776.0)</f>
        <v>45776</v>
      </c>
      <c r="E551" s="147">
        <f>IFERROR(__xludf.DUMMYFUNCTION("""COMPUTED_VALUE"""),45783.0)</f>
        <v>45783</v>
      </c>
      <c r="F551" s="147">
        <f>IFERROR(__xludf.DUMMYFUNCTION("""COMPUTED_VALUE"""),45804.0)</f>
        <v>45804</v>
      </c>
      <c r="G551" s="146" t="str">
        <f>IFERROR(__xludf.DUMMYFUNCTION("""COMPUTED_VALUE"""),"D35-1L")</f>
        <v>D35-1L</v>
      </c>
      <c r="H551" s="148"/>
      <c r="I551" s="148"/>
      <c r="J551" s="146"/>
      <c r="K551" s="146"/>
      <c r="L551" s="146">
        <f>IFERROR(__xludf.DUMMYFUNCTION("""COMPUTED_VALUE"""),94.0)</f>
        <v>94</v>
      </c>
      <c r="M551" s="146">
        <f>IFERROR(__xludf.DUMMYFUNCTION("""COMPUTED_VALUE"""),104.0)</f>
        <v>104</v>
      </c>
      <c r="N551" s="146">
        <f>IFERROR(__xludf.DUMMYFUNCTION("""COMPUTED_VALUE"""),6.0)</f>
        <v>6</v>
      </c>
      <c r="O551" s="146">
        <f>IFERROR(__xludf.DUMMYFUNCTION("""COMPUTED_VALUE"""),6.0)</f>
        <v>6</v>
      </c>
      <c r="P551" s="146">
        <f>IFERROR(__xludf.DUMMYFUNCTION("""COMPUTED_VALUE"""),319.0)</f>
        <v>319</v>
      </c>
      <c r="Q551" s="146"/>
      <c r="R551" s="146"/>
      <c r="T551" s="131" t="str">
        <f>IFERROR(__xludf.DUMMYFUNCTION("""COMPUTED_VALUE"""),"Y")</f>
        <v>Y</v>
      </c>
      <c r="U551" s="131" t="str">
        <f>IFERROR(__xludf.DUMMYFUNCTION("""COMPUTED_VALUE"""),"7")</f>
        <v>7</v>
      </c>
      <c r="V551" s="131" t="str">
        <f>IFERROR(__xludf.DUMMYFUNCTION("""COMPUTED_VALUE"""),"181-186")</f>
        <v>181-186</v>
      </c>
      <c r="W551" s="144">
        <f>IFERROR(__xludf.DUMMYFUNCTION("""COMPUTED_VALUE"""),45776.0)</f>
        <v>45776</v>
      </c>
      <c r="X551" s="144">
        <f>IFERROR(__xludf.DUMMYFUNCTION("""COMPUTED_VALUE"""),45783.0)</f>
        <v>45783</v>
      </c>
      <c r="Y551" s="144">
        <f>IFERROR(__xludf.DUMMYFUNCTION("""COMPUTED_VALUE"""),45804.0)</f>
        <v>45804</v>
      </c>
      <c r="Z551" s="131" t="str">
        <f>IFERROR(__xludf.DUMMYFUNCTION("""COMPUTED_VALUE"""),"D35-1L")</f>
        <v>D35-1L</v>
      </c>
      <c r="AA551" s="131"/>
      <c r="AB551" s="131"/>
      <c r="AC551" s="131"/>
      <c r="AD551" s="131"/>
      <c r="AE551" s="131">
        <f>IFERROR(__xludf.DUMMYFUNCTION("""COMPUTED_VALUE"""),108.0)</f>
        <v>108</v>
      </c>
      <c r="AF551" s="131">
        <f>IFERROR(__xludf.DUMMYFUNCTION("""COMPUTED_VALUE"""),156.0)</f>
        <v>156</v>
      </c>
      <c r="AG551" s="131">
        <f>IFERROR(__xludf.DUMMYFUNCTION("""COMPUTED_VALUE"""),25.0)</f>
        <v>25</v>
      </c>
      <c r="AH551" s="131">
        <f>IFERROR(__xludf.DUMMYFUNCTION("""COMPUTED_VALUE"""),25.0)</f>
        <v>25</v>
      </c>
      <c r="AI551" s="131">
        <f>IFERROR(__xludf.DUMMYFUNCTION("""COMPUTED_VALUE"""),319.0)</f>
        <v>319</v>
      </c>
      <c r="AJ551" s="131"/>
      <c r="AK551" s="131"/>
    </row>
    <row r="552">
      <c r="A552" s="145" t="str">
        <f>IFERROR(__xludf.DUMMYFUNCTION("""COMPUTED_VALUE"""),"Y")</f>
        <v>Y</v>
      </c>
      <c r="B552" s="146" t="str">
        <f>IFERROR(__xludf.DUMMYFUNCTION("""COMPUTED_VALUE"""),"7")</f>
        <v>7</v>
      </c>
      <c r="C552" s="146" t="str">
        <f>IFERROR(__xludf.DUMMYFUNCTION("""COMPUTED_VALUE"""),"181-186")</f>
        <v>181-186</v>
      </c>
      <c r="D552" s="147">
        <f>IFERROR(__xludf.DUMMYFUNCTION("""COMPUTED_VALUE"""),45776.0)</f>
        <v>45776</v>
      </c>
      <c r="E552" s="147">
        <f>IFERROR(__xludf.DUMMYFUNCTION("""COMPUTED_VALUE"""),45783.0)</f>
        <v>45783</v>
      </c>
      <c r="F552" s="147">
        <f>IFERROR(__xludf.DUMMYFUNCTION("""COMPUTED_VALUE"""),45804.0)</f>
        <v>45804</v>
      </c>
      <c r="G552" s="146" t="str">
        <f>IFERROR(__xludf.DUMMYFUNCTION("""COMPUTED_VALUE"""),"D35-1L")</f>
        <v>D35-1L</v>
      </c>
      <c r="H552" s="148"/>
      <c r="I552" s="148"/>
      <c r="J552" s="146"/>
      <c r="K552" s="146"/>
      <c r="L552" s="146">
        <f>IFERROR(__xludf.DUMMYFUNCTION("""COMPUTED_VALUE"""),108.0)</f>
        <v>108</v>
      </c>
      <c r="M552" s="146">
        <f>IFERROR(__xludf.DUMMYFUNCTION("""COMPUTED_VALUE"""),156.0)</f>
        <v>156</v>
      </c>
      <c r="N552" s="146">
        <f>IFERROR(__xludf.DUMMYFUNCTION("""COMPUTED_VALUE"""),25.0)</f>
        <v>25</v>
      </c>
      <c r="O552" s="146">
        <f>IFERROR(__xludf.DUMMYFUNCTION("""COMPUTED_VALUE"""),25.0)</f>
        <v>25</v>
      </c>
      <c r="P552" s="146">
        <f>IFERROR(__xludf.DUMMYFUNCTION("""COMPUTED_VALUE"""),319.0)</f>
        <v>319</v>
      </c>
      <c r="Q552" s="146"/>
      <c r="R552" s="146"/>
      <c r="T552" s="131" t="str">
        <f>IFERROR(__xludf.DUMMYFUNCTION("""COMPUTED_VALUE"""),"Y")</f>
        <v>Y</v>
      </c>
      <c r="U552" s="131" t="str">
        <f>IFERROR(__xludf.DUMMYFUNCTION("""COMPUTED_VALUE"""),"7")</f>
        <v>7</v>
      </c>
      <c r="V552" s="131" t="str">
        <f>IFERROR(__xludf.DUMMYFUNCTION("""COMPUTED_VALUE"""),"181-186")</f>
        <v>181-186</v>
      </c>
      <c r="W552" s="144">
        <f>IFERROR(__xludf.DUMMYFUNCTION("""COMPUTED_VALUE"""),45776.0)</f>
        <v>45776</v>
      </c>
      <c r="X552" s="144">
        <f>IFERROR(__xludf.DUMMYFUNCTION("""COMPUTED_VALUE"""),45783.0)</f>
        <v>45783</v>
      </c>
      <c r="Y552" s="144">
        <f>IFERROR(__xludf.DUMMYFUNCTION("""COMPUTED_VALUE"""),45804.0)</f>
        <v>45804</v>
      </c>
      <c r="Z552" s="131" t="str">
        <f>IFERROR(__xludf.DUMMYFUNCTION("""COMPUTED_VALUE"""),"D35-1L")</f>
        <v>D35-1L</v>
      </c>
      <c r="AA552" s="131"/>
      <c r="AB552" s="131"/>
      <c r="AC552" s="131"/>
      <c r="AD552" s="131"/>
      <c r="AE552" s="131">
        <f>IFERROR(__xludf.DUMMYFUNCTION("""COMPUTED_VALUE"""),160.0)</f>
        <v>160</v>
      </c>
      <c r="AF552" s="131">
        <f>IFERROR(__xludf.DUMMYFUNCTION("""COMPUTED_VALUE"""),180.0)</f>
        <v>180</v>
      </c>
      <c r="AG552" s="131">
        <f>IFERROR(__xludf.DUMMYFUNCTION("""COMPUTED_VALUE"""),11.0)</f>
        <v>11</v>
      </c>
      <c r="AH552" s="131">
        <f>IFERROR(__xludf.DUMMYFUNCTION("""COMPUTED_VALUE"""),11.0)</f>
        <v>11</v>
      </c>
      <c r="AI552" s="131">
        <f>IFERROR(__xludf.DUMMYFUNCTION("""COMPUTED_VALUE"""),319.0)</f>
        <v>319</v>
      </c>
      <c r="AJ552" s="131"/>
      <c r="AK552" s="131"/>
    </row>
    <row r="553">
      <c r="A553" s="145" t="str">
        <f>IFERROR(__xludf.DUMMYFUNCTION("""COMPUTED_VALUE"""),"Y")</f>
        <v>Y</v>
      </c>
      <c r="B553" s="146" t="str">
        <f>IFERROR(__xludf.DUMMYFUNCTION("""COMPUTED_VALUE"""),"7")</f>
        <v>7</v>
      </c>
      <c r="C553" s="146" t="str">
        <f>IFERROR(__xludf.DUMMYFUNCTION("""COMPUTED_VALUE"""),"181-186")</f>
        <v>181-186</v>
      </c>
      <c r="D553" s="147">
        <f>IFERROR(__xludf.DUMMYFUNCTION("""COMPUTED_VALUE"""),45776.0)</f>
        <v>45776</v>
      </c>
      <c r="E553" s="147">
        <f>IFERROR(__xludf.DUMMYFUNCTION("""COMPUTED_VALUE"""),45783.0)</f>
        <v>45783</v>
      </c>
      <c r="F553" s="147">
        <f>IFERROR(__xludf.DUMMYFUNCTION("""COMPUTED_VALUE"""),45804.0)</f>
        <v>45804</v>
      </c>
      <c r="G553" s="146" t="str">
        <f>IFERROR(__xludf.DUMMYFUNCTION("""COMPUTED_VALUE"""),"D35-1L")</f>
        <v>D35-1L</v>
      </c>
      <c r="H553" s="148"/>
      <c r="I553" s="148"/>
      <c r="J553" s="146"/>
      <c r="K553" s="146"/>
      <c r="L553" s="146">
        <f>IFERROR(__xludf.DUMMYFUNCTION("""COMPUTED_VALUE"""),160.0)</f>
        <v>160</v>
      </c>
      <c r="M553" s="146">
        <f>IFERROR(__xludf.DUMMYFUNCTION("""COMPUTED_VALUE"""),180.0)</f>
        <v>180</v>
      </c>
      <c r="N553" s="146">
        <f>IFERROR(__xludf.DUMMYFUNCTION("""COMPUTED_VALUE"""),11.0)</f>
        <v>11</v>
      </c>
      <c r="O553" s="146">
        <f>IFERROR(__xludf.DUMMYFUNCTION("""COMPUTED_VALUE"""),11.0)</f>
        <v>11</v>
      </c>
      <c r="P553" s="146">
        <f>IFERROR(__xludf.DUMMYFUNCTION("""COMPUTED_VALUE"""),319.0)</f>
        <v>319</v>
      </c>
      <c r="Q553" s="146"/>
      <c r="R553" s="146"/>
      <c r="T553" s="131" t="str">
        <f>IFERROR(__xludf.DUMMYFUNCTION("""COMPUTED_VALUE"""),"Y")</f>
        <v>Y</v>
      </c>
      <c r="U553" s="131" t="str">
        <f>IFERROR(__xludf.DUMMYFUNCTION("""COMPUTED_VALUE"""),"7")</f>
        <v>7</v>
      </c>
      <c r="V553" s="131" t="str">
        <f>IFERROR(__xludf.DUMMYFUNCTION("""COMPUTED_VALUE"""),"181-186")</f>
        <v>181-186</v>
      </c>
      <c r="W553" s="144">
        <f>IFERROR(__xludf.DUMMYFUNCTION("""COMPUTED_VALUE"""),45776.0)</f>
        <v>45776</v>
      </c>
      <c r="X553" s="144">
        <f>IFERROR(__xludf.DUMMYFUNCTION("""COMPUTED_VALUE"""),45783.0)</f>
        <v>45783</v>
      </c>
      <c r="Y553" s="144">
        <f>IFERROR(__xludf.DUMMYFUNCTION("""COMPUTED_VALUE"""),45804.0)</f>
        <v>45804</v>
      </c>
      <c r="Z553" s="131" t="str">
        <f>IFERROR(__xludf.DUMMYFUNCTION("""COMPUTED_VALUE"""),"D35-1L")</f>
        <v>D35-1L</v>
      </c>
      <c r="AA553" s="131"/>
      <c r="AB553" s="131"/>
      <c r="AC553" s="131"/>
      <c r="AD553" s="131"/>
      <c r="AE553" s="131">
        <f>IFERROR(__xludf.DUMMYFUNCTION("""COMPUTED_VALUE"""),200.0)</f>
        <v>200</v>
      </c>
      <c r="AF553" s="131">
        <f>IFERROR(__xludf.DUMMYFUNCTION("""COMPUTED_VALUE"""),270.0)</f>
        <v>270</v>
      </c>
      <c r="AG553" s="131">
        <f>IFERROR(__xludf.DUMMYFUNCTION("""COMPUTED_VALUE"""),36.0)</f>
        <v>36</v>
      </c>
      <c r="AH553" s="131">
        <f>IFERROR(__xludf.DUMMYFUNCTION("""COMPUTED_VALUE"""),36.0)</f>
        <v>36</v>
      </c>
      <c r="AI553" s="131">
        <f>IFERROR(__xludf.DUMMYFUNCTION("""COMPUTED_VALUE"""),319.0)</f>
        <v>319</v>
      </c>
      <c r="AJ553" s="131"/>
      <c r="AK553" s="131"/>
    </row>
    <row r="554">
      <c r="A554" s="145" t="str">
        <f>IFERROR(__xludf.DUMMYFUNCTION("""COMPUTED_VALUE"""),"Y")</f>
        <v>Y</v>
      </c>
      <c r="B554" s="146" t="str">
        <f>IFERROR(__xludf.DUMMYFUNCTION("""COMPUTED_VALUE"""),"7")</f>
        <v>7</v>
      </c>
      <c r="C554" s="146" t="str">
        <f>IFERROR(__xludf.DUMMYFUNCTION("""COMPUTED_VALUE"""),"181-186")</f>
        <v>181-186</v>
      </c>
      <c r="D554" s="147">
        <f>IFERROR(__xludf.DUMMYFUNCTION("""COMPUTED_VALUE"""),45776.0)</f>
        <v>45776</v>
      </c>
      <c r="E554" s="147">
        <f>IFERROR(__xludf.DUMMYFUNCTION("""COMPUTED_VALUE"""),45783.0)</f>
        <v>45783</v>
      </c>
      <c r="F554" s="147">
        <f>IFERROR(__xludf.DUMMYFUNCTION("""COMPUTED_VALUE"""),45804.0)</f>
        <v>45804</v>
      </c>
      <c r="G554" s="146" t="str">
        <f>IFERROR(__xludf.DUMMYFUNCTION("""COMPUTED_VALUE"""),"D35-1L")</f>
        <v>D35-1L</v>
      </c>
      <c r="H554" s="148"/>
      <c r="I554" s="148"/>
      <c r="J554" s="146"/>
      <c r="K554" s="146"/>
      <c r="L554" s="146">
        <f>IFERROR(__xludf.DUMMYFUNCTION("""COMPUTED_VALUE"""),200.0)</f>
        <v>200</v>
      </c>
      <c r="M554" s="146">
        <f>IFERROR(__xludf.DUMMYFUNCTION("""COMPUTED_VALUE"""),270.0)</f>
        <v>270</v>
      </c>
      <c r="N554" s="146">
        <f>IFERROR(__xludf.DUMMYFUNCTION("""COMPUTED_VALUE"""),36.0)</f>
        <v>36</v>
      </c>
      <c r="O554" s="146">
        <f>IFERROR(__xludf.DUMMYFUNCTION("""COMPUTED_VALUE"""),36.0)</f>
        <v>36</v>
      </c>
      <c r="P554" s="146">
        <f>IFERROR(__xludf.DUMMYFUNCTION("""COMPUTED_VALUE"""),319.0)</f>
        <v>319</v>
      </c>
      <c r="Q554" s="146"/>
      <c r="R554" s="146"/>
      <c r="T554" s="131" t="str">
        <f>IFERROR(__xludf.DUMMYFUNCTION("""COMPUTED_VALUE"""),"Y")</f>
        <v>Y</v>
      </c>
      <c r="U554" s="131" t="str">
        <f>IFERROR(__xludf.DUMMYFUNCTION("""COMPUTED_VALUE"""),"7")</f>
        <v>7</v>
      </c>
      <c r="V554" s="131" t="str">
        <f>IFERROR(__xludf.DUMMYFUNCTION("""COMPUTED_VALUE"""),"187-192")</f>
        <v>187-192</v>
      </c>
      <c r="W554" s="144">
        <f>IFERROR(__xludf.DUMMYFUNCTION("""COMPUTED_VALUE"""),45776.0)</f>
        <v>45776</v>
      </c>
      <c r="X554" s="144">
        <f>IFERROR(__xludf.DUMMYFUNCTION("""COMPUTED_VALUE"""),45783.0)</f>
        <v>45783</v>
      </c>
      <c r="Y554" s="144">
        <f>IFERROR(__xludf.DUMMYFUNCTION("""COMPUTED_VALUE"""),45804.0)</f>
        <v>45804</v>
      </c>
      <c r="Z554" s="131" t="str">
        <f>IFERROR(__xludf.DUMMYFUNCTION("""COMPUTED_VALUE"""),"D42-5L")</f>
        <v>D42-5L</v>
      </c>
      <c r="AA554" s="131">
        <f>IFERROR(__xludf.DUMMYFUNCTION("""COMPUTED_VALUE"""),49.0)</f>
        <v>49</v>
      </c>
      <c r="AB554" s="131">
        <f>IFERROR(__xludf.DUMMYFUNCTION("""COMPUTED_VALUE"""),303.0)</f>
        <v>303</v>
      </c>
      <c r="AC554" s="131">
        <f>IFERROR(__xludf.DUMMYFUNCTION("""COMPUTED_VALUE"""),128.0)</f>
        <v>128</v>
      </c>
      <c r="AD554" s="131">
        <f>IFERROR(__xludf.DUMMYFUNCTION("""COMPUTED_VALUE"""),128.0)</f>
        <v>128</v>
      </c>
      <c r="AE554" s="131"/>
      <c r="AF554" s="131"/>
      <c r="AG554" s="131"/>
      <c r="AH554" s="131"/>
      <c r="AI554" s="131">
        <f>IFERROR(__xludf.DUMMYFUNCTION("""COMPUTED_VALUE"""),320.0)</f>
        <v>320</v>
      </c>
      <c r="AJ554" s="131"/>
      <c r="AK554" s="131"/>
    </row>
    <row r="555">
      <c r="A555" s="145" t="str">
        <f>IFERROR(__xludf.DUMMYFUNCTION("""COMPUTED_VALUE"""),"Y")</f>
        <v>Y</v>
      </c>
      <c r="B555" s="146" t="str">
        <f>IFERROR(__xludf.DUMMYFUNCTION("""COMPUTED_VALUE"""),"7")</f>
        <v>7</v>
      </c>
      <c r="C555" s="146" t="str">
        <f>IFERROR(__xludf.DUMMYFUNCTION("""COMPUTED_VALUE"""),"187-192")</f>
        <v>187-192</v>
      </c>
      <c r="D555" s="147">
        <f>IFERROR(__xludf.DUMMYFUNCTION("""COMPUTED_VALUE"""),45776.0)</f>
        <v>45776</v>
      </c>
      <c r="E555" s="147">
        <f>IFERROR(__xludf.DUMMYFUNCTION("""COMPUTED_VALUE"""),45783.0)</f>
        <v>45783</v>
      </c>
      <c r="F555" s="147">
        <f>IFERROR(__xludf.DUMMYFUNCTION("""COMPUTED_VALUE"""),45804.0)</f>
        <v>45804</v>
      </c>
      <c r="G555" s="146" t="str">
        <f>IFERROR(__xludf.DUMMYFUNCTION("""COMPUTED_VALUE"""),"D42-5L")</f>
        <v>D42-5L</v>
      </c>
      <c r="H555" s="148">
        <f>IFERROR(__xludf.DUMMYFUNCTION("""COMPUTED_VALUE"""),49.0)</f>
        <v>49</v>
      </c>
      <c r="I555" s="148">
        <f>IFERROR(__xludf.DUMMYFUNCTION("""COMPUTED_VALUE"""),303.0)</f>
        <v>303</v>
      </c>
      <c r="J555" s="146">
        <f>IFERROR(__xludf.DUMMYFUNCTION("""COMPUTED_VALUE"""),128.0)</f>
        <v>128</v>
      </c>
      <c r="K555" s="146">
        <f>IFERROR(__xludf.DUMMYFUNCTION("""COMPUTED_VALUE"""),128.0)</f>
        <v>128</v>
      </c>
      <c r="L555" s="146"/>
      <c r="M555" s="146"/>
      <c r="N555" s="146"/>
      <c r="O555" s="146"/>
      <c r="P555" s="146">
        <f>IFERROR(__xludf.DUMMYFUNCTION("""COMPUTED_VALUE"""),320.0)</f>
        <v>320</v>
      </c>
      <c r="Q555" s="146"/>
      <c r="R555" s="146"/>
      <c r="T555" s="131" t="str">
        <f>IFERROR(__xludf.DUMMYFUNCTION("""COMPUTED_VALUE"""),"Y")</f>
        <v>Y</v>
      </c>
      <c r="U555" s="131" t="str">
        <f>IFERROR(__xludf.DUMMYFUNCTION("""COMPUTED_VALUE"""),"7")</f>
        <v>7</v>
      </c>
      <c r="V555" s="131" t="str">
        <f>IFERROR(__xludf.DUMMYFUNCTION("""COMPUTED_VALUE"""),"193-198")</f>
        <v>193-198</v>
      </c>
      <c r="W555" s="144">
        <f>IFERROR(__xludf.DUMMYFUNCTION("""COMPUTED_VALUE"""),45777.0)</f>
        <v>45777</v>
      </c>
      <c r="X555" s="144">
        <f>IFERROR(__xludf.DUMMYFUNCTION("""COMPUTED_VALUE"""),45784.0)</f>
        <v>45784</v>
      </c>
      <c r="Y555" s="144">
        <f>IFERROR(__xludf.DUMMYFUNCTION("""COMPUTED_VALUE"""),45805.0)</f>
        <v>45805</v>
      </c>
      <c r="Z555" s="131" t="str">
        <f>IFERROR(__xludf.DUMMYFUNCTION("""COMPUTED_VALUE"""),"D28-1L")</f>
        <v>D28-1L</v>
      </c>
      <c r="AA555" s="131">
        <f>IFERROR(__xludf.DUMMYFUNCTION("""COMPUTED_VALUE"""),159.0)</f>
        <v>159</v>
      </c>
      <c r="AB555" s="131">
        <f>IFERROR(__xludf.DUMMYFUNCTION("""COMPUTED_VALUE"""),265.0)</f>
        <v>265</v>
      </c>
      <c r="AC555" s="131">
        <f>IFERROR(__xludf.DUMMYFUNCTION("""COMPUTED_VALUE"""),54.0)</f>
        <v>54</v>
      </c>
      <c r="AD555" s="131">
        <f>IFERROR(__xludf.DUMMYFUNCTION("""COMPUTED_VALUE"""),54.0)</f>
        <v>54</v>
      </c>
      <c r="AE555" s="131">
        <f>IFERROR(__xludf.DUMMYFUNCTION("""COMPUTED_VALUE"""),2.0)</f>
        <v>2</v>
      </c>
      <c r="AF555" s="131">
        <f>IFERROR(__xludf.DUMMYFUNCTION("""COMPUTED_VALUE"""),6.0)</f>
        <v>6</v>
      </c>
      <c r="AG555" s="131">
        <f>IFERROR(__xludf.DUMMYFUNCTION("""COMPUTED_VALUE"""),3.0)</f>
        <v>3</v>
      </c>
      <c r="AH555" s="131">
        <f>IFERROR(__xludf.DUMMYFUNCTION("""COMPUTED_VALUE"""),3.0)</f>
        <v>3</v>
      </c>
      <c r="AI555" s="131">
        <f>IFERROR(__xludf.DUMMYFUNCTION("""COMPUTED_VALUE"""),321.0)</f>
        <v>321</v>
      </c>
      <c r="AJ555" s="131"/>
      <c r="AK555" s="131"/>
    </row>
    <row r="556">
      <c r="A556" s="145" t="str">
        <f>IFERROR(__xludf.DUMMYFUNCTION("""COMPUTED_VALUE"""),"Y")</f>
        <v>Y</v>
      </c>
      <c r="B556" s="146" t="str">
        <f>IFERROR(__xludf.DUMMYFUNCTION("""COMPUTED_VALUE"""),"7")</f>
        <v>7</v>
      </c>
      <c r="C556" s="146" t="str">
        <f>IFERROR(__xludf.DUMMYFUNCTION("""COMPUTED_VALUE"""),"193-198")</f>
        <v>193-198</v>
      </c>
      <c r="D556" s="147">
        <f>IFERROR(__xludf.DUMMYFUNCTION("""COMPUTED_VALUE"""),45777.0)</f>
        <v>45777</v>
      </c>
      <c r="E556" s="147">
        <f>IFERROR(__xludf.DUMMYFUNCTION("""COMPUTED_VALUE"""),45784.0)</f>
        <v>45784</v>
      </c>
      <c r="F556" s="147">
        <f>IFERROR(__xludf.DUMMYFUNCTION("""COMPUTED_VALUE"""),45805.0)</f>
        <v>45805</v>
      </c>
      <c r="G556" s="146" t="str">
        <f>IFERROR(__xludf.DUMMYFUNCTION("""COMPUTED_VALUE"""),"D28-1L")</f>
        <v>D28-1L</v>
      </c>
      <c r="H556" s="148">
        <f>IFERROR(__xludf.DUMMYFUNCTION("""COMPUTED_VALUE"""),159.0)</f>
        <v>159</v>
      </c>
      <c r="I556" s="148">
        <f>IFERROR(__xludf.DUMMYFUNCTION("""COMPUTED_VALUE"""),265.0)</f>
        <v>265</v>
      </c>
      <c r="J556" s="146">
        <f>IFERROR(__xludf.DUMMYFUNCTION("""COMPUTED_VALUE"""),54.0)</f>
        <v>54</v>
      </c>
      <c r="K556" s="146">
        <f>IFERROR(__xludf.DUMMYFUNCTION("""COMPUTED_VALUE"""),54.0)</f>
        <v>54</v>
      </c>
      <c r="L556" s="146">
        <f>IFERROR(__xludf.DUMMYFUNCTION("""COMPUTED_VALUE"""),2.0)</f>
        <v>2</v>
      </c>
      <c r="M556" s="146">
        <f>IFERROR(__xludf.DUMMYFUNCTION("""COMPUTED_VALUE"""),6.0)</f>
        <v>6</v>
      </c>
      <c r="N556" s="146">
        <f>IFERROR(__xludf.DUMMYFUNCTION("""COMPUTED_VALUE"""),3.0)</f>
        <v>3</v>
      </c>
      <c r="O556" s="146">
        <f>IFERROR(__xludf.DUMMYFUNCTION("""COMPUTED_VALUE"""),3.0)</f>
        <v>3</v>
      </c>
      <c r="P556" s="146">
        <f>IFERROR(__xludf.DUMMYFUNCTION("""COMPUTED_VALUE"""),321.0)</f>
        <v>321</v>
      </c>
      <c r="Q556" s="146"/>
      <c r="R556" s="146"/>
      <c r="T556" s="131" t="str">
        <f>IFERROR(__xludf.DUMMYFUNCTION("""COMPUTED_VALUE"""),"Y")</f>
        <v>Y</v>
      </c>
      <c r="U556" s="131" t="str">
        <f>IFERROR(__xludf.DUMMYFUNCTION("""COMPUTED_VALUE"""),"7")</f>
        <v>7</v>
      </c>
      <c r="V556" s="131" t="str">
        <f>IFERROR(__xludf.DUMMYFUNCTION("""COMPUTED_VALUE"""),"193-198")</f>
        <v>193-198</v>
      </c>
      <c r="W556" s="144">
        <f>IFERROR(__xludf.DUMMYFUNCTION("""COMPUTED_VALUE"""),45777.0)</f>
        <v>45777</v>
      </c>
      <c r="X556" s="144">
        <f>IFERROR(__xludf.DUMMYFUNCTION("""COMPUTED_VALUE"""),45784.0)</f>
        <v>45784</v>
      </c>
      <c r="Y556" s="144">
        <f>IFERROR(__xludf.DUMMYFUNCTION("""COMPUTED_VALUE"""),45805.0)</f>
        <v>45805</v>
      </c>
      <c r="Z556" s="131" t="str">
        <f>IFERROR(__xludf.DUMMYFUNCTION("""COMPUTED_VALUE"""),"D28-1L")</f>
        <v>D28-1L</v>
      </c>
      <c r="AA556" s="131"/>
      <c r="AB556" s="131"/>
      <c r="AC556" s="131"/>
      <c r="AD556" s="131"/>
      <c r="AE556" s="131">
        <f>IFERROR(__xludf.DUMMYFUNCTION("""COMPUTED_VALUE"""),10.0)</f>
        <v>10</v>
      </c>
      <c r="AF556" s="131">
        <f>IFERROR(__xludf.DUMMYFUNCTION("""COMPUTED_VALUE"""),56.0)</f>
        <v>56</v>
      </c>
      <c r="AG556" s="131">
        <f>IFERROR(__xludf.DUMMYFUNCTION("""COMPUTED_VALUE"""),24.0)</f>
        <v>24</v>
      </c>
      <c r="AH556" s="131">
        <f>IFERROR(__xludf.DUMMYFUNCTION("""COMPUTED_VALUE"""),24.0)</f>
        <v>24</v>
      </c>
      <c r="AI556" s="131">
        <f>IFERROR(__xludf.DUMMYFUNCTION("""COMPUTED_VALUE"""),321.0)</f>
        <v>321</v>
      </c>
      <c r="AJ556" s="131"/>
      <c r="AK556" s="131"/>
    </row>
    <row r="557">
      <c r="A557" s="145" t="str">
        <f>IFERROR(__xludf.DUMMYFUNCTION("""COMPUTED_VALUE"""),"Y")</f>
        <v>Y</v>
      </c>
      <c r="B557" s="146" t="str">
        <f>IFERROR(__xludf.DUMMYFUNCTION("""COMPUTED_VALUE"""),"7")</f>
        <v>7</v>
      </c>
      <c r="C557" s="146" t="str">
        <f>IFERROR(__xludf.DUMMYFUNCTION("""COMPUTED_VALUE"""),"193-198")</f>
        <v>193-198</v>
      </c>
      <c r="D557" s="147">
        <f>IFERROR(__xludf.DUMMYFUNCTION("""COMPUTED_VALUE"""),45777.0)</f>
        <v>45777</v>
      </c>
      <c r="E557" s="147">
        <f>IFERROR(__xludf.DUMMYFUNCTION("""COMPUTED_VALUE"""),45784.0)</f>
        <v>45784</v>
      </c>
      <c r="F557" s="147">
        <f>IFERROR(__xludf.DUMMYFUNCTION("""COMPUTED_VALUE"""),45805.0)</f>
        <v>45805</v>
      </c>
      <c r="G557" s="146" t="str">
        <f>IFERROR(__xludf.DUMMYFUNCTION("""COMPUTED_VALUE"""),"D28-1L")</f>
        <v>D28-1L</v>
      </c>
      <c r="H557" s="148"/>
      <c r="I557" s="148"/>
      <c r="J557" s="146"/>
      <c r="K557" s="146"/>
      <c r="L557" s="146">
        <f>IFERROR(__xludf.DUMMYFUNCTION("""COMPUTED_VALUE"""),10.0)</f>
        <v>10</v>
      </c>
      <c r="M557" s="146">
        <f>IFERROR(__xludf.DUMMYFUNCTION("""COMPUTED_VALUE"""),56.0)</f>
        <v>56</v>
      </c>
      <c r="N557" s="146">
        <f>IFERROR(__xludf.DUMMYFUNCTION("""COMPUTED_VALUE"""),24.0)</f>
        <v>24</v>
      </c>
      <c r="O557" s="146">
        <f>IFERROR(__xludf.DUMMYFUNCTION("""COMPUTED_VALUE"""),24.0)</f>
        <v>24</v>
      </c>
      <c r="P557" s="146">
        <f>IFERROR(__xludf.DUMMYFUNCTION("""COMPUTED_VALUE"""),321.0)</f>
        <v>321</v>
      </c>
      <c r="Q557" s="146"/>
      <c r="R557" s="146"/>
      <c r="T557" s="131" t="str">
        <f>IFERROR(__xludf.DUMMYFUNCTION("""COMPUTED_VALUE"""),"Y")</f>
        <v>Y</v>
      </c>
      <c r="U557" s="131" t="str">
        <f>IFERROR(__xludf.DUMMYFUNCTION("""COMPUTED_VALUE"""),"7")</f>
        <v>7</v>
      </c>
      <c r="V557" s="131" t="str">
        <f>IFERROR(__xludf.DUMMYFUNCTION("""COMPUTED_VALUE"""),"193-198")</f>
        <v>193-198</v>
      </c>
      <c r="W557" s="144">
        <f>IFERROR(__xludf.DUMMYFUNCTION("""COMPUTED_VALUE"""),45777.0)</f>
        <v>45777</v>
      </c>
      <c r="X557" s="144">
        <f>IFERROR(__xludf.DUMMYFUNCTION("""COMPUTED_VALUE"""),45784.0)</f>
        <v>45784</v>
      </c>
      <c r="Y557" s="144">
        <f>IFERROR(__xludf.DUMMYFUNCTION("""COMPUTED_VALUE"""),45805.0)</f>
        <v>45805</v>
      </c>
      <c r="Z557" s="131" t="str">
        <f>IFERROR(__xludf.DUMMYFUNCTION("""COMPUTED_VALUE"""),"D28-1L")</f>
        <v>D28-1L</v>
      </c>
      <c r="AA557" s="131"/>
      <c r="AB557" s="131"/>
      <c r="AC557" s="131"/>
      <c r="AD557" s="131"/>
      <c r="AE557" s="131">
        <f>IFERROR(__xludf.DUMMYFUNCTION("""COMPUTED_VALUE"""),60.0)</f>
        <v>60</v>
      </c>
      <c r="AF557" s="131">
        <f>IFERROR(__xludf.DUMMYFUNCTION("""COMPUTED_VALUE"""),98.0)</f>
        <v>98</v>
      </c>
      <c r="AG557" s="131">
        <f>IFERROR(__xludf.DUMMYFUNCTION("""COMPUTED_VALUE"""),20.0)</f>
        <v>20</v>
      </c>
      <c r="AH557" s="131">
        <f>IFERROR(__xludf.DUMMYFUNCTION("""COMPUTED_VALUE"""),20.0)</f>
        <v>20</v>
      </c>
      <c r="AI557" s="131">
        <f>IFERROR(__xludf.DUMMYFUNCTION("""COMPUTED_VALUE"""),321.0)</f>
        <v>321</v>
      </c>
      <c r="AJ557" s="131"/>
      <c r="AK557" s="131"/>
    </row>
    <row r="558">
      <c r="A558" s="145" t="str">
        <f>IFERROR(__xludf.DUMMYFUNCTION("""COMPUTED_VALUE"""),"Y")</f>
        <v>Y</v>
      </c>
      <c r="B558" s="146" t="str">
        <f>IFERROR(__xludf.DUMMYFUNCTION("""COMPUTED_VALUE"""),"7")</f>
        <v>7</v>
      </c>
      <c r="C558" s="146" t="str">
        <f>IFERROR(__xludf.DUMMYFUNCTION("""COMPUTED_VALUE"""),"193-198")</f>
        <v>193-198</v>
      </c>
      <c r="D558" s="147">
        <f>IFERROR(__xludf.DUMMYFUNCTION("""COMPUTED_VALUE"""),45777.0)</f>
        <v>45777</v>
      </c>
      <c r="E558" s="147">
        <f>IFERROR(__xludf.DUMMYFUNCTION("""COMPUTED_VALUE"""),45784.0)</f>
        <v>45784</v>
      </c>
      <c r="F558" s="147">
        <f>IFERROR(__xludf.DUMMYFUNCTION("""COMPUTED_VALUE"""),45805.0)</f>
        <v>45805</v>
      </c>
      <c r="G558" s="146" t="str">
        <f>IFERROR(__xludf.DUMMYFUNCTION("""COMPUTED_VALUE"""),"D28-1L")</f>
        <v>D28-1L</v>
      </c>
      <c r="H558" s="148"/>
      <c r="I558" s="148"/>
      <c r="J558" s="146"/>
      <c r="K558" s="146"/>
      <c r="L558" s="146">
        <f>IFERROR(__xludf.DUMMYFUNCTION("""COMPUTED_VALUE"""),60.0)</f>
        <v>60</v>
      </c>
      <c r="M558" s="146">
        <f>IFERROR(__xludf.DUMMYFUNCTION("""COMPUTED_VALUE"""),98.0)</f>
        <v>98</v>
      </c>
      <c r="N558" s="146">
        <f>IFERROR(__xludf.DUMMYFUNCTION("""COMPUTED_VALUE"""),20.0)</f>
        <v>20</v>
      </c>
      <c r="O558" s="146">
        <f>IFERROR(__xludf.DUMMYFUNCTION("""COMPUTED_VALUE"""),20.0)</f>
        <v>20</v>
      </c>
      <c r="P558" s="146">
        <f>IFERROR(__xludf.DUMMYFUNCTION("""COMPUTED_VALUE"""),321.0)</f>
        <v>321</v>
      </c>
      <c r="Q558" s="146"/>
      <c r="R558" s="146"/>
      <c r="T558" s="131" t="str">
        <f>IFERROR(__xludf.DUMMYFUNCTION("""COMPUTED_VALUE"""),"Y")</f>
        <v>Y</v>
      </c>
      <c r="U558" s="131" t="str">
        <f>IFERROR(__xludf.DUMMYFUNCTION("""COMPUTED_VALUE"""),"7")</f>
        <v>7</v>
      </c>
      <c r="V558" s="131" t="str">
        <f>IFERROR(__xludf.DUMMYFUNCTION("""COMPUTED_VALUE"""),"199-204")</f>
        <v>199-204</v>
      </c>
      <c r="W558" s="144">
        <f>IFERROR(__xludf.DUMMYFUNCTION("""COMPUTED_VALUE"""),45777.0)</f>
        <v>45777</v>
      </c>
      <c r="X558" s="144">
        <f>IFERROR(__xludf.DUMMYFUNCTION("""COMPUTED_VALUE"""),45784.0)</f>
        <v>45784</v>
      </c>
      <c r="Y558" s="144">
        <f>IFERROR(__xludf.DUMMYFUNCTION("""COMPUTED_VALUE"""),45805.0)</f>
        <v>45805</v>
      </c>
      <c r="Z558" s="131" t="str">
        <f>IFERROR(__xludf.DUMMYFUNCTION("""COMPUTED_VALUE"""),"D35-1L")</f>
        <v>D35-1L</v>
      </c>
      <c r="AA558" s="131">
        <f>IFERROR(__xludf.DUMMYFUNCTION("""COMPUTED_VALUE"""),201.0)</f>
        <v>201</v>
      </c>
      <c r="AB558" s="131">
        <f>IFERROR(__xludf.DUMMYFUNCTION("""COMPUTED_VALUE"""),207.0)</f>
        <v>207</v>
      </c>
      <c r="AC558" s="131">
        <f>IFERROR(__xludf.DUMMYFUNCTION("""COMPUTED_VALUE"""),4.0)</f>
        <v>4</v>
      </c>
      <c r="AD558" s="131">
        <f>IFERROR(__xludf.DUMMYFUNCTION("""COMPUTED_VALUE"""),4.0)</f>
        <v>4</v>
      </c>
      <c r="AE558" s="131">
        <f>IFERROR(__xludf.DUMMYFUNCTION("""COMPUTED_VALUE"""),182.0)</f>
        <v>182</v>
      </c>
      <c r="AF558" s="131">
        <f>IFERROR(__xludf.DUMMYFUNCTION("""COMPUTED_VALUE"""),198.0)</f>
        <v>198</v>
      </c>
      <c r="AG558" s="131">
        <f>IFERROR(__xludf.DUMMYFUNCTION("""COMPUTED_VALUE"""),9.0)</f>
        <v>9</v>
      </c>
      <c r="AH558" s="131">
        <f>IFERROR(__xludf.DUMMYFUNCTION("""COMPUTED_VALUE"""),9.0)</f>
        <v>9</v>
      </c>
      <c r="AI558" s="131">
        <f>IFERROR(__xludf.DUMMYFUNCTION("""COMPUTED_VALUE"""),322.0)</f>
        <v>322</v>
      </c>
      <c r="AJ558" s="131"/>
      <c r="AK558" s="131"/>
    </row>
    <row r="559">
      <c r="A559" s="145" t="str">
        <f>IFERROR(__xludf.DUMMYFUNCTION("""COMPUTED_VALUE"""),"Y")</f>
        <v>Y</v>
      </c>
      <c r="B559" s="146" t="str">
        <f>IFERROR(__xludf.DUMMYFUNCTION("""COMPUTED_VALUE"""),"7")</f>
        <v>7</v>
      </c>
      <c r="C559" s="146" t="str">
        <f>IFERROR(__xludf.DUMMYFUNCTION("""COMPUTED_VALUE"""),"199-204")</f>
        <v>199-204</v>
      </c>
      <c r="D559" s="147">
        <f>IFERROR(__xludf.DUMMYFUNCTION("""COMPUTED_VALUE"""),45777.0)</f>
        <v>45777</v>
      </c>
      <c r="E559" s="147">
        <f>IFERROR(__xludf.DUMMYFUNCTION("""COMPUTED_VALUE"""),45784.0)</f>
        <v>45784</v>
      </c>
      <c r="F559" s="147">
        <f>IFERROR(__xludf.DUMMYFUNCTION("""COMPUTED_VALUE"""),45805.0)</f>
        <v>45805</v>
      </c>
      <c r="G559" s="146" t="str">
        <f>IFERROR(__xludf.DUMMYFUNCTION("""COMPUTED_VALUE"""),"D35-1L")</f>
        <v>D35-1L</v>
      </c>
      <c r="H559" s="148">
        <f>IFERROR(__xludf.DUMMYFUNCTION("""COMPUTED_VALUE"""),201.0)</f>
        <v>201</v>
      </c>
      <c r="I559" s="148">
        <f>IFERROR(__xludf.DUMMYFUNCTION("""COMPUTED_VALUE"""),207.0)</f>
        <v>207</v>
      </c>
      <c r="J559" s="146">
        <f>IFERROR(__xludf.DUMMYFUNCTION("""COMPUTED_VALUE"""),4.0)</f>
        <v>4</v>
      </c>
      <c r="K559" s="146">
        <f>IFERROR(__xludf.DUMMYFUNCTION("""COMPUTED_VALUE"""),4.0)</f>
        <v>4</v>
      </c>
      <c r="L559" s="146">
        <f>IFERROR(__xludf.DUMMYFUNCTION("""COMPUTED_VALUE"""),182.0)</f>
        <v>182</v>
      </c>
      <c r="M559" s="146">
        <f>IFERROR(__xludf.DUMMYFUNCTION("""COMPUTED_VALUE"""),198.0)</f>
        <v>198</v>
      </c>
      <c r="N559" s="146">
        <f>IFERROR(__xludf.DUMMYFUNCTION("""COMPUTED_VALUE"""),9.0)</f>
        <v>9</v>
      </c>
      <c r="O559" s="146">
        <f>IFERROR(__xludf.DUMMYFUNCTION("""COMPUTED_VALUE"""),9.0)</f>
        <v>9</v>
      </c>
      <c r="P559" s="146">
        <f>IFERROR(__xludf.DUMMYFUNCTION("""COMPUTED_VALUE"""),322.0)</f>
        <v>322</v>
      </c>
      <c r="Q559" s="146"/>
      <c r="R559" s="146"/>
      <c r="T559" s="131" t="str">
        <f>IFERROR(__xludf.DUMMYFUNCTION("""COMPUTED_VALUE"""),"Y")</f>
        <v>Y</v>
      </c>
      <c r="U559" s="131" t="str">
        <f>IFERROR(__xludf.DUMMYFUNCTION("""COMPUTED_VALUE"""),"7")</f>
        <v>7</v>
      </c>
      <c r="V559" s="131" t="str">
        <f>IFERROR(__xludf.DUMMYFUNCTION("""COMPUTED_VALUE"""),"199-204")</f>
        <v>199-204</v>
      </c>
      <c r="W559" s="144">
        <f>IFERROR(__xludf.DUMMYFUNCTION("""COMPUTED_VALUE"""),45777.0)</f>
        <v>45777</v>
      </c>
      <c r="X559" s="144">
        <f>IFERROR(__xludf.DUMMYFUNCTION("""COMPUTED_VALUE"""),45784.0)</f>
        <v>45784</v>
      </c>
      <c r="Y559" s="144">
        <f>IFERROR(__xludf.DUMMYFUNCTION("""COMPUTED_VALUE"""),45805.0)</f>
        <v>45805</v>
      </c>
      <c r="Z559" s="131" t="str">
        <f>IFERROR(__xludf.DUMMYFUNCTION("""COMPUTED_VALUE"""),"D35-1L")</f>
        <v>D35-1L</v>
      </c>
      <c r="AA559" s="131">
        <f>IFERROR(__xludf.DUMMYFUNCTION("""COMPUTED_VALUE"""),211.0)</f>
        <v>211</v>
      </c>
      <c r="AB559" s="131">
        <f>IFERROR(__xludf.DUMMYFUNCTION("""COMPUTED_VALUE"""),261.0)</f>
        <v>261</v>
      </c>
      <c r="AC559" s="131">
        <f>IFERROR(__xludf.DUMMYFUNCTION("""COMPUTED_VALUE"""),26.0)</f>
        <v>26</v>
      </c>
      <c r="AD559" s="131">
        <f>IFERROR(__xludf.DUMMYFUNCTION("""COMPUTED_VALUE"""),26.0)</f>
        <v>26</v>
      </c>
      <c r="AE559" s="131">
        <f>IFERROR(__xludf.DUMMYFUNCTION("""COMPUTED_VALUE"""),272.0)</f>
        <v>272</v>
      </c>
      <c r="AF559" s="131">
        <f>IFERROR(__xludf.DUMMYFUNCTION("""COMPUTED_VALUE"""),338.0)</f>
        <v>338</v>
      </c>
      <c r="AG559" s="131">
        <f>IFERROR(__xludf.DUMMYFUNCTION("""COMPUTED_VALUE"""),34.0)</f>
        <v>34</v>
      </c>
      <c r="AH559" s="131">
        <f>IFERROR(__xludf.DUMMYFUNCTION("""COMPUTED_VALUE"""),34.0)</f>
        <v>34</v>
      </c>
      <c r="AI559" s="131">
        <f>IFERROR(__xludf.DUMMYFUNCTION("""COMPUTED_VALUE"""),322.0)</f>
        <v>322</v>
      </c>
      <c r="AJ559" s="131"/>
      <c r="AK559" s="131"/>
    </row>
    <row r="560">
      <c r="A560" s="124" t="str">
        <f>IFERROR(__xludf.DUMMYFUNCTION("""COMPUTED_VALUE"""),"Y")</f>
        <v>Y</v>
      </c>
      <c r="B560" s="131" t="str">
        <f>IFERROR(__xludf.DUMMYFUNCTION("""COMPUTED_VALUE"""),"7")</f>
        <v>7</v>
      </c>
      <c r="C560" s="131" t="str">
        <f>IFERROR(__xludf.DUMMYFUNCTION("""COMPUTED_VALUE"""),"199-204")</f>
        <v>199-204</v>
      </c>
      <c r="D560" s="144">
        <f>IFERROR(__xludf.DUMMYFUNCTION("""COMPUTED_VALUE"""),45777.0)</f>
        <v>45777</v>
      </c>
      <c r="E560" s="147">
        <f>IFERROR(__xludf.DUMMYFUNCTION("""COMPUTED_VALUE"""),45784.0)</f>
        <v>45784</v>
      </c>
      <c r="F560" s="147">
        <f>IFERROR(__xludf.DUMMYFUNCTION("""COMPUTED_VALUE"""),45805.0)</f>
        <v>45805</v>
      </c>
      <c r="G560" s="131" t="str">
        <f>IFERROR(__xludf.DUMMYFUNCTION("""COMPUTED_VALUE"""),"D35-1L")</f>
        <v>D35-1L</v>
      </c>
      <c r="H560" s="126">
        <f>IFERROR(__xludf.DUMMYFUNCTION("""COMPUTED_VALUE"""),211.0)</f>
        <v>211</v>
      </c>
      <c r="I560" s="126">
        <f>IFERROR(__xludf.DUMMYFUNCTION("""COMPUTED_VALUE"""),261.0)</f>
        <v>261</v>
      </c>
      <c r="J560" s="131">
        <f>IFERROR(__xludf.DUMMYFUNCTION("""COMPUTED_VALUE"""),26.0)</f>
        <v>26</v>
      </c>
      <c r="K560" s="131">
        <f>IFERROR(__xludf.DUMMYFUNCTION("""COMPUTED_VALUE"""),26.0)</f>
        <v>26</v>
      </c>
      <c r="L560" s="131">
        <f>IFERROR(__xludf.DUMMYFUNCTION("""COMPUTED_VALUE"""),272.0)</f>
        <v>272</v>
      </c>
      <c r="M560" s="131">
        <f>IFERROR(__xludf.DUMMYFUNCTION("""COMPUTED_VALUE"""),338.0)</f>
        <v>338</v>
      </c>
      <c r="N560" s="131">
        <f>IFERROR(__xludf.DUMMYFUNCTION("""COMPUTED_VALUE"""),34.0)</f>
        <v>34</v>
      </c>
      <c r="O560" s="131">
        <f>IFERROR(__xludf.DUMMYFUNCTION("""COMPUTED_VALUE"""),34.0)</f>
        <v>34</v>
      </c>
      <c r="P560" s="131">
        <f>IFERROR(__xludf.DUMMYFUNCTION("""COMPUTED_VALUE"""),322.0)</f>
        <v>322</v>
      </c>
      <c r="Q560" s="131"/>
      <c r="R560" s="131"/>
      <c r="T560" s="131" t="str">
        <f>IFERROR(__xludf.DUMMYFUNCTION("""COMPUTED_VALUE"""),"Y")</f>
        <v>Y</v>
      </c>
      <c r="U560" s="131" t="str">
        <f>IFERROR(__xludf.DUMMYFUNCTION("""COMPUTED_VALUE"""),"7")</f>
        <v>7</v>
      </c>
      <c r="V560" s="131" t="str">
        <f>IFERROR(__xludf.DUMMYFUNCTION("""COMPUTED_VALUE"""),"199-204")</f>
        <v>199-204</v>
      </c>
      <c r="W560" s="144">
        <f>IFERROR(__xludf.DUMMYFUNCTION("""COMPUTED_VALUE"""),45777.0)</f>
        <v>45777</v>
      </c>
      <c r="X560" s="144">
        <f>IFERROR(__xludf.DUMMYFUNCTION("""COMPUTED_VALUE"""),45784.0)</f>
        <v>45784</v>
      </c>
      <c r="Y560" s="144">
        <f>IFERROR(__xludf.DUMMYFUNCTION("""COMPUTED_VALUE"""),45805.0)</f>
        <v>45805</v>
      </c>
      <c r="Z560" s="131" t="str">
        <f>IFERROR(__xludf.DUMMYFUNCTION("""COMPUTED_VALUE"""),"D35-1L")</f>
        <v>D35-1L</v>
      </c>
      <c r="AA560" s="131">
        <f>IFERROR(__xludf.DUMMYFUNCTION("""COMPUTED_VALUE"""),93.0)</f>
        <v>93</v>
      </c>
      <c r="AB560" s="131">
        <f>IFERROR(__xludf.DUMMYFUNCTION("""COMPUTED_VALUE"""),93.0)</f>
        <v>93</v>
      </c>
      <c r="AC560" s="131">
        <f>IFERROR(__xludf.DUMMYFUNCTION("""COMPUTED_VALUE"""),1.0)</f>
        <v>1</v>
      </c>
      <c r="AD560" s="131">
        <f>IFERROR(__xludf.DUMMYFUNCTION("""COMPUTED_VALUE"""),1.0)</f>
        <v>1</v>
      </c>
      <c r="AE560" s="131">
        <f>IFERROR(__xludf.DUMMYFUNCTION("""COMPUTED_VALUE"""),88.0)</f>
        <v>88</v>
      </c>
      <c r="AF560" s="131">
        <f>IFERROR(__xludf.DUMMYFUNCTION("""COMPUTED_VALUE"""),88.0)</f>
        <v>88</v>
      </c>
      <c r="AG560" s="131">
        <f>IFERROR(__xludf.DUMMYFUNCTION("""COMPUTED_VALUE"""),1.0)</f>
        <v>1</v>
      </c>
      <c r="AH560" s="131">
        <f>IFERROR(__xludf.DUMMYFUNCTION("""COMPUTED_VALUE"""),1.0)</f>
        <v>1</v>
      </c>
      <c r="AI560" s="131">
        <f>IFERROR(__xludf.DUMMYFUNCTION("""COMPUTED_VALUE"""),322.0)</f>
        <v>322</v>
      </c>
      <c r="AJ560" s="131"/>
      <c r="AK560" s="131"/>
    </row>
    <row r="561">
      <c r="A561" s="124" t="str">
        <f>IFERROR(__xludf.DUMMYFUNCTION("""COMPUTED_VALUE"""),"Y")</f>
        <v>Y</v>
      </c>
      <c r="B561" s="131" t="str">
        <f>IFERROR(__xludf.DUMMYFUNCTION("""COMPUTED_VALUE"""),"7")</f>
        <v>7</v>
      </c>
      <c r="C561" s="131" t="str">
        <f>IFERROR(__xludf.DUMMYFUNCTION("""COMPUTED_VALUE"""),"199-204")</f>
        <v>199-204</v>
      </c>
      <c r="D561" s="144">
        <f>IFERROR(__xludf.DUMMYFUNCTION("""COMPUTED_VALUE"""),45777.0)</f>
        <v>45777</v>
      </c>
      <c r="E561" s="147">
        <f>IFERROR(__xludf.DUMMYFUNCTION("""COMPUTED_VALUE"""),45784.0)</f>
        <v>45784</v>
      </c>
      <c r="F561" s="147">
        <f>IFERROR(__xludf.DUMMYFUNCTION("""COMPUTED_VALUE"""),45805.0)</f>
        <v>45805</v>
      </c>
      <c r="G561" s="131" t="str">
        <f>IFERROR(__xludf.DUMMYFUNCTION("""COMPUTED_VALUE"""),"D35-1L")</f>
        <v>D35-1L</v>
      </c>
      <c r="H561" s="126">
        <f>IFERROR(__xludf.DUMMYFUNCTION("""COMPUTED_VALUE"""),93.0)</f>
        <v>93</v>
      </c>
      <c r="I561" s="126">
        <f>IFERROR(__xludf.DUMMYFUNCTION("""COMPUTED_VALUE"""),93.0)</f>
        <v>93</v>
      </c>
      <c r="J561" s="131">
        <f>IFERROR(__xludf.DUMMYFUNCTION("""COMPUTED_VALUE"""),1.0)</f>
        <v>1</v>
      </c>
      <c r="K561" s="131">
        <f>IFERROR(__xludf.DUMMYFUNCTION("""COMPUTED_VALUE"""),1.0)</f>
        <v>1</v>
      </c>
      <c r="L561" s="131">
        <f>IFERROR(__xludf.DUMMYFUNCTION("""COMPUTED_VALUE"""),88.0)</f>
        <v>88</v>
      </c>
      <c r="M561" s="131">
        <f>IFERROR(__xludf.DUMMYFUNCTION("""COMPUTED_VALUE"""),88.0)</f>
        <v>88</v>
      </c>
      <c r="N561" s="131">
        <f>IFERROR(__xludf.DUMMYFUNCTION("""COMPUTED_VALUE"""),1.0)</f>
        <v>1</v>
      </c>
      <c r="O561" s="131">
        <f>IFERROR(__xludf.DUMMYFUNCTION("""COMPUTED_VALUE"""),1.0)</f>
        <v>1</v>
      </c>
      <c r="P561" s="131">
        <f>IFERROR(__xludf.DUMMYFUNCTION("""COMPUTED_VALUE"""),322.0)</f>
        <v>322</v>
      </c>
      <c r="Q561" s="131"/>
      <c r="R561" s="131"/>
      <c r="T561" s="131" t="str">
        <f>IFERROR(__xludf.DUMMYFUNCTION("""COMPUTED_VALUE"""),"Y")</f>
        <v>Y</v>
      </c>
      <c r="U561" s="131" t="str">
        <f>IFERROR(__xludf.DUMMYFUNCTION("""COMPUTED_VALUE"""),"7")</f>
        <v>7</v>
      </c>
      <c r="V561" s="131" t="str">
        <f>IFERROR(__xludf.DUMMYFUNCTION("""COMPUTED_VALUE"""),"199-204")</f>
        <v>199-204</v>
      </c>
      <c r="W561" s="144">
        <f>IFERROR(__xludf.DUMMYFUNCTION("""COMPUTED_VALUE"""),45777.0)</f>
        <v>45777</v>
      </c>
      <c r="X561" s="144">
        <f>IFERROR(__xludf.DUMMYFUNCTION("""COMPUTED_VALUE"""),45784.0)</f>
        <v>45784</v>
      </c>
      <c r="Y561" s="144">
        <f>IFERROR(__xludf.DUMMYFUNCTION("""COMPUTED_VALUE"""),45805.0)</f>
        <v>45805</v>
      </c>
      <c r="Z561" s="131" t="str">
        <f>IFERROR(__xludf.DUMMYFUNCTION("""COMPUTED_VALUE"""),"D35-1L")</f>
        <v>D35-1L</v>
      </c>
      <c r="AA561" s="131">
        <f>IFERROR(__xludf.DUMMYFUNCTION("""COMPUTED_VALUE"""),90.0)</f>
        <v>90</v>
      </c>
      <c r="AB561" s="131">
        <f>IFERROR(__xludf.DUMMYFUNCTION("""COMPUTED_VALUE"""),90.0)</f>
        <v>90</v>
      </c>
      <c r="AC561" s="131">
        <f>IFERROR(__xludf.DUMMYFUNCTION("""COMPUTED_VALUE"""),1.0)</f>
        <v>1</v>
      </c>
      <c r="AD561" s="131">
        <f>IFERROR(__xludf.DUMMYFUNCTION("""COMPUTED_VALUE"""),1.0)</f>
        <v>1</v>
      </c>
      <c r="AE561" s="131">
        <f>IFERROR(__xludf.DUMMYFUNCTION("""COMPUTED_VALUE"""),92.0)</f>
        <v>92</v>
      </c>
      <c r="AF561" s="131">
        <f>IFERROR(__xludf.DUMMYFUNCTION("""COMPUTED_VALUE"""),92.0)</f>
        <v>92</v>
      </c>
      <c r="AG561" s="131">
        <f>IFERROR(__xludf.DUMMYFUNCTION("""COMPUTED_VALUE"""),1.0)</f>
        <v>1</v>
      </c>
      <c r="AH561" s="131">
        <f>IFERROR(__xludf.DUMMYFUNCTION("""COMPUTED_VALUE"""),1.0)</f>
        <v>1</v>
      </c>
      <c r="AI561" s="131">
        <f>IFERROR(__xludf.DUMMYFUNCTION("""COMPUTED_VALUE"""),322.0)</f>
        <v>322</v>
      </c>
      <c r="AJ561" s="131"/>
      <c r="AK561" s="131"/>
    </row>
    <row r="562">
      <c r="A562" s="124" t="str">
        <f>IFERROR(__xludf.DUMMYFUNCTION("""COMPUTED_VALUE"""),"Y")</f>
        <v>Y</v>
      </c>
      <c r="B562" s="131" t="str">
        <f>IFERROR(__xludf.DUMMYFUNCTION("""COMPUTED_VALUE"""),"7")</f>
        <v>7</v>
      </c>
      <c r="C562" s="131" t="str">
        <f>IFERROR(__xludf.DUMMYFUNCTION("""COMPUTED_VALUE"""),"199-204")</f>
        <v>199-204</v>
      </c>
      <c r="D562" s="144">
        <f>IFERROR(__xludf.DUMMYFUNCTION("""COMPUTED_VALUE"""),45777.0)</f>
        <v>45777</v>
      </c>
      <c r="E562" s="147">
        <f>IFERROR(__xludf.DUMMYFUNCTION("""COMPUTED_VALUE"""),45784.0)</f>
        <v>45784</v>
      </c>
      <c r="F562" s="147">
        <f>IFERROR(__xludf.DUMMYFUNCTION("""COMPUTED_VALUE"""),45805.0)</f>
        <v>45805</v>
      </c>
      <c r="G562" s="131" t="str">
        <f>IFERROR(__xludf.DUMMYFUNCTION("""COMPUTED_VALUE"""),"D35-1L")</f>
        <v>D35-1L</v>
      </c>
      <c r="H562" s="126">
        <f>IFERROR(__xludf.DUMMYFUNCTION("""COMPUTED_VALUE"""),90.0)</f>
        <v>90</v>
      </c>
      <c r="I562" s="126">
        <f>IFERROR(__xludf.DUMMYFUNCTION("""COMPUTED_VALUE"""),90.0)</f>
        <v>90</v>
      </c>
      <c r="J562" s="131">
        <f>IFERROR(__xludf.DUMMYFUNCTION("""COMPUTED_VALUE"""),1.0)</f>
        <v>1</v>
      </c>
      <c r="K562" s="131">
        <f>IFERROR(__xludf.DUMMYFUNCTION("""COMPUTED_VALUE"""),1.0)</f>
        <v>1</v>
      </c>
      <c r="L562" s="131">
        <f>IFERROR(__xludf.DUMMYFUNCTION("""COMPUTED_VALUE"""),92.0)</f>
        <v>92</v>
      </c>
      <c r="M562" s="131">
        <f>IFERROR(__xludf.DUMMYFUNCTION("""COMPUTED_VALUE"""),92.0)</f>
        <v>92</v>
      </c>
      <c r="N562" s="131">
        <f>IFERROR(__xludf.DUMMYFUNCTION("""COMPUTED_VALUE"""),1.0)</f>
        <v>1</v>
      </c>
      <c r="O562" s="131">
        <f>IFERROR(__xludf.DUMMYFUNCTION("""COMPUTED_VALUE"""),1.0)</f>
        <v>1</v>
      </c>
      <c r="P562" s="131">
        <f>IFERROR(__xludf.DUMMYFUNCTION("""COMPUTED_VALUE"""),322.0)</f>
        <v>322</v>
      </c>
      <c r="Q562" s="131"/>
      <c r="R562" s="131"/>
      <c r="T562" s="131" t="str">
        <f>IFERROR(__xludf.DUMMYFUNCTION("""COMPUTED_VALUE"""),"Y")</f>
        <v>Y</v>
      </c>
      <c r="U562" s="131" t="str">
        <f>IFERROR(__xludf.DUMMYFUNCTION("""COMPUTED_VALUE"""),"7")</f>
        <v>7</v>
      </c>
      <c r="V562" s="131" t="str">
        <f>IFERROR(__xludf.DUMMYFUNCTION("""COMPUTED_VALUE"""),"205-210")</f>
        <v>205-210</v>
      </c>
      <c r="W562" s="144">
        <f>IFERROR(__xludf.DUMMYFUNCTION("""COMPUTED_VALUE"""),45777.0)</f>
        <v>45777</v>
      </c>
      <c r="X562" s="144">
        <f>IFERROR(__xludf.DUMMYFUNCTION("""COMPUTED_VALUE"""),45784.0)</f>
        <v>45784</v>
      </c>
      <c r="Y562" s="144">
        <f>IFERROR(__xludf.DUMMYFUNCTION("""COMPUTED_VALUE"""),45805.0)</f>
        <v>45805</v>
      </c>
      <c r="Z562" s="131" t="str">
        <f>IFERROR(__xludf.DUMMYFUNCTION("""COMPUTED_VALUE"""),"D42-5L")</f>
        <v>D42-5L</v>
      </c>
      <c r="AA562" s="131"/>
      <c r="AB562" s="131"/>
      <c r="AC562" s="131"/>
      <c r="AD562" s="131"/>
      <c r="AE562" s="131">
        <f>IFERROR(__xludf.DUMMYFUNCTION("""COMPUTED_VALUE"""),18.0)</f>
        <v>18</v>
      </c>
      <c r="AF562" s="131">
        <f>IFERROR(__xludf.DUMMYFUNCTION("""COMPUTED_VALUE"""),262.0)</f>
        <v>262</v>
      </c>
      <c r="AG562" s="131">
        <f>IFERROR(__xludf.DUMMYFUNCTION("""COMPUTED_VALUE"""),123.0)</f>
        <v>123</v>
      </c>
      <c r="AH562" s="131">
        <f>IFERROR(__xludf.DUMMYFUNCTION("""COMPUTED_VALUE"""),123.0)</f>
        <v>123</v>
      </c>
      <c r="AI562" s="131">
        <f>IFERROR(__xludf.DUMMYFUNCTION("""COMPUTED_VALUE"""),323.0)</f>
        <v>323</v>
      </c>
      <c r="AJ562" s="131"/>
      <c r="AK562" s="131"/>
    </row>
    <row r="563">
      <c r="A563" s="124" t="str">
        <f>IFERROR(__xludf.DUMMYFUNCTION("""COMPUTED_VALUE"""),"Y")</f>
        <v>Y</v>
      </c>
      <c r="B563" s="131" t="str">
        <f>IFERROR(__xludf.DUMMYFUNCTION("""COMPUTED_VALUE"""),"7")</f>
        <v>7</v>
      </c>
      <c r="C563" s="131" t="str">
        <f>IFERROR(__xludf.DUMMYFUNCTION("""COMPUTED_VALUE"""),"205-210")</f>
        <v>205-210</v>
      </c>
      <c r="D563" s="144">
        <f>IFERROR(__xludf.DUMMYFUNCTION("""COMPUTED_VALUE"""),45777.0)</f>
        <v>45777</v>
      </c>
      <c r="E563" s="147">
        <f>IFERROR(__xludf.DUMMYFUNCTION("""COMPUTED_VALUE"""),45784.0)</f>
        <v>45784</v>
      </c>
      <c r="F563" s="147">
        <f>IFERROR(__xludf.DUMMYFUNCTION("""COMPUTED_VALUE"""),45805.0)</f>
        <v>45805</v>
      </c>
      <c r="G563" s="131" t="str">
        <f>IFERROR(__xludf.DUMMYFUNCTION("""COMPUTED_VALUE"""),"D42-5L")</f>
        <v>D42-5L</v>
      </c>
      <c r="H563" s="126"/>
      <c r="I563" s="126"/>
      <c r="J563" s="131"/>
      <c r="K563" s="131"/>
      <c r="L563" s="131">
        <f>IFERROR(__xludf.DUMMYFUNCTION("""COMPUTED_VALUE"""),18.0)</f>
        <v>18</v>
      </c>
      <c r="M563" s="131">
        <f>IFERROR(__xludf.DUMMYFUNCTION("""COMPUTED_VALUE"""),262.0)</f>
        <v>262</v>
      </c>
      <c r="N563" s="131">
        <f>IFERROR(__xludf.DUMMYFUNCTION("""COMPUTED_VALUE"""),123.0)</f>
        <v>123</v>
      </c>
      <c r="O563" s="131">
        <f>IFERROR(__xludf.DUMMYFUNCTION("""COMPUTED_VALUE"""),123.0)</f>
        <v>123</v>
      </c>
      <c r="P563" s="131">
        <f>IFERROR(__xludf.DUMMYFUNCTION("""COMPUTED_VALUE"""),323.0)</f>
        <v>323</v>
      </c>
      <c r="Q563" s="131"/>
      <c r="R563" s="131"/>
      <c r="T563" s="131" t="str">
        <f>IFERROR(__xludf.DUMMYFUNCTION("""COMPUTED_VALUE"""),"Y")</f>
        <v>Y</v>
      </c>
      <c r="U563" s="131" t="str">
        <f>IFERROR(__xludf.DUMMYFUNCTION("""COMPUTED_VALUE"""),"7")</f>
        <v>7</v>
      </c>
      <c r="V563" s="131" t="str">
        <f>IFERROR(__xludf.DUMMYFUNCTION("""COMPUTED_VALUE"""),"211-216")</f>
        <v>211-216</v>
      </c>
      <c r="W563" s="144">
        <f>IFERROR(__xludf.DUMMYFUNCTION("""COMPUTED_VALUE"""),45780.0)</f>
        <v>45780</v>
      </c>
      <c r="X563" s="144">
        <f>IFERROR(__xludf.DUMMYFUNCTION("""COMPUTED_VALUE"""),45787.0)</f>
        <v>45787</v>
      </c>
      <c r="Y563" s="144">
        <f>IFERROR(__xludf.DUMMYFUNCTION("""COMPUTED_VALUE"""),45808.0)</f>
        <v>45808</v>
      </c>
      <c r="Z563" s="131" t="str">
        <f>IFERROR(__xludf.DUMMYFUNCTION("""COMPUTED_VALUE"""),"D28-1L")</f>
        <v>D28-1L</v>
      </c>
      <c r="AA563" s="131">
        <f>IFERROR(__xludf.DUMMYFUNCTION("""COMPUTED_VALUE"""),267.0)</f>
        <v>267</v>
      </c>
      <c r="AB563" s="131">
        <f>IFERROR(__xludf.DUMMYFUNCTION("""COMPUTED_VALUE"""),305.0)</f>
        <v>305</v>
      </c>
      <c r="AC563" s="131">
        <f>IFERROR(__xludf.DUMMYFUNCTION("""COMPUTED_VALUE"""),20.0)</f>
        <v>20</v>
      </c>
      <c r="AD563" s="131">
        <f>IFERROR(__xludf.DUMMYFUNCTION("""COMPUTED_VALUE"""),20.0)</f>
        <v>20</v>
      </c>
      <c r="AE563" s="131">
        <f>IFERROR(__xludf.DUMMYFUNCTION("""COMPUTED_VALUE"""),100.0)</f>
        <v>100</v>
      </c>
      <c r="AF563" s="131">
        <f>IFERROR(__xludf.DUMMYFUNCTION("""COMPUTED_VALUE"""),106.0)</f>
        <v>106</v>
      </c>
      <c r="AG563" s="131">
        <f>IFERROR(__xludf.DUMMYFUNCTION("""COMPUTED_VALUE"""),4.0)</f>
        <v>4</v>
      </c>
      <c r="AH563" s="131">
        <f>IFERROR(__xludf.DUMMYFUNCTION("""COMPUTED_VALUE"""),4.0)</f>
        <v>4</v>
      </c>
      <c r="AI563" s="131">
        <f>IFERROR(__xludf.DUMMYFUNCTION("""COMPUTED_VALUE"""),324.0)</f>
        <v>324</v>
      </c>
      <c r="AJ563" s="131"/>
      <c r="AK563" s="131"/>
    </row>
    <row r="564">
      <c r="A564" s="124" t="str">
        <f>IFERROR(__xludf.DUMMYFUNCTION("""COMPUTED_VALUE"""),"Y")</f>
        <v>Y</v>
      </c>
      <c r="B564" s="131" t="str">
        <f>IFERROR(__xludf.DUMMYFUNCTION("""COMPUTED_VALUE"""),"7")</f>
        <v>7</v>
      </c>
      <c r="C564" s="131" t="str">
        <f>IFERROR(__xludf.DUMMYFUNCTION("""COMPUTED_VALUE"""),"211-216")</f>
        <v>211-216</v>
      </c>
      <c r="D564" s="144">
        <f>IFERROR(__xludf.DUMMYFUNCTION("""COMPUTED_VALUE"""),45780.0)</f>
        <v>45780</v>
      </c>
      <c r="E564" s="147">
        <f>IFERROR(__xludf.DUMMYFUNCTION("""COMPUTED_VALUE"""),45787.0)</f>
        <v>45787</v>
      </c>
      <c r="F564" s="147">
        <f>IFERROR(__xludf.DUMMYFUNCTION("""COMPUTED_VALUE"""),45808.0)</f>
        <v>45808</v>
      </c>
      <c r="G564" s="131" t="str">
        <f>IFERROR(__xludf.DUMMYFUNCTION("""COMPUTED_VALUE"""),"D28-1L")</f>
        <v>D28-1L</v>
      </c>
      <c r="H564" s="126">
        <f>IFERROR(__xludf.DUMMYFUNCTION("""COMPUTED_VALUE"""),267.0)</f>
        <v>267</v>
      </c>
      <c r="I564" s="126">
        <f>IFERROR(__xludf.DUMMYFUNCTION("""COMPUTED_VALUE"""),305.0)</f>
        <v>305</v>
      </c>
      <c r="J564" s="131">
        <f>IFERROR(__xludf.DUMMYFUNCTION("""COMPUTED_VALUE"""),20.0)</f>
        <v>20</v>
      </c>
      <c r="K564" s="131">
        <f>IFERROR(__xludf.DUMMYFUNCTION("""COMPUTED_VALUE"""),20.0)</f>
        <v>20</v>
      </c>
      <c r="L564" s="131">
        <f>IFERROR(__xludf.DUMMYFUNCTION("""COMPUTED_VALUE"""),100.0)</f>
        <v>100</v>
      </c>
      <c r="M564" s="131">
        <f>IFERROR(__xludf.DUMMYFUNCTION("""COMPUTED_VALUE"""),106.0)</f>
        <v>106</v>
      </c>
      <c r="N564" s="131">
        <f>IFERROR(__xludf.DUMMYFUNCTION("""COMPUTED_VALUE"""),4.0)</f>
        <v>4</v>
      </c>
      <c r="O564" s="131">
        <f>IFERROR(__xludf.DUMMYFUNCTION("""COMPUTED_VALUE"""),4.0)</f>
        <v>4</v>
      </c>
      <c r="P564" s="131">
        <f>IFERROR(__xludf.DUMMYFUNCTION("""COMPUTED_VALUE"""),324.0)</f>
        <v>324</v>
      </c>
      <c r="Q564" s="131"/>
      <c r="R564" s="131"/>
      <c r="T564" s="131" t="str">
        <f>IFERROR(__xludf.DUMMYFUNCTION("""COMPUTED_VALUE"""),"Y")</f>
        <v>Y</v>
      </c>
      <c r="U564" s="131" t="str">
        <f>IFERROR(__xludf.DUMMYFUNCTION("""COMPUTED_VALUE"""),"7")</f>
        <v>7</v>
      </c>
      <c r="V564" s="131" t="str">
        <f>IFERROR(__xludf.DUMMYFUNCTION("""COMPUTED_VALUE"""),"211-216")</f>
        <v>211-216</v>
      </c>
      <c r="W564" s="144">
        <f>IFERROR(__xludf.DUMMYFUNCTION("""COMPUTED_VALUE"""),45780.0)</f>
        <v>45780</v>
      </c>
      <c r="X564" s="144">
        <f>IFERROR(__xludf.DUMMYFUNCTION("""COMPUTED_VALUE"""),45787.0)</f>
        <v>45787</v>
      </c>
      <c r="Y564" s="144">
        <f>IFERROR(__xludf.DUMMYFUNCTION("""COMPUTED_VALUE"""),45808.0)</f>
        <v>45808</v>
      </c>
      <c r="Z564" s="131" t="str">
        <f>IFERROR(__xludf.DUMMYFUNCTION("""COMPUTED_VALUE"""),"D28-1L")</f>
        <v>D28-1L</v>
      </c>
      <c r="AA564" s="131"/>
      <c r="AB564" s="131"/>
      <c r="AC564" s="131"/>
      <c r="AD564" s="131"/>
      <c r="AE564" s="131">
        <f>IFERROR(__xludf.DUMMYFUNCTION("""COMPUTED_VALUE"""),110.0)</f>
        <v>110</v>
      </c>
      <c r="AF564" s="131">
        <f>IFERROR(__xludf.DUMMYFUNCTION("""COMPUTED_VALUE"""),156.0)</f>
        <v>156</v>
      </c>
      <c r="AG564" s="131">
        <f>IFERROR(__xludf.DUMMYFUNCTION("""COMPUTED_VALUE"""),24.0)</f>
        <v>24</v>
      </c>
      <c r="AH564" s="131">
        <f>IFERROR(__xludf.DUMMYFUNCTION("""COMPUTED_VALUE"""),24.0)</f>
        <v>24</v>
      </c>
      <c r="AI564" s="131">
        <f>IFERROR(__xludf.DUMMYFUNCTION("""COMPUTED_VALUE"""),324.0)</f>
        <v>324</v>
      </c>
      <c r="AJ564" s="131"/>
      <c r="AK564" s="131"/>
    </row>
    <row r="565">
      <c r="A565" s="124" t="str">
        <f>IFERROR(__xludf.DUMMYFUNCTION("""COMPUTED_VALUE"""),"Y")</f>
        <v>Y</v>
      </c>
      <c r="B565" s="131" t="str">
        <f>IFERROR(__xludf.DUMMYFUNCTION("""COMPUTED_VALUE"""),"7")</f>
        <v>7</v>
      </c>
      <c r="C565" s="131" t="str">
        <f>IFERROR(__xludf.DUMMYFUNCTION("""COMPUTED_VALUE"""),"211-216")</f>
        <v>211-216</v>
      </c>
      <c r="D565" s="144">
        <f>IFERROR(__xludf.DUMMYFUNCTION("""COMPUTED_VALUE"""),45780.0)</f>
        <v>45780</v>
      </c>
      <c r="E565" s="147">
        <f>IFERROR(__xludf.DUMMYFUNCTION("""COMPUTED_VALUE"""),45787.0)</f>
        <v>45787</v>
      </c>
      <c r="F565" s="147">
        <f>IFERROR(__xludf.DUMMYFUNCTION("""COMPUTED_VALUE"""),45808.0)</f>
        <v>45808</v>
      </c>
      <c r="G565" s="131" t="str">
        <f>IFERROR(__xludf.DUMMYFUNCTION("""COMPUTED_VALUE"""),"D28-1L")</f>
        <v>D28-1L</v>
      </c>
      <c r="H565" s="126"/>
      <c r="I565" s="126"/>
      <c r="J565" s="131"/>
      <c r="K565" s="131"/>
      <c r="L565" s="131">
        <f>IFERROR(__xludf.DUMMYFUNCTION("""COMPUTED_VALUE"""),110.0)</f>
        <v>110</v>
      </c>
      <c r="M565" s="131">
        <f>IFERROR(__xludf.DUMMYFUNCTION("""COMPUTED_VALUE"""),156.0)</f>
        <v>156</v>
      </c>
      <c r="N565" s="131">
        <f>IFERROR(__xludf.DUMMYFUNCTION("""COMPUTED_VALUE"""),24.0)</f>
        <v>24</v>
      </c>
      <c r="O565" s="131">
        <f>IFERROR(__xludf.DUMMYFUNCTION("""COMPUTED_VALUE"""),24.0)</f>
        <v>24</v>
      </c>
      <c r="P565" s="131">
        <f>IFERROR(__xludf.DUMMYFUNCTION("""COMPUTED_VALUE"""),324.0)</f>
        <v>324</v>
      </c>
      <c r="Q565" s="131"/>
      <c r="R565" s="131"/>
      <c r="T565" s="131" t="str">
        <f>IFERROR(__xludf.DUMMYFUNCTION("""COMPUTED_VALUE"""),"Y")</f>
        <v>Y</v>
      </c>
      <c r="U565" s="131" t="str">
        <f>IFERROR(__xludf.DUMMYFUNCTION("""COMPUTED_VALUE"""),"7")</f>
        <v>7</v>
      </c>
      <c r="V565" s="131" t="str">
        <f>IFERROR(__xludf.DUMMYFUNCTION("""COMPUTED_VALUE"""),"211-216")</f>
        <v>211-216</v>
      </c>
      <c r="W565" s="144">
        <f>IFERROR(__xludf.DUMMYFUNCTION("""COMPUTED_VALUE"""),45780.0)</f>
        <v>45780</v>
      </c>
      <c r="X565" s="144">
        <f>IFERROR(__xludf.DUMMYFUNCTION("""COMPUTED_VALUE"""),45787.0)</f>
        <v>45787</v>
      </c>
      <c r="Y565" s="144">
        <f>IFERROR(__xludf.DUMMYFUNCTION("""COMPUTED_VALUE"""),45808.0)</f>
        <v>45808</v>
      </c>
      <c r="Z565" s="131" t="str">
        <f>IFERROR(__xludf.DUMMYFUNCTION("""COMPUTED_VALUE"""),"D28-1L")</f>
        <v>D28-1L</v>
      </c>
      <c r="AA565" s="131"/>
      <c r="AB565" s="131"/>
      <c r="AC565" s="131"/>
      <c r="AD565" s="131"/>
      <c r="AE565" s="131">
        <f>IFERROR(__xludf.DUMMYFUNCTION("""COMPUTED_VALUE"""),160.0)</f>
        <v>160</v>
      </c>
      <c r="AF565" s="131">
        <f>IFERROR(__xludf.DUMMYFUNCTION("""COMPUTED_VALUE"""),206.0)</f>
        <v>206</v>
      </c>
      <c r="AG565" s="131">
        <f>IFERROR(__xludf.DUMMYFUNCTION("""COMPUTED_VALUE"""),24.0)</f>
        <v>24</v>
      </c>
      <c r="AH565" s="131">
        <f>IFERROR(__xludf.DUMMYFUNCTION("""COMPUTED_VALUE"""),24.0)</f>
        <v>24</v>
      </c>
      <c r="AI565" s="131">
        <f>IFERROR(__xludf.DUMMYFUNCTION("""COMPUTED_VALUE"""),324.0)</f>
        <v>324</v>
      </c>
      <c r="AJ565" s="131"/>
      <c r="AK565" s="131"/>
    </row>
    <row r="566">
      <c r="A566" s="124" t="str">
        <f>IFERROR(__xludf.DUMMYFUNCTION("""COMPUTED_VALUE"""),"Y")</f>
        <v>Y</v>
      </c>
      <c r="B566" s="131" t="str">
        <f>IFERROR(__xludf.DUMMYFUNCTION("""COMPUTED_VALUE"""),"7")</f>
        <v>7</v>
      </c>
      <c r="C566" s="131" t="str">
        <f>IFERROR(__xludf.DUMMYFUNCTION("""COMPUTED_VALUE"""),"211-216")</f>
        <v>211-216</v>
      </c>
      <c r="D566" s="144">
        <f>IFERROR(__xludf.DUMMYFUNCTION("""COMPUTED_VALUE"""),45780.0)</f>
        <v>45780</v>
      </c>
      <c r="E566" s="147">
        <f>IFERROR(__xludf.DUMMYFUNCTION("""COMPUTED_VALUE"""),45787.0)</f>
        <v>45787</v>
      </c>
      <c r="F566" s="147">
        <f>IFERROR(__xludf.DUMMYFUNCTION("""COMPUTED_VALUE"""),45808.0)</f>
        <v>45808</v>
      </c>
      <c r="G566" s="131" t="str">
        <f>IFERROR(__xludf.DUMMYFUNCTION("""COMPUTED_VALUE"""),"D28-1L")</f>
        <v>D28-1L</v>
      </c>
      <c r="H566" s="126"/>
      <c r="I566" s="126"/>
      <c r="J566" s="131"/>
      <c r="K566" s="131"/>
      <c r="L566" s="131">
        <f>IFERROR(__xludf.DUMMYFUNCTION("""COMPUTED_VALUE"""),160.0)</f>
        <v>160</v>
      </c>
      <c r="M566" s="131">
        <f>IFERROR(__xludf.DUMMYFUNCTION("""COMPUTED_VALUE"""),206.0)</f>
        <v>206</v>
      </c>
      <c r="N566" s="131">
        <f>IFERROR(__xludf.DUMMYFUNCTION("""COMPUTED_VALUE"""),24.0)</f>
        <v>24</v>
      </c>
      <c r="O566" s="131">
        <f>IFERROR(__xludf.DUMMYFUNCTION("""COMPUTED_VALUE"""),24.0)</f>
        <v>24</v>
      </c>
      <c r="P566" s="131">
        <f>IFERROR(__xludf.DUMMYFUNCTION("""COMPUTED_VALUE"""),324.0)</f>
        <v>324</v>
      </c>
      <c r="Q566" s="131"/>
      <c r="R566" s="131"/>
      <c r="T566" s="131" t="str">
        <f>IFERROR(__xludf.DUMMYFUNCTION("""COMPUTED_VALUE"""),"Y")</f>
        <v>Y</v>
      </c>
      <c r="U566" s="131" t="str">
        <f>IFERROR(__xludf.DUMMYFUNCTION("""COMPUTED_VALUE"""),"7")</f>
        <v>7</v>
      </c>
      <c r="V566" s="131" t="str">
        <f>IFERROR(__xludf.DUMMYFUNCTION("""COMPUTED_VALUE"""),"211-216")</f>
        <v>211-216</v>
      </c>
      <c r="W566" s="144">
        <f>IFERROR(__xludf.DUMMYFUNCTION("""COMPUTED_VALUE"""),45780.0)</f>
        <v>45780</v>
      </c>
      <c r="X566" s="144">
        <f>IFERROR(__xludf.DUMMYFUNCTION("""COMPUTED_VALUE"""),45787.0)</f>
        <v>45787</v>
      </c>
      <c r="Y566" s="144">
        <f>IFERROR(__xludf.DUMMYFUNCTION("""COMPUTED_VALUE"""),45808.0)</f>
        <v>45808</v>
      </c>
      <c r="Z566" s="131" t="str">
        <f>IFERROR(__xludf.DUMMYFUNCTION("""COMPUTED_VALUE"""),"D28-1L")</f>
        <v>D28-1L</v>
      </c>
      <c r="AA566" s="131"/>
      <c r="AB566" s="131"/>
      <c r="AC566" s="131"/>
      <c r="AD566" s="131"/>
      <c r="AE566" s="131">
        <f>IFERROR(__xludf.DUMMYFUNCTION("""COMPUTED_VALUE"""),210.0)</f>
        <v>210</v>
      </c>
      <c r="AF566" s="131">
        <f>IFERROR(__xludf.DUMMYFUNCTION("""COMPUTED_VALUE"""),256.0)</f>
        <v>256</v>
      </c>
      <c r="AG566" s="131">
        <f>IFERROR(__xludf.DUMMYFUNCTION("""COMPUTED_VALUE"""),24.0)</f>
        <v>24</v>
      </c>
      <c r="AH566" s="131">
        <f>IFERROR(__xludf.DUMMYFUNCTION("""COMPUTED_VALUE"""),24.0)</f>
        <v>24</v>
      </c>
      <c r="AI566" s="131">
        <f>IFERROR(__xludf.DUMMYFUNCTION("""COMPUTED_VALUE"""),324.0)</f>
        <v>324</v>
      </c>
      <c r="AJ566" s="131"/>
      <c r="AK566" s="131"/>
    </row>
    <row r="567">
      <c r="A567" s="124" t="str">
        <f>IFERROR(__xludf.DUMMYFUNCTION("""COMPUTED_VALUE"""),"Y")</f>
        <v>Y</v>
      </c>
      <c r="B567" s="131" t="str">
        <f>IFERROR(__xludf.DUMMYFUNCTION("""COMPUTED_VALUE"""),"7")</f>
        <v>7</v>
      </c>
      <c r="C567" s="131" t="str">
        <f>IFERROR(__xludf.DUMMYFUNCTION("""COMPUTED_VALUE"""),"211-216")</f>
        <v>211-216</v>
      </c>
      <c r="D567" s="144">
        <f>IFERROR(__xludf.DUMMYFUNCTION("""COMPUTED_VALUE"""),45780.0)</f>
        <v>45780</v>
      </c>
      <c r="E567" s="147">
        <f>IFERROR(__xludf.DUMMYFUNCTION("""COMPUTED_VALUE"""),45787.0)</f>
        <v>45787</v>
      </c>
      <c r="F567" s="147">
        <f>IFERROR(__xludf.DUMMYFUNCTION("""COMPUTED_VALUE"""),45808.0)</f>
        <v>45808</v>
      </c>
      <c r="G567" s="131" t="str">
        <f>IFERROR(__xludf.DUMMYFUNCTION("""COMPUTED_VALUE"""),"D28-1L")</f>
        <v>D28-1L</v>
      </c>
      <c r="H567" s="126"/>
      <c r="I567" s="126"/>
      <c r="J567" s="131"/>
      <c r="K567" s="131"/>
      <c r="L567" s="131">
        <f>IFERROR(__xludf.DUMMYFUNCTION("""COMPUTED_VALUE"""),210.0)</f>
        <v>210</v>
      </c>
      <c r="M567" s="131">
        <f>IFERROR(__xludf.DUMMYFUNCTION("""COMPUTED_VALUE"""),256.0)</f>
        <v>256</v>
      </c>
      <c r="N567" s="131">
        <f>IFERROR(__xludf.DUMMYFUNCTION("""COMPUTED_VALUE"""),24.0)</f>
        <v>24</v>
      </c>
      <c r="O567" s="131">
        <f>IFERROR(__xludf.DUMMYFUNCTION("""COMPUTED_VALUE"""),24.0)</f>
        <v>24</v>
      </c>
      <c r="P567" s="131">
        <f>IFERROR(__xludf.DUMMYFUNCTION("""COMPUTED_VALUE"""),324.0)</f>
        <v>324</v>
      </c>
      <c r="Q567" s="131"/>
      <c r="R567" s="131"/>
      <c r="T567" s="131" t="str">
        <f>IFERROR(__xludf.DUMMYFUNCTION("""COMPUTED_VALUE"""),"Y")</f>
        <v>Y</v>
      </c>
      <c r="U567" s="131" t="str">
        <f>IFERROR(__xludf.DUMMYFUNCTION("""COMPUTED_VALUE"""),"7")</f>
        <v>7</v>
      </c>
      <c r="V567" s="131" t="str">
        <f>IFERROR(__xludf.DUMMYFUNCTION("""COMPUTED_VALUE"""),"217-222")</f>
        <v>217-222</v>
      </c>
      <c r="W567" s="144">
        <f>IFERROR(__xludf.DUMMYFUNCTION("""COMPUTED_VALUE"""),45780.0)</f>
        <v>45780</v>
      </c>
      <c r="X567" s="144">
        <f>IFERROR(__xludf.DUMMYFUNCTION("""COMPUTED_VALUE"""),45787.0)</f>
        <v>45787</v>
      </c>
      <c r="Y567" s="144">
        <f>IFERROR(__xludf.DUMMYFUNCTION("""COMPUTED_VALUE"""),45808.0)</f>
        <v>45808</v>
      </c>
      <c r="Z567" s="131" t="str">
        <f>IFERROR(__xludf.DUMMYFUNCTION("""COMPUTED_VALUE"""),"D35-1L")</f>
        <v>D35-1L</v>
      </c>
      <c r="AA567" s="131">
        <f>IFERROR(__xludf.DUMMYFUNCTION("""COMPUTED_VALUE"""),89.0)</f>
        <v>89</v>
      </c>
      <c r="AB567" s="131">
        <f>IFERROR(__xludf.DUMMYFUNCTION("""COMPUTED_VALUE"""),91.0)</f>
        <v>91</v>
      </c>
      <c r="AC567" s="131">
        <f>IFERROR(__xludf.DUMMYFUNCTION("""COMPUTED_VALUE"""),2.0)</f>
        <v>2</v>
      </c>
      <c r="AD567" s="131">
        <f>IFERROR(__xludf.DUMMYFUNCTION("""COMPUTED_VALUE"""),2.0)</f>
        <v>2</v>
      </c>
      <c r="AE567" s="131">
        <f>IFERROR(__xludf.DUMMYFUNCTION("""COMPUTED_VALUE"""),262.0)</f>
        <v>262</v>
      </c>
      <c r="AF567" s="131">
        <f>IFERROR(__xludf.DUMMYFUNCTION("""COMPUTED_VALUE"""),336.0)</f>
        <v>336</v>
      </c>
      <c r="AG567" s="131">
        <f>IFERROR(__xludf.DUMMYFUNCTION("""COMPUTED_VALUE"""),38.0)</f>
        <v>38</v>
      </c>
      <c r="AH567" s="131">
        <f>IFERROR(__xludf.DUMMYFUNCTION("""COMPUTED_VALUE"""),38.0)</f>
        <v>38</v>
      </c>
      <c r="AI567" s="131">
        <f>IFERROR(__xludf.DUMMYFUNCTION("""COMPUTED_VALUE"""),325.0)</f>
        <v>325</v>
      </c>
      <c r="AJ567" s="131"/>
      <c r="AK567" s="131"/>
    </row>
    <row r="568">
      <c r="A568" s="124" t="str">
        <f>IFERROR(__xludf.DUMMYFUNCTION("""COMPUTED_VALUE"""),"Y")</f>
        <v>Y</v>
      </c>
      <c r="B568" s="131" t="str">
        <f>IFERROR(__xludf.DUMMYFUNCTION("""COMPUTED_VALUE"""),"7")</f>
        <v>7</v>
      </c>
      <c r="C568" s="131" t="str">
        <f>IFERROR(__xludf.DUMMYFUNCTION("""COMPUTED_VALUE"""),"217-222")</f>
        <v>217-222</v>
      </c>
      <c r="D568" s="144">
        <f>IFERROR(__xludf.DUMMYFUNCTION("""COMPUTED_VALUE"""),45780.0)</f>
        <v>45780</v>
      </c>
      <c r="E568" s="147">
        <f>IFERROR(__xludf.DUMMYFUNCTION("""COMPUTED_VALUE"""),45787.0)</f>
        <v>45787</v>
      </c>
      <c r="F568" s="147">
        <f>IFERROR(__xludf.DUMMYFUNCTION("""COMPUTED_VALUE"""),45808.0)</f>
        <v>45808</v>
      </c>
      <c r="G568" s="131" t="str">
        <f>IFERROR(__xludf.DUMMYFUNCTION("""COMPUTED_VALUE"""),"D35-1L")</f>
        <v>D35-1L</v>
      </c>
      <c r="H568" s="126">
        <f>IFERROR(__xludf.DUMMYFUNCTION("""COMPUTED_VALUE"""),89.0)</f>
        <v>89</v>
      </c>
      <c r="I568" s="126">
        <f>IFERROR(__xludf.DUMMYFUNCTION("""COMPUTED_VALUE"""),91.0)</f>
        <v>91</v>
      </c>
      <c r="J568" s="131">
        <f>IFERROR(__xludf.DUMMYFUNCTION("""COMPUTED_VALUE"""),2.0)</f>
        <v>2</v>
      </c>
      <c r="K568" s="131">
        <f>IFERROR(__xludf.DUMMYFUNCTION("""COMPUTED_VALUE"""),2.0)</f>
        <v>2</v>
      </c>
      <c r="L568" s="131">
        <f>IFERROR(__xludf.DUMMYFUNCTION("""COMPUTED_VALUE"""),262.0)</f>
        <v>262</v>
      </c>
      <c r="M568" s="131">
        <f>IFERROR(__xludf.DUMMYFUNCTION("""COMPUTED_VALUE"""),336.0)</f>
        <v>336</v>
      </c>
      <c r="N568" s="131">
        <f>IFERROR(__xludf.DUMMYFUNCTION("""COMPUTED_VALUE"""),38.0)</f>
        <v>38</v>
      </c>
      <c r="O568" s="131">
        <f>IFERROR(__xludf.DUMMYFUNCTION("""COMPUTED_VALUE"""),38.0)</f>
        <v>38</v>
      </c>
      <c r="P568" s="131">
        <f>IFERROR(__xludf.DUMMYFUNCTION("""COMPUTED_VALUE"""),325.0)</f>
        <v>325</v>
      </c>
      <c r="Q568" s="131"/>
      <c r="R568" s="131"/>
      <c r="T568" s="131" t="str">
        <f>IFERROR(__xludf.DUMMYFUNCTION("""COMPUTED_VALUE"""),"Y")</f>
        <v>Y</v>
      </c>
      <c r="U568" s="131" t="str">
        <f>IFERROR(__xludf.DUMMYFUNCTION("""COMPUTED_VALUE"""),"7")</f>
        <v>7</v>
      </c>
      <c r="V568" s="131" t="str">
        <f>IFERROR(__xludf.DUMMYFUNCTION("""COMPUTED_VALUE"""),"217-222")</f>
        <v>217-222</v>
      </c>
      <c r="W568" s="144">
        <f>IFERROR(__xludf.DUMMYFUNCTION("""COMPUTED_VALUE"""),45780.0)</f>
        <v>45780</v>
      </c>
      <c r="X568" s="144">
        <f>IFERROR(__xludf.DUMMYFUNCTION("""COMPUTED_VALUE"""),45787.0)</f>
        <v>45787</v>
      </c>
      <c r="Y568" s="144">
        <f>IFERROR(__xludf.DUMMYFUNCTION("""COMPUTED_VALUE"""),45808.0)</f>
        <v>45808</v>
      </c>
      <c r="Z568" s="131" t="str">
        <f>IFERROR(__xludf.DUMMYFUNCTION("""COMPUTED_VALUE"""),"D40-1R")</f>
        <v>D40-1R</v>
      </c>
      <c r="AA568" s="131"/>
      <c r="AB568" s="131"/>
      <c r="AC568" s="131"/>
      <c r="AD568" s="131"/>
      <c r="AE568" s="131">
        <f>IFERROR(__xludf.DUMMYFUNCTION("""COMPUTED_VALUE"""),2.0)</f>
        <v>2</v>
      </c>
      <c r="AF568" s="131">
        <f>IFERROR(__xludf.DUMMYFUNCTION("""COMPUTED_VALUE"""),24.0)</f>
        <v>24</v>
      </c>
      <c r="AG568" s="131">
        <f>IFERROR(__xludf.DUMMYFUNCTION("""COMPUTED_VALUE"""),12.0)</f>
        <v>12</v>
      </c>
      <c r="AH568" s="131">
        <f>IFERROR(__xludf.DUMMYFUNCTION("""COMPUTED_VALUE"""),12.0)</f>
        <v>12</v>
      </c>
      <c r="AI568" s="131">
        <f>IFERROR(__xludf.DUMMYFUNCTION("""COMPUTED_VALUE"""),325.0)</f>
        <v>325</v>
      </c>
      <c r="AJ568" s="131"/>
      <c r="AK568" s="131"/>
    </row>
    <row r="569">
      <c r="A569" s="124" t="str">
        <f>IFERROR(__xludf.DUMMYFUNCTION("""COMPUTED_VALUE"""),"Y")</f>
        <v>Y</v>
      </c>
      <c r="B569" s="131" t="str">
        <f>IFERROR(__xludf.DUMMYFUNCTION("""COMPUTED_VALUE"""),"7")</f>
        <v>7</v>
      </c>
      <c r="C569" s="131" t="str">
        <f>IFERROR(__xludf.DUMMYFUNCTION("""COMPUTED_VALUE"""),"217-222")</f>
        <v>217-222</v>
      </c>
      <c r="D569" s="144">
        <f>IFERROR(__xludf.DUMMYFUNCTION("""COMPUTED_VALUE"""),45780.0)</f>
        <v>45780</v>
      </c>
      <c r="E569" s="147">
        <f>IFERROR(__xludf.DUMMYFUNCTION("""COMPUTED_VALUE"""),45787.0)</f>
        <v>45787</v>
      </c>
      <c r="F569" s="147">
        <f>IFERROR(__xludf.DUMMYFUNCTION("""COMPUTED_VALUE"""),45808.0)</f>
        <v>45808</v>
      </c>
      <c r="G569" s="131" t="str">
        <f>IFERROR(__xludf.DUMMYFUNCTION("""COMPUTED_VALUE"""),"D40-1R")</f>
        <v>D40-1R</v>
      </c>
      <c r="H569" s="126"/>
      <c r="I569" s="126"/>
      <c r="J569" s="131"/>
      <c r="K569" s="131"/>
      <c r="L569" s="131">
        <f>IFERROR(__xludf.DUMMYFUNCTION("""COMPUTED_VALUE"""),2.0)</f>
        <v>2</v>
      </c>
      <c r="M569" s="131">
        <f>IFERROR(__xludf.DUMMYFUNCTION("""COMPUTED_VALUE"""),24.0)</f>
        <v>24</v>
      </c>
      <c r="N569" s="131">
        <f>IFERROR(__xludf.DUMMYFUNCTION("""COMPUTED_VALUE"""),12.0)</f>
        <v>12</v>
      </c>
      <c r="O569" s="131">
        <f>IFERROR(__xludf.DUMMYFUNCTION("""COMPUTED_VALUE"""),12.0)</f>
        <v>12</v>
      </c>
      <c r="P569" s="131">
        <f>IFERROR(__xludf.DUMMYFUNCTION("""COMPUTED_VALUE"""),325.0)</f>
        <v>325</v>
      </c>
      <c r="Q569" s="131"/>
      <c r="R569" s="131"/>
      <c r="T569" s="131" t="str">
        <f>IFERROR(__xludf.DUMMYFUNCTION("""COMPUTED_VALUE"""),"Y")</f>
        <v>Y</v>
      </c>
      <c r="U569" s="131" t="str">
        <f>IFERROR(__xludf.DUMMYFUNCTION("""COMPUTED_VALUE"""),"7")</f>
        <v>7</v>
      </c>
      <c r="V569" s="131" t="str">
        <f>IFERROR(__xludf.DUMMYFUNCTION("""COMPUTED_VALUE"""),"229-234")</f>
        <v>229-234</v>
      </c>
      <c r="W569" s="144">
        <f>IFERROR(__xludf.DUMMYFUNCTION("""COMPUTED_VALUE"""),45781.0)</f>
        <v>45781</v>
      </c>
      <c r="X569" s="144">
        <f>IFERROR(__xludf.DUMMYFUNCTION("""COMPUTED_VALUE"""),45788.0)</f>
        <v>45788</v>
      </c>
      <c r="Y569" s="144">
        <f>IFERROR(__xludf.DUMMYFUNCTION("""COMPUTED_VALUE"""),45809.0)</f>
        <v>45809</v>
      </c>
      <c r="Z569" s="131" t="str">
        <f>IFERROR(__xludf.DUMMYFUNCTION("""COMPUTED_VALUE"""),"D28-2L")</f>
        <v>D28-2L</v>
      </c>
      <c r="AA569" s="131">
        <f>IFERROR(__xludf.DUMMYFUNCTION("""COMPUTED_VALUE"""),1.0)</f>
        <v>1</v>
      </c>
      <c r="AB569" s="131">
        <f>IFERROR(__xludf.DUMMYFUNCTION("""COMPUTED_VALUE"""),19.0)</f>
        <v>19</v>
      </c>
      <c r="AC569" s="131">
        <f>IFERROR(__xludf.DUMMYFUNCTION("""COMPUTED_VALUE"""),10.0)</f>
        <v>10</v>
      </c>
      <c r="AD569" s="131">
        <f>IFERROR(__xludf.DUMMYFUNCTION("""COMPUTED_VALUE"""),10.0)</f>
        <v>10</v>
      </c>
      <c r="AE569" s="131">
        <f>IFERROR(__xludf.DUMMYFUNCTION("""COMPUTED_VALUE"""),20.0)</f>
        <v>20</v>
      </c>
      <c r="AF569" s="131">
        <f>IFERROR(__xludf.DUMMYFUNCTION("""COMPUTED_VALUE"""),126.0)</f>
        <v>126</v>
      </c>
      <c r="AG569" s="131">
        <f>IFERROR(__xludf.DUMMYFUNCTION("""COMPUTED_VALUE"""),54.0)</f>
        <v>54</v>
      </c>
      <c r="AH569" s="131">
        <f>IFERROR(__xludf.DUMMYFUNCTION("""COMPUTED_VALUE"""),54.0)</f>
        <v>54</v>
      </c>
      <c r="AI569" s="131">
        <f>IFERROR(__xludf.DUMMYFUNCTION("""COMPUTED_VALUE"""),326.0)</f>
        <v>326</v>
      </c>
      <c r="AJ569" s="131"/>
      <c r="AK569" s="131"/>
    </row>
    <row r="570">
      <c r="A570" s="124" t="str">
        <f>IFERROR(__xludf.DUMMYFUNCTION("""COMPUTED_VALUE"""),"Y")</f>
        <v>Y</v>
      </c>
      <c r="B570" s="131" t="str">
        <f>IFERROR(__xludf.DUMMYFUNCTION("""COMPUTED_VALUE"""),"7")</f>
        <v>7</v>
      </c>
      <c r="C570" s="131" t="str">
        <f>IFERROR(__xludf.DUMMYFUNCTION("""COMPUTED_VALUE"""),"229-234")</f>
        <v>229-234</v>
      </c>
      <c r="D570" s="144">
        <f>IFERROR(__xludf.DUMMYFUNCTION("""COMPUTED_VALUE"""),45781.0)</f>
        <v>45781</v>
      </c>
      <c r="E570" s="147">
        <f>IFERROR(__xludf.DUMMYFUNCTION("""COMPUTED_VALUE"""),45788.0)</f>
        <v>45788</v>
      </c>
      <c r="F570" s="147">
        <f>IFERROR(__xludf.DUMMYFUNCTION("""COMPUTED_VALUE"""),45809.0)</f>
        <v>45809</v>
      </c>
      <c r="G570" s="131" t="str">
        <f>IFERROR(__xludf.DUMMYFUNCTION("""COMPUTED_VALUE"""),"D28-2L")</f>
        <v>D28-2L</v>
      </c>
      <c r="H570" s="126">
        <f>IFERROR(__xludf.DUMMYFUNCTION("""COMPUTED_VALUE"""),1.0)</f>
        <v>1</v>
      </c>
      <c r="I570" s="126">
        <f>IFERROR(__xludf.DUMMYFUNCTION("""COMPUTED_VALUE"""),19.0)</f>
        <v>19</v>
      </c>
      <c r="J570" s="131">
        <f>IFERROR(__xludf.DUMMYFUNCTION("""COMPUTED_VALUE"""),10.0)</f>
        <v>10</v>
      </c>
      <c r="K570" s="131">
        <f>IFERROR(__xludf.DUMMYFUNCTION("""COMPUTED_VALUE"""),10.0)</f>
        <v>10</v>
      </c>
      <c r="L570" s="131">
        <f>IFERROR(__xludf.DUMMYFUNCTION("""COMPUTED_VALUE"""),20.0)</f>
        <v>20</v>
      </c>
      <c r="M570" s="131">
        <f>IFERROR(__xludf.DUMMYFUNCTION("""COMPUTED_VALUE"""),126.0)</f>
        <v>126</v>
      </c>
      <c r="N570" s="131">
        <f>IFERROR(__xludf.DUMMYFUNCTION("""COMPUTED_VALUE"""),54.0)</f>
        <v>54</v>
      </c>
      <c r="O570" s="131">
        <f>IFERROR(__xludf.DUMMYFUNCTION("""COMPUTED_VALUE"""),54.0)</f>
        <v>54</v>
      </c>
      <c r="P570" s="131">
        <f>IFERROR(__xludf.DUMMYFUNCTION("""COMPUTED_VALUE"""),326.0)</f>
        <v>326</v>
      </c>
      <c r="Q570" s="131"/>
      <c r="R570" s="131"/>
      <c r="T570" s="131" t="str">
        <f>IFERROR(__xludf.DUMMYFUNCTION("""COMPUTED_VALUE"""),"Y")</f>
        <v>Y</v>
      </c>
      <c r="U570" s="131" t="str">
        <f>IFERROR(__xludf.DUMMYFUNCTION("""COMPUTED_VALUE"""),"7")</f>
        <v>7</v>
      </c>
      <c r="V570" s="131" t="str">
        <f>IFERROR(__xludf.DUMMYFUNCTION("""COMPUTED_VALUE"""),"229-234")</f>
        <v>229-234</v>
      </c>
      <c r="W570" s="144">
        <f>IFERROR(__xludf.DUMMYFUNCTION("""COMPUTED_VALUE"""),45781.0)</f>
        <v>45781</v>
      </c>
      <c r="X570" s="144">
        <f>IFERROR(__xludf.DUMMYFUNCTION("""COMPUTED_VALUE"""),45788.0)</f>
        <v>45788</v>
      </c>
      <c r="Y570" s="144">
        <f>IFERROR(__xludf.DUMMYFUNCTION("""COMPUTED_VALUE"""),45809.0)</f>
        <v>45809</v>
      </c>
      <c r="Z570" s="131" t="str">
        <f>IFERROR(__xludf.DUMMYFUNCTION("""COMPUTED_VALUE"""),"D28-1L")</f>
        <v>D28-1L</v>
      </c>
      <c r="AA570" s="131"/>
      <c r="AB570" s="131"/>
      <c r="AC570" s="131"/>
      <c r="AD570" s="131"/>
      <c r="AE570" s="131">
        <f>IFERROR(__xludf.DUMMYFUNCTION("""COMPUTED_VALUE"""),260.0)</f>
        <v>260</v>
      </c>
      <c r="AF570" s="131">
        <f>IFERROR(__xludf.DUMMYFUNCTION("""COMPUTED_VALUE"""),302.0)</f>
        <v>302</v>
      </c>
      <c r="AG570" s="131">
        <f>IFERROR(__xludf.DUMMYFUNCTION("""COMPUTED_VALUE"""),22.0)</f>
        <v>22</v>
      </c>
      <c r="AH570" s="131">
        <f>IFERROR(__xludf.DUMMYFUNCTION("""COMPUTED_VALUE"""),22.0)</f>
        <v>22</v>
      </c>
      <c r="AI570" s="131">
        <f>IFERROR(__xludf.DUMMYFUNCTION("""COMPUTED_VALUE"""),326.0)</f>
        <v>326</v>
      </c>
      <c r="AJ570" s="131"/>
      <c r="AK570" s="131"/>
    </row>
    <row r="571">
      <c r="A571" s="124" t="str">
        <f>IFERROR(__xludf.DUMMYFUNCTION("""COMPUTED_VALUE"""),"Y")</f>
        <v>Y</v>
      </c>
      <c r="B571" s="131" t="str">
        <f>IFERROR(__xludf.DUMMYFUNCTION("""COMPUTED_VALUE"""),"7")</f>
        <v>7</v>
      </c>
      <c r="C571" s="131" t="str">
        <f>IFERROR(__xludf.DUMMYFUNCTION("""COMPUTED_VALUE"""),"229-234")</f>
        <v>229-234</v>
      </c>
      <c r="D571" s="144">
        <f>IFERROR(__xludf.DUMMYFUNCTION("""COMPUTED_VALUE"""),45781.0)</f>
        <v>45781</v>
      </c>
      <c r="E571" s="147">
        <f>IFERROR(__xludf.DUMMYFUNCTION("""COMPUTED_VALUE"""),45788.0)</f>
        <v>45788</v>
      </c>
      <c r="F571" s="147">
        <f>IFERROR(__xludf.DUMMYFUNCTION("""COMPUTED_VALUE"""),45809.0)</f>
        <v>45809</v>
      </c>
      <c r="G571" s="131" t="str">
        <f>IFERROR(__xludf.DUMMYFUNCTION("""COMPUTED_VALUE"""),"D28-1L")</f>
        <v>D28-1L</v>
      </c>
      <c r="H571" s="126"/>
      <c r="I571" s="126"/>
      <c r="J571" s="131"/>
      <c r="K571" s="131"/>
      <c r="L571" s="131">
        <f>IFERROR(__xludf.DUMMYFUNCTION("""COMPUTED_VALUE"""),260.0)</f>
        <v>260</v>
      </c>
      <c r="M571" s="131">
        <f>IFERROR(__xludf.DUMMYFUNCTION("""COMPUTED_VALUE"""),302.0)</f>
        <v>302</v>
      </c>
      <c r="N571" s="131">
        <f>IFERROR(__xludf.DUMMYFUNCTION("""COMPUTED_VALUE"""),22.0)</f>
        <v>22</v>
      </c>
      <c r="O571" s="131">
        <f>IFERROR(__xludf.DUMMYFUNCTION("""COMPUTED_VALUE"""),22.0)</f>
        <v>22</v>
      </c>
      <c r="P571" s="131">
        <f>IFERROR(__xludf.DUMMYFUNCTION("""COMPUTED_VALUE"""),326.0)</f>
        <v>326</v>
      </c>
      <c r="Q571" s="131"/>
      <c r="R571" s="131"/>
      <c r="T571" s="131" t="str">
        <f>IFERROR(__xludf.DUMMYFUNCTION("""COMPUTED_VALUE"""),"Y")</f>
        <v>Y</v>
      </c>
      <c r="U571" s="131" t="str">
        <f>IFERROR(__xludf.DUMMYFUNCTION("""COMPUTED_VALUE"""),"7")</f>
        <v>7</v>
      </c>
      <c r="V571" s="131" t="str">
        <f>IFERROR(__xludf.DUMMYFUNCTION("""COMPUTED_VALUE"""),"229-234")</f>
        <v>229-234</v>
      </c>
      <c r="W571" s="144">
        <f>IFERROR(__xludf.DUMMYFUNCTION("""COMPUTED_VALUE"""),45781.0)</f>
        <v>45781</v>
      </c>
      <c r="X571" s="144">
        <f>IFERROR(__xludf.DUMMYFUNCTION("""COMPUTED_VALUE"""),45788.0)</f>
        <v>45788</v>
      </c>
      <c r="Y571" s="144">
        <f>IFERROR(__xludf.DUMMYFUNCTION("""COMPUTED_VALUE"""),45809.0)</f>
        <v>45809</v>
      </c>
      <c r="Z571" s="131" t="str">
        <f>IFERROR(__xludf.DUMMYFUNCTION("""COMPUTED_VALUE"""),"D28-1L")</f>
        <v>D28-1L</v>
      </c>
      <c r="AA571" s="131"/>
      <c r="AB571" s="131"/>
      <c r="AC571" s="131"/>
      <c r="AD571" s="131"/>
      <c r="AE571" s="131">
        <f>IFERROR(__xludf.DUMMYFUNCTION("""COMPUTED_VALUE"""),306.0)</f>
        <v>306</v>
      </c>
      <c r="AF571" s="131">
        <f>IFERROR(__xludf.DUMMYFUNCTION("""COMPUTED_VALUE"""),306.0)</f>
        <v>306</v>
      </c>
      <c r="AG571" s="131">
        <f>IFERROR(__xludf.DUMMYFUNCTION("""COMPUTED_VALUE"""),1.0)</f>
        <v>1</v>
      </c>
      <c r="AH571" s="131">
        <f>IFERROR(__xludf.DUMMYFUNCTION("""COMPUTED_VALUE"""),1.0)</f>
        <v>1</v>
      </c>
      <c r="AI571" s="131">
        <f>IFERROR(__xludf.DUMMYFUNCTION("""COMPUTED_VALUE"""),326.0)</f>
        <v>326</v>
      </c>
      <c r="AJ571" s="131"/>
      <c r="AK571" s="131"/>
    </row>
    <row r="572">
      <c r="A572" s="124" t="str">
        <f>IFERROR(__xludf.DUMMYFUNCTION("""COMPUTED_VALUE"""),"Y")</f>
        <v>Y</v>
      </c>
      <c r="B572" s="131" t="str">
        <f>IFERROR(__xludf.DUMMYFUNCTION("""COMPUTED_VALUE"""),"7")</f>
        <v>7</v>
      </c>
      <c r="C572" s="131" t="str">
        <f>IFERROR(__xludf.DUMMYFUNCTION("""COMPUTED_VALUE"""),"229-234")</f>
        <v>229-234</v>
      </c>
      <c r="D572" s="144">
        <f>IFERROR(__xludf.DUMMYFUNCTION("""COMPUTED_VALUE"""),45781.0)</f>
        <v>45781</v>
      </c>
      <c r="E572" s="147">
        <f>IFERROR(__xludf.DUMMYFUNCTION("""COMPUTED_VALUE"""),45788.0)</f>
        <v>45788</v>
      </c>
      <c r="F572" s="147">
        <f>IFERROR(__xludf.DUMMYFUNCTION("""COMPUTED_VALUE"""),45809.0)</f>
        <v>45809</v>
      </c>
      <c r="G572" s="131" t="str">
        <f>IFERROR(__xludf.DUMMYFUNCTION("""COMPUTED_VALUE"""),"D28-1L")</f>
        <v>D28-1L</v>
      </c>
      <c r="H572" s="126"/>
      <c r="I572" s="126"/>
      <c r="J572" s="131"/>
      <c r="K572" s="131"/>
      <c r="L572" s="131">
        <f>IFERROR(__xludf.DUMMYFUNCTION("""COMPUTED_VALUE"""),306.0)</f>
        <v>306</v>
      </c>
      <c r="M572" s="131">
        <f>IFERROR(__xludf.DUMMYFUNCTION("""COMPUTED_VALUE"""),306.0)</f>
        <v>306</v>
      </c>
      <c r="N572" s="131">
        <f>IFERROR(__xludf.DUMMYFUNCTION("""COMPUTED_VALUE"""),1.0)</f>
        <v>1</v>
      </c>
      <c r="O572" s="131">
        <f>IFERROR(__xludf.DUMMYFUNCTION("""COMPUTED_VALUE"""),1.0)</f>
        <v>1</v>
      </c>
      <c r="P572" s="131">
        <f>IFERROR(__xludf.DUMMYFUNCTION("""COMPUTED_VALUE"""),326.0)</f>
        <v>326</v>
      </c>
      <c r="Q572" s="131"/>
      <c r="R572" s="131"/>
      <c r="T572" s="131" t="str">
        <f>IFERROR(__xludf.DUMMYFUNCTION("""COMPUTED_VALUE"""),"Y")</f>
        <v>Y</v>
      </c>
      <c r="U572" s="131" t="str">
        <f>IFERROR(__xludf.DUMMYFUNCTION("""COMPUTED_VALUE"""),"7")</f>
        <v>7</v>
      </c>
      <c r="V572" s="131" t="str">
        <f>IFERROR(__xludf.DUMMYFUNCTION("""COMPUTED_VALUE"""),"235-240")</f>
        <v>235-240</v>
      </c>
      <c r="W572" s="144">
        <f>IFERROR(__xludf.DUMMYFUNCTION("""COMPUTED_VALUE"""),45782.0)</f>
        <v>45782</v>
      </c>
      <c r="X572" s="144">
        <f>IFERROR(__xludf.DUMMYFUNCTION("""COMPUTED_VALUE"""),45789.0)</f>
        <v>45789</v>
      </c>
      <c r="Y572" s="144">
        <f>IFERROR(__xludf.DUMMYFUNCTION("""COMPUTED_VALUE"""),45810.0)</f>
        <v>45810</v>
      </c>
      <c r="Z572" s="131" t="str">
        <f>IFERROR(__xludf.DUMMYFUNCTION("""COMPUTED_VALUE"""),"D28-2L")</f>
        <v>D28-2L</v>
      </c>
      <c r="AA572" s="131">
        <f>IFERROR(__xludf.DUMMYFUNCTION("""COMPUTED_VALUE"""),21.0)</f>
        <v>21</v>
      </c>
      <c r="AB572" s="131">
        <f>IFERROR(__xludf.DUMMYFUNCTION("""COMPUTED_VALUE"""),125.0)</f>
        <v>125</v>
      </c>
      <c r="AC572" s="131">
        <f>IFERROR(__xludf.DUMMYFUNCTION("""COMPUTED_VALUE"""),53.0)</f>
        <v>53</v>
      </c>
      <c r="AD572" s="131">
        <f>IFERROR(__xludf.DUMMYFUNCTION("""COMPUTED_VALUE"""),53.0)</f>
        <v>53</v>
      </c>
      <c r="AE572" s="131">
        <f>IFERROR(__xludf.DUMMYFUNCTION("""COMPUTED_VALUE"""),2.0)</f>
        <v>2</v>
      </c>
      <c r="AF572" s="131">
        <f>IFERROR(__xludf.DUMMYFUNCTION("""COMPUTED_VALUE"""),18.0)</f>
        <v>18</v>
      </c>
      <c r="AG572" s="131">
        <f>IFERROR(__xludf.DUMMYFUNCTION("""COMPUTED_VALUE"""),9.0)</f>
        <v>9</v>
      </c>
      <c r="AH572" s="131">
        <f>IFERROR(__xludf.DUMMYFUNCTION("""COMPUTED_VALUE"""),9.0)</f>
        <v>9</v>
      </c>
      <c r="AI572" s="131">
        <f>IFERROR(__xludf.DUMMYFUNCTION("""COMPUTED_VALUE"""),327.0)</f>
        <v>327</v>
      </c>
      <c r="AJ572" s="131"/>
      <c r="AK572" s="131"/>
    </row>
    <row r="573">
      <c r="A573" s="124" t="str">
        <f>IFERROR(__xludf.DUMMYFUNCTION("""COMPUTED_VALUE"""),"Y")</f>
        <v>Y</v>
      </c>
      <c r="B573" s="131" t="str">
        <f>IFERROR(__xludf.DUMMYFUNCTION("""COMPUTED_VALUE"""),"7")</f>
        <v>7</v>
      </c>
      <c r="C573" s="131" t="str">
        <f>IFERROR(__xludf.DUMMYFUNCTION("""COMPUTED_VALUE"""),"235-240")</f>
        <v>235-240</v>
      </c>
      <c r="D573" s="144">
        <f>IFERROR(__xludf.DUMMYFUNCTION("""COMPUTED_VALUE"""),45782.0)</f>
        <v>45782</v>
      </c>
      <c r="E573" s="147">
        <f>IFERROR(__xludf.DUMMYFUNCTION("""COMPUTED_VALUE"""),45789.0)</f>
        <v>45789</v>
      </c>
      <c r="F573" s="147">
        <f>IFERROR(__xludf.DUMMYFUNCTION("""COMPUTED_VALUE"""),45810.0)</f>
        <v>45810</v>
      </c>
      <c r="G573" s="131" t="str">
        <f>IFERROR(__xludf.DUMMYFUNCTION("""COMPUTED_VALUE"""),"D28-2L")</f>
        <v>D28-2L</v>
      </c>
      <c r="H573" s="126">
        <f>IFERROR(__xludf.DUMMYFUNCTION("""COMPUTED_VALUE"""),21.0)</f>
        <v>21</v>
      </c>
      <c r="I573" s="126">
        <f>IFERROR(__xludf.DUMMYFUNCTION("""COMPUTED_VALUE"""),125.0)</f>
        <v>125</v>
      </c>
      <c r="J573" s="131">
        <f>IFERROR(__xludf.DUMMYFUNCTION("""COMPUTED_VALUE"""),53.0)</f>
        <v>53</v>
      </c>
      <c r="K573" s="131">
        <f>IFERROR(__xludf.DUMMYFUNCTION("""COMPUTED_VALUE"""),53.0)</f>
        <v>53</v>
      </c>
      <c r="L573" s="131">
        <f>IFERROR(__xludf.DUMMYFUNCTION("""COMPUTED_VALUE"""),2.0)</f>
        <v>2</v>
      </c>
      <c r="M573" s="131">
        <f>IFERROR(__xludf.DUMMYFUNCTION("""COMPUTED_VALUE"""),18.0)</f>
        <v>18</v>
      </c>
      <c r="N573" s="131">
        <f>IFERROR(__xludf.DUMMYFUNCTION("""COMPUTED_VALUE"""),9.0)</f>
        <v>9</v>
      </c>
      <c r="O573" s="131">
        <f>IFERROR(__xludf.DUMMYFUNCTION("""COMPUTED_VALUE"""),9.0)</f>
        <v>9</v>
      </c>
      <c r="P573" s="131">
        <f>IFERROR(__xludf.DUMMYFUNCTION("""COMPUTED_VALUE"""),327.0)</f>
        <v>327</v>
      </c>
      <c r="Q573" s="131"/>
      <c r="R573" s="131"/>
      <c r="T573" s="131" t="str">
        <f>IFERROR(__xludf.DUMMYFUNCTION("""COMPUTED_VALUE"""),"Y")</f>
        <v>Y</v>
      </c>
      <c r="U573" s="131" t="str">
        <f>IFERROR(__xludf.DUMMYFUNCTION("""COMPUTED_VALUE"""),"7")</f>
        <v>7</v>
      </c>
      <c r="V573" s="131" t="str">
        <f>IFERROR(__xludf.DUMMYFUNCTION("""COMPUTED_VALUE"""),"235-240")</f>
        <v>235-240</v>
      </c>
      <c r="W573" s="144">
        <f>IFERROR(__xludf.DUMMYFUNCTION("""COMPUTED_VALUE"""),45782.0)</f>
        <v>45782</v>
      </c>
      <c r="X573" s="144">
        <f>IFERROR(__xludf.DUMMYFUNCTION("""COMPUTED_VALUE"""),45789.0)</f>
        <v>45789</v>
      </c>
      <c r="Y573" s="144">
        <f>IFERROR(__xludf.DUMMYFUNCTION("""COMPUTED_VALUE"""),45810.0)</f>
        <v>45810</v>
      </c>
      <c r="Z573" s="131" t="str">
        <f>IFERROR(__xludf.DUMMYFUNCTION("""COMPUTED_VALUE"""),"D28-2L")</f>
        <v>D28-2L</v>
      </c>
      <c r="AA573" s="131">
        <f>IFERROR(__xludf.DUMMYFUNCTION("""COMPUTED_VALUE"""),191.0)</f>
        <v>191</v>
      </c>
      <c r="AB573" s="131">
        <f>IFERROR(__xludf.DUMMYFUNCTION("""COMPUTED_VALUE"""),229.0)</f>
        <v>229</v>
      </c>
      <c r="AC573" s="131">
        <f>IFERROR(__xludf.DUMMYFUNCTION("""COMPUTED_VALUE"""),20.0)</f>
        <v>20</v>
      </c>
      <c r="AD573" s="131">
        <f>IFERROR(__xludf.DUMMYFUNCTION("""COMPUTED_VALUE"""),20.0)</f>
        <v>20</v>
      </c>
      <c r="AE573" s="131">
        <f>IFERROR(__xludf.DUMMYFUNCTION("""COMPUTED_VALUE"""),128.0)</f>
        <v>128</v>
      </c>
      <c r="AF573" s="131">
        <f>IFERROR(__xludf.DUMMYFUNCTION("""COMPUTED_VALUE"""),188.0)</f>
        <v>188</v>
      </c>
      <c r="AG573" s="131">
        <f>IFERROR(__xludf.DUMMYFUNCTION("""COMPUTED_VALUE"""),31.0)</f>
        <v>31</v>
      </c>
      <c r="AH573" s="131">
        <f>IFERROR(__xludf.DUMMYFUNCTION("""COMPUTED_VALUE"""),31.0)</f>
        <v>31</v>
      </c>
      <c r="AI573" s="131">
        <f>IFERROR(__xludf.DUMMYFUNCTION("""COMPUTED_VALUE"""),327.0)</f>
        <v>327</v>
      </c>
      <c r="AJ573" s="131"/>
      <c r="AK573" s="131"/>
    </row>
    <row r="574">
      <c r="A574" s="124" t="str">
        <f>IFERROR(__xludf.DUMMYFUNCTION("""COMPUTED_VALUE"""),"Y")</f>
        <v>Y</v>
      </c>
      <c r="B574" s="131" t="str">
        <f>IFERROR(__xludf.DUMMYFUNCTION("""COMPUTED_VALUE"""),"7")</f>
        <v>7</v>
      </c>
      <c r="C574" s="131" t="str">
        <f>IFERROR(__xludf.DUMMYFUNCTION("""COMPUTED_VALUE"""),"235-240")</f>
        <v>235-240</v>
      </c>
      <c r="D574" s="144">
        <f>IFERROR(__xludf.DUMMYFUNCTION("""COMPUTED_VALUE"""),45782.0)</f>
        <v>45782</v>
      </c>
      <c r="E574" s="147">
        <f>IFERROR(__xludf.DUMMYFUNCTION("""COMPUTED_VALUE"""),45789.0)</f>
        <v>45789</v>
      </c>
      <c r="F574" s="147">
        <f>IFERROR(__xludf.DUMMYFUNCTION("""COMPUTED_VALUE"""),45810.0)</f>
        <v>45810</v>
      </c>
      <c r="G574" s="131" t="str">
        <f>IFERROR(__xludf.DUMMYFUNCTION("""COMPUTED_VALUE"""),"D28-2L")</f>
        <v>D28-2L</v>
      </c>
      <c r="H574" s="126">
        <f>IFERROR(__xludf.DUMMYFUNCTION("""COMPUTED_VALUE"""),191.0)</f>
        <v>191</v>
      </c>
      <c r="I574" s="126">
        <f>IFERROR(__xludf.DUMMYFUNCTION("""COMPUTED_VALUE"""),229.0)</f>
        <v>229</v>
      </c>
      <c r="J574" s="131">
        <f>IFERROR(__xludf.DUMMYFUNCTION("""COMPUTED_VALUE"""),20.0)</f>
        <v>20</v>
      </c>
      <c r="K574" s="131">
        <f>IFERROR(__xludf.DUMMYFUNCTION("""COMPUTED_VALUE"""),20.0)</f>
        <v>20</v>
      </c>
      <c r="L574" s="131">
        <f>IFERROR(__xludf.DUMMYFUNCTION("""COMPUTED_VALUE"""),128.0)</f>
        <v>128</v>
      </c>
      <c r="M574" s="131">
        <f>IFERROR(__xludf.DUMMYFUNCTION("""COMPUTED_VALUE"""),188.0)</f>
        <v>188</v>
      </c>
      <c r="N574" s="131">
        <f>IFERROR(__xludf.DUMMYFUNCTION("""COMPUTED_VALUE"""),31.0)</f>
        <v>31</v>
      </c>
      <c r="O574" s="131">
        <f>IFERROR(__xludf.DUMMYFUNCTION("""COMPUTED_VALUE"""),31.0)</f>
        <v>31</v>
      </c>
      <c r="P574" s="131">
        <f>IFERROR(__xludf.DUMMYFUNCTION("""COMPUTED_VALUE"""),327.0)</f>
        <v>327</v>
      </c>
      <c r="Q574" s="131"/>
      <c r="R574" s="131"/>
      <c r="T574" s="131" t="str">
        <f>IFERROR(__xludf.DUMMYFUNCTION("""COMPUTED_VALUE"""),"N")</f>
        <v>N</v>
      </c>
      <c r="U574" s="131" t="str">
        <f>IFERROR(__xludf.DUMMYFUNCTION("""COMPUTED_VALUE"""),"8")</f>
        <v>8</v>
      </c>
      <c r="V574" s="131" t="str">
        <f>IFERROR(__xludf.DUMMYFUNCTION("""COMPUTED_VALUE"""),"247-252")</f>
        <v>247-252</v>
      </c>
      <c r="W574" s="144">
        <f>IFERROR(__xludf.DUMMYFUNCTION("""COMPUTED_VALUE"""),45782.0)</f>
        <v>45782</v>
      </c>
      <c r="X574" s="144">
        <f>IFERROR(__xludf.DUMMYFUNCTION("""COMPUTED_VALUE"""),45789.0)</f>
        <v>45789</v>
      </c>
      <c r="Y574" s="144">
        <f>IFERROR(__xludf.DUMMYFUNCTION("""COMPUTED_VALUE"""),45810.0)</f>
        <v>45810</v>
      </c>
      <c r="Z574" s="131" t="str">
        <f>IFERROR(__xludf.DUMMYFUNCTION("""COMPUTED_VALUE"""),"DC36")</f>
        <v>DC36</v>
      </c>
      <c r="AA574" s="131">
        <f>IFERROR(__xludf.DUMMYFUNCTION("""COMPUTED_VALUE"""),1.0)</f>
        <v>1</v>
      </c>
      <c r="AB574" s="131">
        <f>IFERROR(__xludf.DUMMYFUNCTION("""COMPUTED_VALUE"""),41.0)</f>
        <v>41</v>
      </c>
      <c r="AC574" s="131">
        <f>IFERROR(__xludf.DUMMYFUNCTION("""COMPUTED_VALUE"""),21.0)</f>
        <v>21</v>
      </c>
      <c r="AD574" s="131">
        <f>IFERROR(__xludf.DUMMYFUNCTION("""COMPUTED_VALUE"""),21.0)</f>
        <v>21</v>
      </c>
      <c r="AE574" s="131">
        <f>IFERROR(__xludf.DUMMYFUNCTION("""COMPUTED_VALUE"""),44.0)</f>
        <v>44</v>
      </c>
      <c r="AF574" s="131">
        <f>IFERROR(__xludf.DUMMYFUNCTION("""COMPUTED_VALUE"""),50.0)</f>
        <v>50</v>
      </c>
      <c r="AG574" s="131">
        <f>IFERROR(__xludf.DUMMYFUNCTION("""COMPUTED_VALUE"""),4.0)</f>
        <v>4</v>
      </c>
      <c r="AH574" s="131">
        <f>IFERROR(__xludf.DUMMYFUNCTION("""COMPUTED_VALUE"""),4.0)</f>
        <v>4</v>
      </c>
      <c r="AI574" s="131">
        <f>IFERROR(__xludf.DUMMYFUNCTION("""COMPUTED_VALUE"""),328.0)</f>
        <v>328</v>
      </c>
      <c r="AJ574" s="131" t="str">
        <f>IFERROR(__xludf.DUMMYFUNCTION("""COMPUTED_VALUE"""),"S42,G46")</f>
        <v>S42,G46</v>
      </c>
      <c r="AK574" s="131">
        <f>IFERROR(__xludf.DUMMYFUNCTION("""COMPUTED_VALUE"""),14.5275)</f>
        <v>14.5275</v>
      </c>
    </row>
    <row r="575">
      <c r="A575" s="124" t="str">
        <f>IFERROR(__xludf.DUMMYFUNCTION("""COMPUTED_VALUE"""),"N")</f>
        <v>N</v>
      </c>
      <c r="B575" s="131" t="str">
        <f>IFERROR(__xludf.DUMMYFUNCTION("""COMPUTED_VALUE"""),"8")</f>
        <v>8</v>
      </c>
      <c r="C575" s="131" t="str">
        <f>IFERROR(__xludf.DUMMYFUNCTION("""COMPUTED_VALUE"""),"247-252")</f>
        <v>247-252</v>
      </c>
      <c r="D575" s="144">
        <f>IFERROR(__xludf.DUMMYFUNCTION("""COMPUTED_VALUE"""),45782.0)</f>
        <v>45782</v>
      </c>
      <c r="E575" s="147">
        <f>IFERROR(__xludf.DUMMYFUNCTION("""COMPUTED_VALUE"""),45789.0)</f>
        <v>45789</v>
      </c>
      <c r="F575" s="147">
        <f>IFERROR(__xludf.DUMMYFUNCTION("""COMPUTED_VALUE"""),45810.0)</f>
        <v>45810</v>
      </c>
      <c r="G575" s="131" t="str">
        <f>IFERROR(__xludf.DUMMYFUNCTION("""COMPUTED_VALUE"""),"DC36")</f>
        <v>DC36</v>
      </c>
      <c r="H575" s="126">
        <f>IFERROR(__xludf.DUMMYFUNCTION("""COMPUTED_VALUE"""),1.0)</f>
        <v>1</v>
      </c>
      <c r="I575" s="126">
        <f>IFERROR(__xludf.DUMMYFUNCTION("""COMPUTED_VALUE"""),41.0)</f>
        <v>41</v>
      </c>
      <c r="J575" s="131">
        <f>IFERROR(__xludf.DUMMYFUNCTION("""COMPUTED_VALUE"""),21.0)</f>
        <v>21</v>
      </c>
      <c r="K575" s="131">
        <f>IFERROR(__xludf.DUMMYFUNCTION("""COMPUTED_VALUE"""),21.0)</f>
        <v>21</v>
      </c>
      <c r="L575" s="131">
        <f>IFERROR(__xludf.DUMMYFUNCTION("""COMPUTED_VALUE"""),44.0)</f>
        <v>44</v>
      </c>
      <c r="M575" s="131">
        <f>IFERROR(__xludf.DUMMYFUNCTION("""COMPUTED_VALUE"""),50.0)</f>
        <v>50</v>
      </c>
      <c r="N575" s="131">
        <f>IFERROR(__xludf.DUMMYFUNCTION("""COMPUTED_VALUE"""),4.0)</f>
        <v>4</v>
      </c>
      <c r="O575" s="131">
        <f>IFERROR(__xludf.DUMMYFUNCTION("""COMPUTED_VALUE"""),4.0)</f>
        <v>4</v>
      </c>
      <c r="P575" s="131">
        <f>IFERROR(__xludf.DUMMYFUNCTION("""COMPUTED_VALUE"""),328.0)</f>
        <v>328</v>
      </c>
      <c r="Q575" s="131" t="str">
        <f>IFERROR(__xludf.DUMMYFUNCTION("""COMPUTED_VALUE"""),"S42,G46")</f>
        <v>S42,G46</v>
      </c>
      <c r="R575" s="131">
        <f>IFERROR(__xludf.DUMMYFUNCTION("""COMPUTED_VALUE"""),14.5275)</f>
        <v>14.5275</v>
      </c>
      <c r="T575" s="131" t="str">
        <f>IFERROR(__xludf.DUMMYFUNCTION("""COMPUTED_VALUE"""),"Y")</f>
        <v>Y</v>
      </c>
      <c r="U575" s="131" t="str">
        <f>IFERROR(__xludf.DUMMYFUNCTION("""COMPUTED_VALUE"""),"7")</f>
        <v>7</v>
      </c>
      <c r="V575" s="131" t="str">
        <f>IFERROR(__xludf.DUMMYFUNCTION("""COMPUTED_VALUE"""),"241-246")</f>
        <v>241-246</v>
      </c>
      <c r="W575" s="144">
        <f>IFERROR(__xludf.DUMMYFUNCTION("""COMPUTED_VALUE"""),45782.0)</f>
        <v>45782</v>
      </c>
      <c r="X575" s="144">
        <f>IFERROR(__xludf.DUMMYFUNCTION("""COMPUTED_VALUE"""),45789.0)</f>
        <v>45789</v>
      </c>
      <c r="Y575" s="144">
        <f>IFERROR(__xludf.DUMMYFUNCTION("""COMPUTED_VALUE"""),45810.0)</f>
        <v>45810</v>
      </c>
      <c r="Z575" s="131" t="str">
        <f>IFERROR(__xludf.DUMMYFUNCTION("""COMPUTED_VALUE"""),"BRG12")</f>
        <v>BRG12</v>
      </c>
      <c r="AA575" s="131">
        <f>IFERROR(__xludf.DUMMYFUNCTION("""COMPUTED_VALUE"""),2753.0)</f>
        <v>2753</v>
      </c>
      <c r="AB575" s="131">
        <f>IFERROR(__xludf.DUMMYFUNCTION("""COMPUTED_VALUE"""),2775.0)</f>
        <v>2775</v>
      </c>
      <c r="AC575" s="131">
        <f>IFERROR(__xludf.DUMMYFUNCTION("""COMPUTED_VALUE"""),12.0)</f>
        <v>12</v>
      </c>
      <c r="AD575" s="131">
        <f>IFERROR(__xludf.DUMMYFUNCTION("""COMPUTED_VALUE"""),12.0)</f>
        <v>12</v>
      </c>
      <c r="AE575" s="131"/>
      <c r="AF575" s="131"/>
      <c r="AG575" s="131"/>
      <c r="AH575" s="131"/>
      <c r="AI575" s="131">
        <f>IFERROR(__xludf.DUMMYFUNCTION("""COMPUTED_VALUE"""),329.0)</f>
        <v>329</v>
      </c>
      <c r="AJ575" s="131"/>
      <c r="AK575" s="131"/>
    </row>
    <row r="576">
      <c r="A576" s="124" t="str">
        <f>IFERROR(__xludf.DUMMYFUNCTION("""COMPUTED_VALUE"""),"Y")</f>
        <v>Y</v>
      </c>
      <c r="B576" s="131" t="str">
        <f>IFERROR(__xludf.DUMMYFUNCTION("""COMPUTED_VALUE"""),"7")</f>
        <v>7</v>
      </c>
      <c r="C576" s="131" t="str">
        <f>IFERROR(__xludf.DUMMYFUNCTION("""COMPUTED_VALUE"""),"241-246")</f>
        <v>241-246</v>
      </c>
      <c r="D576" s="144">
        <f>IFERROR(__xludf.DUMMYFUNCTION("""COMPUTED_VALUE"""),45782.0)</f>
        <v>45782</v>
      </c>
      <c r="E576" s="147">
        <f>IFERROR(__xludf.DUMMYFUNCTION("""COMPUTED_VALUE"""),45789.0)</f>
        <v>45789</v>
      </c>
      <c r="F576" s="147">
        <f>IFERROR(__xludf.DUMMYFUNCTION("""COMPUTED_VALUE"""),45810.0)</f>
        <v>45810</v>
      </c>
      <c r="G576" s="131" t="str">
        <f>IFERROR(__xludf.DUMMYFUNCTION("""COMPUTED_VALUE"""),"BRG12")</f>
        <v>BRG12</v>
      </c>
      <c r="H576" s="126">
        <f>IFERROR(__xludf.DUMMYFUNCTION("""COMPUTED_VALUE"""),2753.0)</f>
        <v>2753</v>
      </c>
      <c r="I576" s="126">
        <f>IFERROR(__xludf.DUMMYFUNCTION("""COMPUTED_VALUE"""),2775.0)</f>
        <v>2775</v>
      </c>
      <c r="J576" s="131">
        <f>IFERROR(__xludf.DUMMYFUNCTION("""COMPUTED_VALUE"""),12.0)</f>
        <v>12</v>
      </c>
      <c r="K576" s="131">
        <f>IFERROR(__xludf.DUMMYFUNCTION("""COMPUTED_VALUE"""),12.0)</f>
        <v>12</v>
      </c>
      <c r="L576" s="131"/>
      <c r="M576" s="131"/>
      <c r="N576" s="131"/>
      <c r="O576" s="131"/>
      <c r="P576" s="131">
        <f>IFERROR(__xludf.DUMMYFUNCTION("""COMPUTED_VALUE"""),329.0)</f>
        <v>329</v>
      </c>
      <c r="Q576" s="131"/>
      <c r="R576" s="131"/>
      <c r="T576" s="131" t="str">
        <f>IFERROR(__xludf.DUMMYFUNCTION("""COMPUTED_VALUE"""),"Y")</f>
        <v>Y</v>
      </c>
      <c r="U576" s="131" t="str">
        <f>IFERROR(__xludf.DUMMYFUNCTION("""COMPUTED_VALUE"""),"7")</f>
        <v>7</v>
      </c>
      <c r="V576" s="131" t="str">
        <f>IFERROR(__xludf.DUMMYFUNCTION("""COMPUTED_VALUE"""),"241-246")</f>
        <v>241-246</v>
      </c>
      <c r="W576" s="144">
        <f>IFERROR(__xludf.DUMMYFUNCTION("""COMPUTED_VALUE"""),45782.0)</f>
        <v>45782</v>
      </c>
      <c r="X576" s="144">
        <f>IFERROR(__xludf.DUMMYFUNCTION("""COMPUTED_VALUE"""),45789.0)</f>
        <v>45789</v>
      </c>
      <c r="Y576" s="144">
        <f>IFERROR(__xludf.DUMMYFUNCTION("""COMPUTED_VALUE"""),45810.0)</f>
        <v>45810</v>
      </c>
      <c r="Z576" s="131" t="str">
        <f>IFERROR(__xludf.DUMMYFUNCTION("""COMPUTED_VALUE"""),"BRG12")</f>
        <v>BRG12</v>
      </c>
      <c r="AA576" s="131">
        <f>IFERROR(__xludf.DUMMYFUNCTION("""COMPUTED_VALUE"""),2789.0)</f>
        <v>2789</v>
      </c>
      <c r="AB576" s="131">
        <f>IFERROR(__xludf.DUMMYFUNCTION("""COMPUTED_VALUE"""),2799.0)</f>
        <v>2799</v>
      </c>
      <c r="AC576" s="131">
        <f>IFERROR(__xludf.DUMMYFUNCTION("""COMPUTED_VALUE"""),6.0)</f>
        <v>6</v>
      </c>
      <c r="AD576" s="131">
        <f>IFERROR(__xludf.DUMMYFUNCTION("""COMPUTED_VALUE"""),6.0)</f>
        <v>6</v>
      </c>
      <c r="AE576" s="131"/>
      <c r="AF576" s="131"/>
      <c r="AG576" s="131"/>
      <c r="AH576" s="131"/>
      <c r="AI576" s="131">
        <f>IFERROR(__xludf.DUMMYFUNCTION("""COMPUTED_VALUE"""),329.0)</f>
        <v>329</v>
      </c>
      <c r="AJ576" s="131"/>
      <c r="AK576" s="131"/>
    </row>
    <row r="577">
      <c r="A577" s="124" t="str">
        <f>IFERROR(__xludf.DUMMYFUNCTION("""COMPUTED_VALUE"""),"Y")</f>
        <v>Y</v>
      </c>
      <c r="B577" s="131" t="str">
        <f>IFERROR(__xludf.DUMMYFUNCTION("""COMPUTED_VALUE"""),"7")</f>
        <v>7</v>
      </c>
      <c r="C577" s="131" t="str">
        <f>IFERROR(__xludf.DUMMYFUNCTION("""COMPUTED_VALUE"""),"241-246")</f>
        <v>241-246</v>
      </c>
      <c r="D577" s="144">
        <f>IFERROR(__xludf.DUMMYFUNCTION("""COMPUTED_VALUE"""),45782.0)</f>
        <v>45782</v>
      </c>
      <c r="E577" s="147">
        <f>IFERROR(__xludf.DUMMYFUNCTION("""COMPUTED_VALUE"""),45789.0)</f>
        <v>45789</v>
      </c>
      <c r="F577" s="147">
        <f>IFERROR(__xludf.DUMMYFUNCTION("""COMPUTED_VALUE"""),45810.0)</f>
        <v>45810</v>
      </c>
      <c r="G577" s="131" t="str">
        <f>IFERROR(__xludf.DUMMYFUNCTION("""COMPUTED_VALUE"""),"BRG12")</f>
        <v>BRG12</v>
      </c>
      <c r="H577" s="126">
        <f>IFERROR(__xludf.DUMMYFUNCTION("""COMPUTED_VALUE"""),2789.0)</f>
        <v>2789</v>
      </c>
      <c r="I577" s="126">
        <f>IFERROR(__xludf.DUMMYFUNCTION("""COMPUTED_VALUE"""),2799.0)</f>
        <v>2799</v>
      </c>
      <c r="J577" s="131">
        <f>IFERROR(__xludf.DUMMYFUNCTION("""COMPUTED_VALUE"""),6.0)</f>
        <v>6</v>
      </c>
      <c r="K577" s="131">
        <f>IFERROR(__xludf.DUMMYFUNCTION("""COMPUTED_VALUE"""),6.0)</f>
        <v>6</v>
      </c>
      <c r="L577" s="131"/>
      <c r="M577" s="131"/>
      <c r="N577" s="131"/>
      <c r="O577" s="131"/>
      <c r="P577" s="131">
        <f>IFERROR(__xludf.DUMMYFUNCTION("""COMPUTED_VALUE"""),329.0)</f>
        <v>329</v>
      </c>
      <c r="Q577" s="131"/>
      <c r="R577" s="131"/>
      <c r="T577" s="131" t="str">
        <f>IFERROR(__xludf.DUMMYFUNCTION("""COMPUTED_VALUE"""),"Y")</f>
        <v>Y</v>
      </c>
      <c r="U577" s="131" t="str">
        <f>IFERROR(__xludf.DUMMYFUNCTION("""COMPUTED_VALUE"""),"7")</f>
        <v>7</v>
      </c>
      <c r="V577" s="131" t="str">
        <f>IFERROR(__xludf.DUMMYFUNCTION("""COMPUTED_VALUE"""),"241-246")</f>
        <v>241-246</v>
      </c>
      <c r="W577" s="144">
        <f>IFERROR(__xludf.DUMMYFUNCTION("""COMPUTED_VALUE"""),45782.0)</f>
        <v>45782</v>
      </c>
      <c r="X577" s="144">
        <f>IFERROR(__xludf.DUMMYFUNCTION("""COMPUTED_VALUE"""),45789.0)</f>
        <v>45789</v>
      </c>
      <c r="Y577" s="144">
        <f>IFERROR(__xludf.DUMMYFUNCTION("""COMPUTED_VALUE"""),45810.0)</f>
        <v>45810</v>
      </c>
      <c r="Z577" s="131" t="str">
        <f>IFERROR(__xludf.DUMMYFUNCTION("""COMPUTED_VALUE"""),"BRG12")</f>
        <v>BRG12</v>
      </c>
      <c r="AA577" s="131">
        <f>IFERROR(__xludf.DUMMYFUNCTION("""COMPUTED_VALUE"""),2809.0)</f>
        <v>2809</v>
      </c>
      <c r="AB577" s="131">
        <f>IFERROR(__xludf.DUMMYFUNCTION("""COMPUTED_VALUE"""),2857.0)</f>
        <v>2857</v>
      </c>
      <c r="AC577" s="131">
        <f>IFERROR(__xludf.DUMMYFUNCTION("""COMPUTED_VALUE"""),25.0)</f>
        <v>25</v>
      </c>
      <c r="AD577" s="131">
        <f>IFERROR(__xludf.DUMMYFUNCTION("""COMPUTED_VALUE"""),25.0)</f>
        <v>25</v>
      </c>
      <c r="AE577" s="131"/>
      <c r="AF577" s="131"/>
      <c r="AG577" s="131"/>
      <c r="AH577" s="131"/>
      <c r="AI577" s="131">
        <f>IFERROR(__xludf.DUMMYFUNCTION("""COMPUTED_VALUE"""),329.0)</f>
        <v>329</v>
      </c>
      <c r="AJ577" s="131"/>
      <c r="AK577" s="131"/>
    </row>
    <row r="578">
      <c r="A578" s="124" t="str">
        <f>IFERROR(__xludf.DUMMYFUNCTION("""COMPUTED_VALUE"""),"Y")</f>
        <v>Y</v>
      </c>
      <c r="B578" s="131" t="str">
        <f>IFERROR(__xludf.DUMMYFUNCTION("""COMPUTED_VALUE"""),"7")</f>
        <v>7</v>
      </c>
      <c r="C578" s="131" t="str">
        <f>IFERROR(__xludf.DUMMYFUNCTION("""COMPUTED_VALUE"""),"241-246")</f>
        <v>241-246</v>
      </c>
      <c r="D578" s="144">
        <f>IFERROR(__xludf.DUMMYFUNCTION("""COMPUTED_VALUE"""),45782.0)</f>
        <v>45782</v>
      </c>
      <c r="E578" s="147">
        <f>IFERROR(__xludf.DUMMYFUNCTION("""COMPUTED_VALUE"""),45789.0)</f>
        <v>45789</v>
      </c>
      <c r="F578" s="147">
        <f>IFERROR(__xludf.DUMMYFUNCTION("""COMPUTED_VALUE"""),45810.0)</f>
        <v>45810</v>
      </c>
      <c r="G578" s="131" t="str">
        <f>IFERROR(__xludf.DUMMYFUNCTION("""COMPUTED_VALUE"""),"BRG12")</f>
        <v>BRG12</v>
      </c>
      <c r="H578" s="126">
        <f>IFERROR(__xludf.DUMMYFUNCTION("""COMPUTED_VALUE"""),2809.0)</f>
        <v>2809</v>
      </c>
      <c r="I578" s="126">
        <f>IFERROR(__xludf.DUMMYFUNCTION("""COMPUTED_VALUE"""),2857.0)</f>
        <v>2857</v>
      </c>
      <c r="J578" s="131">
        <f>IFERROR(__xludf.DUMMYFUNCTION("""COMPUTED_VALUE"""),25.0)</f>
        <v>25</v>
      </c>
      <c r="K578" s="131">
        <f>IFERROR(__xludf.DUMMYFUNCTION("""COMPUTED_VALUE"""),25.0)</f>
        <v>25</v>
      </c>
      <c r="L578" s="131"/>
      <c r="M578" s="131"/>
      <c r="N578" s="131"/>
      <c r="O578" s="131"/>
      <c r="P578" s="131">
        <f>IFERROR(__xludf.DUMMYFUNCTION("""COMPUTED_VALUE"""),329.0)</f>
        <v>329</v>
      </c>
      <c r="Q578" s="131"/>
      <c r="R578" s="131"/>
      <c r="T578" s="131" t="str">
        <f>IFERROR(__xludf.DUMMYFUNCTION("""COMPUTED_VALUE"""),"Y")</f>
        <v>Y</v>
      </c>
      <c r="U578" s="131" t="str">
        <f>IFERROR(__xludf.DUMMYFUNCTION("""COMPUTED_VALUE"""),"7")</f>
        <v>7</v>
      </c>
      <c r="V578" s="131" t="str">
        <f>IFERROR(__xludf.DUMMYFUNCTION("""COMPUTED_VALUE"""),"241-246")</f>
        <v>241-246</v>
      </c>
      <c r="W578" s="144">
        <f>IFERROR(__xludf.DUMMYFUNCTION("""COMPUTED_VALUE"""),45782.0)</f>
        <v>45782</v>
      </c>
      <c r="X578" s="144">
        <f>IFERROR(__xludf.DUMMYFUNCTION("""COMPUTED_VALUE"""),45789.0)</f>
        <v>45789</v>
      </c>
      <c r="Y578" s="144">
        <f>IFERROR(__xludf.DUMMYFUNCTION("""COMPUTED_VALUE"""),45810.0)</f>
        <v>45810</v>
      </c>
      <c r="Z578" s="131" t="str">
        <f>IFERROR(__xludf.DUMMYFUNCTION("""COMPUTED_VALUE"""),"BRG12")</f>
        <v>BRG12</v>
      </c>
      <c r="AA578" s="131">
        <f>IFERROR(__xludf.DUMMYFUNCTION("""COMPUTED_VALUE"""),2867.0)</f>
        <v>2867</v>
      </c>
      <c r="AB578" s="131">
        <f>IFERROR(__xludf.DUMMYFUNCTION("""COMPUTED_VALUE"""),2887.0)</f>
        <v>2887</v>
      </c>
      <c r="AC578" s="131">
        <f>IFERROR(__xludf.DUMMYFUNCTION("""COMPUTED_VALUE"""),11.0)</f>
        <v>11</v>
      </c>
      <c r="AD578" s="131">
        <f>IFERROR(__xludf.DUMMYFUNCTION("""COMPUTED_VALUE"""),11.0)</f>
        <v>11</v>
      </c>
      <c r="AE578" s="131"/>
      <c r="AF578" s="131"/>
      <c r="AG578" s="131"/>
      <c r="AH578" s="131"/>
      <c r="AI578" s="131">
        <f>IFERROR(__xludf.DUMMYFUNCTION("""COMPUTED_VALUE"""),329.0)</f>
        <v>329</v>
      </c>
      <c r="AJ578" s="131"/>
      <c r="AK578" s="131"/>
    </row>
    <row r="579">
      <c r="A579" s="124" t="str">
        <f>IFERROR(__xludf.DUMMYFUNCTION("""COMPUTED_VALUE"""),"Y")</f>
        <v>Y</v>
      </c>
      <c r="B579" s="131" t="str">
        <f>IFERROR(__xludf.DUMMYFUNCTION("""COMPUTED_VALUE"""),"7")</f>
        <v>7</v>
      </c>
      <c r="C579" s="131" t="str">
        <f>IFERROR(__xludf.DUMMYFUNCTION("""COMPUTED_VALUE"""),"241-246")</f>
        <v>241-246</v>
      </c>
      <c r="D579" s="144">
        <f>IFERROR(__xludf.DUMMYFUNCTION("""COMPUTED_VALUE"""),45782.0)</f>
        <v>45782</v>
      </c>
      <c r="E579" s="147">
        <f>IFERROR(__xludf.DUMMYFUNCTION("""COMPUTED_VALUE"""),45789.0)</f>
        <v>45789</v>
      </c>
      <c r="F579" s="147">
        <f>IFERROR(__xludf.DUMMYFUNCTION("""COMPUTED_VALUE"""),45810.0)</f>
        <v>45810</v>
      </c>
      <c r="G579" s="131" t="str">
        <f>IFERROR(__xludf.DUMMYFUNCTION("""COMPUTED_VALUE"""),"BRG12")</f>
        <v>BRG12</v>
      </c>
      <c r="H579" s="126">
        <f>IFERROR(__xludf.DUMMYFUNCTION("""COMPUTED_VALUE"""),2867.0)</f>
        <v>2867</v>
      </c>
      <c r="I579" s="126">
        <f>IFERROR(__xludf.DUMMYFUNCTION("""COMPUTED_VALUE"""),2887.0)</f>
        <v>2887</v>
      </c>
      <c r="J579" s="131">
        <f>IFERROR(__xludf.DUMMYFUNCTION("""COMPUTED_VALUE"""),11.0)</f>
        <v>11</v>
      </c>
      <c r="K579" s="131">
        <f>IFERROR(__xludf.DUMMYFUNCTION("""COMPUTED_VALUE"""),11.0)</f>
        <v>11</v>
      </c>
      <c r="L579" s="131"/>
      <c r="M579" s="131"/>
      <c r="N579" s="131"/>
      <c r="O579" s="131"/>
      <c r="P579" s="131">
        <f>IFERROR(__xludf.DUMMYFUNCTION("""COMPUTED_VALUE"""),329.0)</f>
        <v>329</v>
      </c>
      <c r="Q579" s="131"/>
      <c r="R579" s="131"/>
      <c r="T579" s="131" t="str">
        <f>IFERROR(__xludf.DUMMYFUNCTION("""COMPUTED_VALUE"""),"Y")</f>
        <v>Y</v>
      </c>
      <c r="U579" s="131" t="str">
        <f>IFERROR(__xludf.DUMMYFUNCTION("""COMPUTED_VALUE"""),"7")</f>
        <v>7</v>
      </c>
      <c r="V579" s="131" t="str">
        <f>IFERROR(__xludf.DUMMYFUNCTION("""COMPUTED_VALUE"""),"271-276 خطأ مطبعي")</f>
        <v>271-276 خطأ مطبعي</v>
      </c>
      <c r="W579" s="144">
        <f>IFERROR(__xludf.DUMMYFUNCTION("""COMPUTED_VALUE"""),45783.0)</f>
        <v>45783</v>
      </c>
      <c r="X579" s="144">
        <f>IFERROR(__xludf.DUMMYFUNCTION("""COMPUTED_VALUE"""),45790.0)</f>
        <v>45790</v>
      </c>
      <c r="Y579" s="144">
        <f>IFERROR(__xludf.DUMMYFUNCTION("""COMPUTED_VALUE"""),45811.0)</f>
        <v>45811</v>
      </c>
      <c r="Z579" s="131" t="str">
        <f>IFERROR(__xludf.DUMMYFUNCTION("""COMPUTED_VALUE"""),"BRG12")</f>
        <v>BRG12</v>
      </c>
      <c r="AA579" s="131"/>
      <c r="AB579" s="131"/>
      <c r="AC579" s="131"/>
      <c r="AD579" s="131"/>
      <c r="AE579" s="131">
        <f>IFERROR(__xludf.DUMMYFUNCTION("""COMPUTED_VALUE"""),2754.0)</f>
        <v>2754</v>
      </c>
      <c r="AF579" s="131">
        <f>IFERROR(__xludf.DUMMYFUNCTION("""COMPUTED_VALUE"""),2774.0)</f>
        <v>2774</v>
      </c>
      <c r="AG579" s="131">
        <f>IFERROR(__xludf.DUMMYFUNCTION("""COMPUTED_VALUE"""),11.0)</f>
        <v>11</v>
      </c>
      <c r="AH579" s="131">
        <f>IFERROR(__xludf.DUMMYFUNCTION("""COMPUTED_VALUE"""),11.0)</f>
        <v>11</v>
      </c>
      <c r="AI579" s="131">
        <f>IFERROR(__xludf.DUMMYFUNCTION("""COMPUTED_VALUE"""),330.0)</f>
        <v>330</v>
      </c>
      <c r="AJ579" s="131"/>
      <c r="AK579" s="131"/>
    </row>
    <row r="580">
      <c r="A580" s="124" t="str">
        <f>IFERROR(__xludf.DUMMYFUNCTION("""COMPUTED_VALUE"""),"Y")</f>
        <v>Y</v>
      </c>
      <c r="B580" s="131" t="str">
        <f>IFERROR(__xludf.DUMMYFUNCTION("""COMPUTED_VALUE"""),"7")</f>
        <v>7</v>
      </c>
      <c r="C580" s="131" t="str">
        <f>IFERROR(__xludf.DUMMYFUNCTION("""COMPUTED_VALUE"""),"271-276 خطأ مطبعي")</f>
        <v>271-276 خطأ مطبعي</v>
      </c>
      <c r="D580" s="144">
        <f>IFERROR(__xludf.DUMMYFUNCTION("""COMPUTED_VALUE"""),45783.0)</f>
        <v>45783</v>
      </c>
      <c r="E580" s="147">
        <f>IFERROR(__xludf.DUMMYFUNCTION("""COMPUTED_VALUE"""),45790.0)</f>
        <v>45790</v>
      </c>
      <c r="F580" s="147">
        <f>IFERROR(__xludf.DUMMYFUNCTION("""COMPUTED_VALUE"""),45811.0)</f>
        <v>45811</v>
      </c>
      <c r="G580" s="131" t="str">
        <f>IFERROR(__xludf.DUMMYFUNCTION("""COMPUTED_VALUE"""),"BRG12")</f>
        <v>BRG12</v>
      </c>
      <c r="H580" s="126"/>
      <c r="I580" s="126"/>
      <c r="J580" s="131"/>
      <c r="K580" s="131"/>
      <c r="L580" s="131">
        <f>IFERROR(__xludf.DUMMYFUNCTION("""COMPUTED_VALUE"""),2754.0)</f>
        <v>2754</v>
      </c>
      <c r="M580" s="131">
        <f>IFERROR(__xludf.DUMMYFUNCTION("""COMPUTED_VALUE"""),2774.0)</f>
        <v>2774</v>
      </c>
      <c r="N580" s="131">
        <f>IFERROR(__xludf.DUMMYFUNCTION("""COMPUTED_VALUE"""),11.0)</f>
        <v>11</v>
      </c>
      <c r="O580" s="131">
        <f>IFERROR(__xludf.DUMMYFUNCTION("""COMPUTED_VALUE"""),11.0)</f>
        <v>11</v>
      </c>
      <c r="P580" s="131">
        <f>IFERROR(__xludf.DUMMYFUNCTION("""COMPUTED_VALUE"""),330.0)</f>
        <v>330</v>
      </c>
      <c r="Q580" s="131"/>
      <c r="R580" s="131"/>
      <c r="T580" s="131" t="str">
        <f>IFERROR(__xludf.DUMMYFUNCTION("""COMPUTED_VALUE"""),"Y")</f>
        <v>Y</v>
      </c>
      <c r="U580" s="131" t="str">
        <f>IFERROR(__xludf.DUMMYFUNCTION("""COMPUTED_VALUE"""),"7")</f>
        <v>7</v>
      </c>
      <c r="V580" s="131" t="str">
        <f>IFERROR(__xludf.DUMMYFUNCTION("""COMPUTED_VALUE"""),"271-276 خطأ مطبعي")</f>
        <v>271-276 خطأ مطبعي</v>
      </c>
      <c r="W580" s="144">
        <f>IFERROR(__xludf.DUMMYFUNCTION("""COMPUTED_VALUE"""),45783.0)</f>
        <v>45783</v>
      </c>
      <c r="X580" s="144">
        <f>IFERROR(__xludf.DUMMYFUNCTION("""COMPUTED_VALUE"""),45790.0)</f>
        <v>45790</v>
      </c>
      <c r="Y580" s="144">
        <f>IFERROR(__xludf.DUMMYFUNCTION("""COMPUTED_VALUE"""),45811.0)</f>
        <v>45811</v>
      </c>
      <c r="Z580" s="131" t="str">
        <f>IFERROR(__xludf.DUMMYFUNCTION("""COMPUTED_VALUE"""),"BRG12")</f>
        <v>BRG12</v>
      </c>
      <c r="AA580" s="131"/>
      <c r="AB580" s="131"/>
      <c r="AC580" s="131"/>
      <c r="AD580" s="131"/>
      <c r="AE580" s="131">
        <f>IFERROR(__xludf.DUMMYFUNCTION("""COMPUTED_VALUE"""),2790.0)</f>
        <v>2790</v>
      </c>
      <c r="AF580" s="131">
        <f>IFERROR(__xludf.DUMMYFUNCTION("""COMPUTED_VALUE"""),2798.0)</f>
        <v>2798</v>
      </c>
      <c r="AG580" s="131">
        <f>IFERROR(__xludf.DUMMYFUNCTION("""COMPUTED_VALUE"""),5.0)</f>
        <v>5</v>
      </c>
      <c r="AH580" s="131">
        <f>IFERROR(__xludf.DUMMYFUNCTION("""COMPUTED_VALUE"""),5.0)</f>
        <v>5</v>
      </c>
      <c r="AI580" s="131">
        <f>IFERROR(__xludf.DUMMYFUNCTION("""COMPUTED_VALUE"""),330.0)</f>
        <v>330</v>
      </c>
      <c r="AJ580" s="131"/>
      <c r="AK580" s="131"/>
    </row>
    <row r="581">
      <c r="A581" s="124" t="str">
        <f>IFERROR(__xludf.DUMMYFUNCTION("""COMPUTED_VALUE"""),"Y")</f>
        <v>Y</v>
      </c>
      <c r="B581" s="131" t="str">
        <f>IFERROR(__xludf.DUMMYFUNCTION("""COMPUTED_VALUE"""),"7")</f>
        <v>7</v>
      </c>
      <c r="C581" s="131" t="str">
        <f>IFERROR(__xludf.DUMMYFUNCTION("""COMPUTED_VALUE"""),"271-276 خطأ مطبعي")</f>
        <v>271-276 خطأ مطبعي</v>
      </c>
      <c r="D581" s="144">
        <f>IFERROR(__xludf.DUMMYFUNCTION("""COMPUTED_VALUE"""),45783.0)</f>
        <v>45783</v>
      </c>
      <c r="E581" s="147">
        <f>IFERROR(__xludf.DUMMYFUNCTION("""COMPUTED_VALUE"""),45790.0)</f>
        <v>45790</v>
      </c>
      <c r="F581" s="147">
        <f>IFERROR(__xludf.DUMMYFUNCTION("""COMPUTED_VALUE"""),45811.0)</f>
        <v>45811</v>
      </c>
      <c r="G581" s="131" t="str">
        <f>IFERROR(__xludf.DUMMYFUNCTION("""COMPUTED_VALUE"""),"BRG12")</f>
        <v>BRG12</v>
      </c>
      <c r="H581" s="126"/>
      <c r="I581" s="126"/>
      <c r="J581" s="131"/>
      <c r="K581" s="131"/>
      <c r="L581" s="131">
        <f>IFERROR(__xludf.DUMMYFUNCTION("""COMPUTED_VALUE"""),2790.0)</f>
        <v>2790</v>
      </c>
      <c r="M581" s="131">
        <f>IFERROR(__xludf.DUMMYFUNCTION("""COMPUTED_VALUE"""),2798.0)</f>
        <v>2798</v>
      </c>
      <c r="N581" s="131">
        <f>IFERROR(__xludf.DUMMYFUNCTION("""COMPUTED_VALUE"""),5.0)</f>
        <v>5</v>
      </c>
      <c r="O581" s="131">
        <f>IFERROR(__xludf.DUMMYFUNCTION("""COMPUTED_VALUE"""),5.0)</f>
        <v>5</v>
      </c>
      <c r="P581" s="131">
        <f>IFERROR(__xludf.DUMMYFUNCTION("""COMPUTED_VALUE"""),330.0)</f>
        <v>330</v>
      </c>
      <c r="Q581" s="131"/>
      <c r="R581" s="131"/>
      <c r="T581" s="131" t="str">
        <f>IFERROR(__xludf.DUMMYFUNCTION("""COMPUTED_VALUE"""),"Y")</f>
        <v>Y</v>
      </c>
      <c r="U581" s="131" t="str">
        <f>IFERROR(__xludf.DUMMYFUNCTION("""COMPUTED_VALUE"""),"7")</f>
        <v>7</v>
      </c>
      <c r="V581" s="131" t="str">
        <f>IFERROR(__xludf.DUMMYFUNCTION("""COMPUTED_VALUE"""),"271-276 خطأ مطبعي")</f>
        <v>271-276 خطأ مطبعي</v>
      </c>
      <c r="W581" s="144">
        <f>IFERROR(__xludf.DUMMYFUNCTION("""COMPUTED_VALUE"""),45783.0)</f>
        <v>45783</v>
      </c>
      <c r="X581" s="144">
        <f>IFERROR(__xludf.DUMMYFUNCTION("""COMPUTED_VALUE"""),45790.0)</f>
        <v>45790</v>
      </c>
      <c r="Y581" s="144">
        <f>IFERROR(__xludf.DUMMYFUNCTION("""COMPUTED_VALUE"""),45811.0)</f>
        <v>45811</v>
      </c>
      <c r="Z581" s="131" t="str">
        <f>IFERROR(__xludf.DUMMYFUNCTION("""COMPUTED_VALUE"""),"BRG12")</f>
        <v>BRG12</v>
      </c>
      <c r="AA581" s="131"/>
      <c r="AB581" s="131"/>
      <c r="AC581" s="131"/>
      <c r="AD581" s="131"/>
      <c r="AE581" s="131">
        <f>IFERROR(__xludf.DUMMYFUNCTION("""COMPUTED_VALUE"""),2810.0)</f>
        <v>2810</v>
      </c>
      <c r="AF581" s="131">
        <f>IFERROR(__xludf.DUMMYFUNCTION("""COMPUTED_VALUE"""),2834.0)</f>
        <v>2834</v>
      </c>
      <c r="AG581" s="131">
        <f>IFERROR(__xludf.DUMMYFUNCTION("""COMPUTED_VALUE"""),13.0)</f>
        <v>13</v>
      </c>
      <c r="AH581" s="131">
        <f>IFERROR(__xludf.DUMMYFUNCTION("""COMPUTED_VALUE"""),13.0)</f>
        <v>13</v>
      </c>
      <c r="AI581" s="131">
        <f>IFERROR(__xludf.DUMMYFUNCTION("""COMPUTED_VALUE"""),330.0)</f>
        <v>330</v>
      </c>
      <c r="AJ581" s="131"/>
      <c r="AK581" s="131"/>
    </row>
    <row r="582">
      <c r="A582" s="124" t="str">
        <f>IFERROR(__xludf.DUMMYFUNCTION("""COMPUTED_VALUE"""),"Y")</f>
        <v>Y</v>
      </c>
      <c r="B582" s="131" t="str">
        <f>IFERROR(__xludf.DUMMYFUNCTION("""COMPUTED_VALUE"""),"7")</f>
        <v>7</v>
      </c>
      <c r="C582" s="131" t="str">
        <f>IFERROR(__xludf.DUMMYFUNCTION("""COMPUTED_VALUE"""),"271-276 خطأ مطبعي")</f>
        <v>271-276 خطأ مطبعي</v>
      </c>
      <c r="D582" s="144">
        <f>IFERROR(__xludf.DUMMYFUNCTION("""COMPUTED_VALUE"""),45783.0)</f>
        <v>45783</v>
      </c>
      <c r="E582" s="147">
        <f>IFERROR(__xludf.DUMMYFUNCTION("""COMPUTED_VALUE"""),45790.0)</f>
        <v>45790</v>
      </c>
      <c r="F582" s="147">
        <f>IFERROR(__xludf.DUMMYFUNCTION("""COMPUTED_VALUE"""),45811.0)</f>
        <v>45811</v>
      </c>
      <c r="G582" s="131" t="str">
        <f>IFERROR(__xludf.DUMMYFUNCTION("""COMPUTED_VALUE"""),"BRG12")</f>
        <v>BRG12</v>
      </c>
      <c r="H582" s="126"/>
      <c r="I582" s="126"/>
      <c r="J582" s="131"/>
      <c r="K582" s="131"/>
      <c r="L582" s="131">
        <f>IFERROR(__xludf.DUMMYFUNCTION("""COMPUTED_VALUE"""),2810.0)</f>
        <v>2810</v>
      </c>
      <c r="M582" s="131">
        <f>IFERROR(__xludf.DUMMYFUNCTION("""COMPUTED_VALUE"""),2834.0)</f>
        <v>2834</v>
      </c>
      <c r="N582" s="131">
        <f>IFERROR(__xludf.DUMMYFUNCTION("""COMPUTED_VALUE"""),13.0)</f>
        <v>13</v>
      </c>
      <c r="O582" s="131">
        <f>IFERROR(__xludf.DUMMYFUNCTION("""COMPUTED_VALUE"""),13.0)</f>
        <v>13</v>
      </c>
      <c r="P582" s="131">
        <f>IFERROR(__xludf.DUMMYFUNCTION("""COMPUTED_VALUE"""),330.0)</f>
        <v>330</v>
      </c>
      <c r="Q582" s="131"/>
      <c r="R582" s="131"/>
      <c r="T582" s="131" t="str">
        <f>IFERROR(__xludf.DUMMYFUNCTION("""COMPUTED_VALUE"""),"Y")</f>
        <v>Y</v>
      </c>
      <c r="U582" s="131" t="str">
        <f>IFERROR(__xludf.DUMMYFUNCTION("""COMPUTED_VALUE"""),"7")</f>
        <v>7</v>
      </c>
      <c r="V582" s="131" t="str">
        <f>IFERROR(__xludf.DUMMYFUNCTION("""COMPUTED_VALUE"""),"265-270")</f>
        <v>265-270</v>
      </c>
      <c r="W582" s="144">
        <f>IFERROR(__xludf.DUMMYFUNCTION("""COMPUTED_VALUE"""),45783.0)</f>
        <v>45783</v>
      </c>
      <c r="X582" s="144">
        <f>IFERROR(__xludf.DUMMYFUNCTION("""COMPUTED_VALUE"""),45790.0)</f>
        <v>45790</v>
      </c>
      <c r="Y582" s="144">
        <f>IFERROR(__xludf.DUMMYFUNCTION("""COMPUTED_VALUE"""),45811.0)</f>
        <v>45811</v>
      </c>
      <c r="Z582" s="131" t="str">
        <f>IFERROR(__xludf.DUMMYFUNCTION("""COMPUTED_VALUE"""),"D28-2L")</f>
        <v>D28-2L</v>
      </c>
      <c r="AA582" s="131">
        <f>IFERROR(__xludf.DUMMYFUNCTION("""COMPUTED_VALUE"""),127.0)</f>
        <v>127</v>
      </c>
      <c r="AB582" s="131">
        <f>IFERROR(__xludf.DUMMYFUNCTION("""COMPUTED_VALUE"""),167.0)</f>
        <v>167</v>
      </c>
      <c r="AC582" s="131">
        <f>IFERROR(__xludf.DUMMYFUNCTION("""COMPUTED_VALUE"""),21.0)</f>
        <v>21</v>
      </c>
      <c r="AD582" s="131">
        <f>IFERROR(__xludf.DUMMYFUNCTION("""COMPUTED_VALUE"""),21.0)</f>
        <v>21</v>
      </c>
      <c r="AE582" s="131">
        <f>IFERROR(__xludf.DUMMYFUNCTION("""COMPUTED_VALUE"""),190.0)</f>
        <v>190</v>
      </c>
      <c r="AF582" s="131">
        <f>IFERROR(__xludf.DUMMYFUNCTION("""COMPUTED_VALUE"""),218.0)</f>
        <v>218</v>
      </c>
      <c r="AG582" s="131">
        <f>IFERROR(__xludf.DUMMYFUNCTION("""COMPUTED_VALUE"""),15.0)</f>
        <v>15</v>
      </c>
      <c r="AH582" s="131">
        <f>IFERROR(__xludf.DUMMYFUNCTION("""COMPUTED_VALUE"""),15.0)</f>
        <v>15</v>
      </c>
      <c r="AI582" s="131">
        <f>IFERROR(__xludf.DUMMYFUNCTION("""COMPUTED_VALUE"""),331.0)</f>
        <v>331</v>
      </c>
      <c r="AJ582" s="131"/>
      <c r="AK582" s="131"/>
    </row>
    <row r="583">
      <c r="A583" s="124" t="str">
        <f>IFERROR(__xludf.DUMMYFUNCTION("""COMPUTED_VALUE"""),"Y")</f>
        <v>Y</v>
      </c>
      <c r="B583" s="131" t="str">
        <f>IFERROR(__xludf.DUMMYFUNCTION("""COMPUTED_VALUE"""),"7")</f>
        <v>7</v>
      </c>
      <c r="C583" s="131" t="str">
        <f>IFERROR(__xludf.DUMMYFUNCTION("""COMPUTED_VALUE"""),"265-270")</f>
        <v>265-270</v>
      </c>
      <c r="D583" s="144">
        <f>IFERROR(__xludf.DUMMYFUNCTION("""COMPUTED_VALUE"""),45783.0)</f>
        <v>45783</v>
      </c>
      <c r="E583" s="147">
        <f>IFERROR(__xludf.DUMMYFUNCTION("""COMPUTED_VALUE"""),45790.0)</f>
        <v>45790</v>
      </c>
      <c r="F583" s="147">
        <f>IFERROR(__xludf.DUMMYFUNCTION("""COMPUTED_VALUE"""),45811.0)</f>
        <v>45811</v>
      </c>
      <c r="G583" s="131" t="str">
        <f>IFERROR(__xludf.DUMMYFUNCTION("""COMPUTED_VALUE"""),"D28-2L")</f>
        <v>D28-2L</v>
      </c>
      <c r="H583" s="126">
        <f>IFERROR(__xludf.DUMMYFUNCTION("""COMPUTED_VALUE"""),127.0)</f>
        <v>127</v>
      </c>
      <c r="I583" s="126">
        <f>IFERROR(__xludf.DUMMYFUNCTION("""COMPUTED_VALUE"""),167.0)</f>
        <v>167</v>
      </c>
      <c r="J583" s="131">
        <f>IFERROR(__xludf.DUMMYFUNCTION("""COMPUTED_VALUE"""),21.0)</f>
        <v>21</v>
      </c>
      <c r="K583" s="131">
        <f>IFERROR(__xludf.DUMMYFUNCTION("""COMPUTED_VALUE"""),21.0)</f>
        <v>21</v>
      </c>
      <c r="L583" s="131">
        <f>IFERROR(__xludf.DUMMYFUNCTION("""COMPUTED_VALUE"""),190.0)</f>
        <v>190</v>
      </c>
      <c r="M583" s="131">
        <f>IFERROR(__xludf.DUMMYFUNCTION("""COMPUTED_VALUE"""),218.0)</f>
        <v>218</v>
      </c>
      <c r="N583" s="131">
        <f>IFERROR(__xludf.DUMMYFUNCTION("""COMPUTED_VALUE"""),15.0)</f>
        <v>15</v>
      </c>
      <c r="O583" s="131">
        <f>IFERROR(__xludf.DUMMYFUNCTION("""COMPUTED_VALUE"""),15.0)</f>
        <v>15</v>
      </c>
      <c r="P583" s="131">
        <f>IFERROR(__xludf.DUMMYFUNCTION("""COMPUTED_VALUE"""),331.0)</f>
        <v>331</v>
      </c>
      <c r="Q583" s="131"/>
      <c r="R583" s="131"/>
      <c r="T583" s="131" t="str">
        <f>IFERROR(__xludf.DUMMYFUNCTION("""COMPUTED_VALUE"""),"Y")</f>
        <v>Y</v>
      </c>
      <c r="U583" s="131" t="str">
        <f>IFERROR(__xludf.DUMMYFUNCTION("""COMPUTED_VALUE"""),"7")</f>
        <v>7</v>
      </c>
      <c r="V583" s="131" t="str">
        <f>IFERROR(__xludf.DUMMYFUNCTION("""COMPUTED_VALUE"""),"265-270")</f>
        <v>265-270</v>
      </c>
      <c r="W583" s="144">
        <f>IFERROR(__xludf.DUMMYFUNCTION("""COMPUTED_VALUE"""),45783.0)</f>
        <v>45783</v>
      </c>
      <c r="X583" s="144">
        <f>IFERROR(__xludf.DUMMYFUNCTION("""COMPUTED_VALUE"""),45790.0)</f>
        <v>45790</v>
      </c>
      <c r="Y583" s="144">
        <f>IFERROR(__xludf.DUMMYFUNCTION("""COMPUTED_VALUE"""),45811.0)</f>
        <v>45811</v>
      </c>
      <c r="Z583" s="131" t="str">
        <f>IFERROR(__xludf.DUMMYFUNCTION("""COMPUTED_VALUE"""),"D28-2L")</f>
        <v>D28-2L</v>
      </c>
      <c r="AA583" s="131">
        <f>IFERROR(__xludf.DUMMYFUNCTION("""COMPUTED_VALUE"""),171.0)</f>
        <v>171</v>
      </c>
      <c r="AB583" s="131">
        <f>IFERROR(__xludf.DUMMYFUNCTION("""COMPUTED_VALUE"""),189.0)</f>
        <v>189</v>
      </c>
      <c r="AC583" s="131">
        <f>IFERROR(__xludf.DUMMYFUNCTION("""COMPUTED_VALUE"""),10.0)</f>
        <v>10</v>
      </c>
      <c r="AD583" s="131">
        <f>IFERROR(__xludf.DUMMYFUNCTION("""COMPUTED_VALUE"""),10.0)</f>
        <v>10</v>
      </c>
      <c r="AE583" s="131">
        <f>IFERROR(__xludf.DUMMYFUNCTION("""COMPUTED_VALUE"""),222.0)</f>
        <v>222</v>
      </c>
      <c r="AF583" s="131">
        <f>IFERROR(__xludf.DUMMYFUNCTION("""COMPUTED_VALUE"""),228.0)</f>
        <v>228</v>
      </c>
      <c r="AG583" s="131">
        <f>IFERROR(__xludf.DUMMYFUNCTION("""COMPUTED_VALUE"""),4.0)</f>
        <v>4</v>
      </c>
      <c r="AH583" s="131">
        <f>IFERROR(__xludf.DUMMYFUNCTION("""COMPUTED_VALUE"""),4.0)</f>
        <v>4</v>
      </c>
      <c r="AI583" s="131">
        <f>IFERROR(__xludf.DUMMYFUNCTION("""COMPUTED_VALUE"""),331.0)</f>
        <v>331</v>
      </c>
      <c r="AJ583" s="131"/>
      <c r="AK583" s="131"/>
    </row>
    <row r="584">
      <c r="A584" s="124" t="str">
        <f>IFERROR(__xludf.DUMMYFUNCTION("""COMPUTED_VALUE"""),"Y")</f>
        <v>Y</v>
      </c>
      <c r="B584" s="131" t="str">
        <f>IFERROR(__xludf.DUMMYFUNCTION("""COMPUTED_VALUE"""),"7")</f>
        <v>7</v>
      </c>
      <c r="C584" s="131" t="str">
        <f>IFERROR(__xludf.DUMMYFUNCTION("""COMPUTED_VALUE"""),"265-270")</f>
        <v>265-270</v>
      </c>
      <c r="D584" s="144">
        <f>IFERROR(__xludf.DUMMYFUNCTION("""COMPUTED_VALUE"""),45783.0)</f>
        <v>45783</v>
      </c>
      <c r="E584" s="147">
        <f>IFERROR(__xludf.DUMMYFUNCTION("""COMPUTED_VALUE"""),45790.0)</f>
        <v>45790</v>
      </c>
      <c r="F584" s="147">
        <f>IFERROR(__xludf.DUMMYFUNCTION("""COMPUTED_VALUE"""),45811.0)</f>
        <v>45811</v>
      </c>
      <c r="G584" s="131" t="str">
        <f>IFERROR(__xludf.DUMMYFUNCTION("""COMPUTED_VALUE"""),"D28-2L")</f>
        <v>D28-2L</v>
      </c>
      <c r="H584" s="126">
        <f>IFERROR(__xludf.DUMMYFUNCTION("""COMPUTED_VALUE"""),171.0)</f>
        <v>171</v>
      </c>
      <c r="I584" s="126">
        <f>IFERROR(__xludf.DUMMYFUNCTION("""COMPUTED_VALUE"""),189.0)</f>
        <v>189</v>
      </c>
      <c r="J584" s="131">
        <f>IFERROR(__xludf.DUMMYFUNCTION("""COMPUTED_VALUE"""),10.0)</f>
        <v>10</v>
      </c>
      <c r="K584" s="131">
        <f>IFERROR(__xludf.DUMMYFUNCTION("""COMPUTED_VALUE"""),10.0)</f>
        <v>10</v>
      </c>
      <c r="L584" s="131">
        <f>IFERROR(__xludf.DUMMYFUNCTION("""COMPUTED_VALUE"""),222.0)</f>
        <v>222</v>
      </c>
      <c r="M584" s="131">
        <f>IFERROR(__xludf.DUMMYFUNCTION("""COMPUTED_VALUE"""),228.0)</f>
        <v>228</v>
      </c>
      <c r="N584" s="131">
        <f>IFERROR(__xludf.DUMMYFUNCTION("""COMPUTED_VALUE"""),4.0)</f>
        <v>4</v>
      </c>
      <c r="O584" s="131">
        <f>IFERROR(__xludf.DUMMYFUNCTION("""COMPUTED_VALUE"""),4.0)</f>
        <v>4</v>
      </c>
      <c r="P584" s="131">
        <f>IFERROR(__xludf.DUMMYFUNCTION("""COMPUTED_VALUE"""),331.0)</f>
        <v>331</v>
      </c>
      <c r="Q584" s="131"/>
      <c r="R584" s="131"/>
      <c r="T584" s="131" t="str">
        <f>IFERROR(__xludf.DUMMYFUNCTION("""COMPUTED_VALUE"""),"Y")</f>
        <v>Y</v>
      </c>
      <c r="U584" s="131" t="str">
        <f>IFERROR(__xludf.DUMMYFUNCTION("""COMPUTED_VALUE"""),"7")</f>
        <v>7</v>
      </c>
      <c r="V584" s="131" t="str">
        <f>IFERROR(__xludf.DUMMYFUNCTION("""COMPUTED_VALUE"""),"265-270")</f>
        <v>265-270</v>
      </c>
      <c r="W584" s="144">
        <f>IFERROR(__xludf.DUMMYFUNCTION("""COMPUTED_VALUE"""),45783.0)</f>
        <v>45783</v>
      </c>
      <c r="X584" s="144">
        <f>IFERROR(__xludf.DUMMYFUNCTION("""COMPUTED_VALUE"""),45790.0)</f>
        <v>45790</v>
      </c>
      <c r="Y584" s="144">
        <f>IFERROR(__xludf.DUMMYFUNCTION("""COMPUTED_VALUE"""),45811.0)</f>
        <v>45811</v>
      </c>
      <c r="Z584" s="131" t="str">
        <f>IFERROR(__xludf.DUMMYFUNCTION("""COMPUTED_VALUE"""),"D28-2L")</f>
        <v>D28-2L</v>
      </c>
      <c r="AA584" s="131">
        <f>IFERROR(__xludf.DUMMYFUNCTION("""COMPUTED_VALUE"""),231.0)</f>
        <v>231</v>
      </c>
      <c r="AB584" s="131">
        <f>IFERROR(__xludf.DUMMYFUNCTION("""COMPUTED_VALUE"""),247.0)</f>
        <v>247</v>
      </c>
      <c r="AC584" s="131">
        <f>IFERROR(__xludf.DUMMYFUNCTION("""COMPUTED_VALUE"""),9.0)</f>
        <v>9</v>
      </c>
      <c r="AD584" s="131">
        <f>IFERROR(__xludf.DUMMYFUNCTION("""COMPUTED_VALUE"""),9.0)</f>
        <v>9</v>
      </c>
      <c r="AE584" s="131"/>
      <c r="AF584" s="131"/>
      <c r="AG584" s="131"/>
      <c r="AH584" s="131"/>
      <c r="AI584" s="131">
        <f>IFERROR(__xludf.DUMMYFUNCTION("""COMPUTED_VALUE"""),331.0)</f>
        <v>331</v>
      </c>
      <c r="AJ584" s="131"/>
      <c r="AK584" s="131"/>
    </row>
    <row r="585">
      <c r="A585" s="124" t="str">
        <f>IFERROR(__xludf.DUMMYFUNCTION("""COMPUTED_VALUE"""),"Y")</f>
        <v>Y</v>
      </c>
      <c r="B585" s="131" t="str">
        <f>IFERROR(__xludf.DUMMYFUNCTION("""COMPUTED_VALUE"""),"7")</f>
        <v>7</v>
      </c>
      <c r="C585" s="131" t="str">
        <f>IFERROR(__xludf.DUMMYFUNCTION("""COMPUTED_VALUE"""),"265-270")</f>
        <v>265-270</v>
      </c>
      <c r="D585" s="144">
        <f>IFERROR(__xludf.DUMMYFUNCTION("""COMPUTED_VALUE"""),45783.0)</f>
        <v>45783</v>
      </c>
      <c r="E585" s="147">
        <f>IFERROR(__xludf.DUMMYFUNCTION("""COMPUTED_VALUE"""),45790.0)</f>
        <v>45790</v>
      </c>
      <c r="F585" s="147">
        <f>IFERROR(__xludf.DUMMYFUNCTION("""COMPUTED_VALUE"""),45811.0)</f>
        <v>45811</v>
      </c>
      <c r="G585" s="131" t="str">
        <f>IFERROR(__xludf.DUMMYFUNCTION("""COMPUTED_VALUE"""),"D28-2L")</f>
        <v>D28-2L</v>
      </c>
      <c r="H585" s="126">
        <f>IFERROR(__xludf.DUMMYFUNCTION("""COMPUTED_VALUE"""),231.0)</f>
        <v>231</v>
      </c>
      <c r="I585" s="126">
        <f>IFERROR(__xludf.DUMMYFUNCTION("""COMPUTED_VALUE"""),247.0)</f>
        <v>247</v>
      </c>
      <c r="J585" s="131">
        <f>IFERROR(__xludf.DUMMYFUNCTION("""COMPUTED_VALUE"""),9.0)</f>
        <v>9</v>
      </c>
      <c r="K585" s="131">
        <f>IFERROR(__xludf.DUMMYFUNCTION("""COMPUTED_VALUE"""),9.0)</f>
        <v>9</v>
      </c>
      <c r="L585" s="131"/>
      <c r="M585" s="131"/>
      <c r="N585" s="131"/>
      <c r="O585" s="131"/>
      <c r="P585" s="131">
        <f>IFERROR(__xludf.DUMMYFUNCTION("""COMPUTED_VALUE"""),331.0)</f>
        <v>331</v>
      </c>
      <c r="Q585" s="131"/>
      <c r="R585" s="131"/>
      <c r="T585" s="131" t="str">
        <f>IFERROR(__xludf.DUMMYFUNCTION("""COMPUTED_VALUE"""),"Y")</f>
        <v>Y</v>
      </c>
      <c r="U585" s="131" t="str">
        <f>IFERROR(__xludf.DUMMYFUNCTION("""COMPUTED_VALUE"""),"7")</f>
        <v>7</v>
      </c>
      <c r="V585" s="131" t="str">
        <f>IFERROR(__xludf.DUMMYFUNCTION("""COMPUTED_VALUE"""),"283-288 خطا مطبعي")</f>
        <v>283-288 خطا مطبعي</v>
      </c>
      <c r="W585" s="144">
        <f>IFERROR(__xludf.DUMMYFUNCTION("""COMPUTED_VALUE"""),45784.0)</f>
        <v>45784</v>
      </c>
      <c r="X585" s="144">
        <f>IFERROR(__xludf.DUMMYFUNCTION("""COMPUTED_VALUE"""),45791.0)</f>
        <v>45791</v>
      </c>
      <c r="Y585" s="144">
        <f>IFERROR(__xludf.DUMMYFUNCTION("""COMPUTED_VALUE"""),45812.0)</f>
        <v>45812</v>
      </c>
      <c r="Z585" s="131" t="str">
        <f>IFERROR(__xludf.DUMMYFUNCTION("""COMPUTED_VALUE"""),"BRG12")</f>
        <v>BRG12</v>
      </c>
      <c r="AA585" s="131">
        <f>IFERROR(__xludf.DUMMYFUNCTION("""COMPUTED_VALUE"""),2889.0)</f>
        <v>2889</v>
      </c>
      <c r="AB585" s="131">
        <f>IFERROR(__xludf.DUMMYFUNCTION("""COMPUTED_VALUE"""),2977.0)</f>
        <v>2977</v>
      </c>
      <c r="AC585" s="131">
        <f>IFERROR(__xludf.DUMMYFUNCTION("""COMPUTED_VALUE"""),45.0)</f>
        <v>45</v>
      </c>
      <c r="AD585" s="131">
        <f>IFERROR(__xludf.DUMMYFUNCTION("""COMPUTED_VALUE"""),45.0)</f>
        <v>45</v>
      </c>
      <c r="AE585" s="131">
        <f>IFERROR(__xludf.DUMMYFUNCTION("""COMPUTED_VALUE"""),2836.0)</f>
        <v>2836</v>
      </c>
      <c r="AF585" s="131">
        <f>IFERROR(__xludf.DUMMYFUNCTION("""COMPUTED_VALUE"""),2854.0)</f>
        <v>2854</v>
      </c>
      <c r="AG585" s="131">
        <f>IFERROR(__xludf.DUMMYFUNCTION("""COMPUTED_VALUE"""),10.0)</f>
        <v>10</v>
      </c>
      <c r="AH585" s="131">
        <f>IFERROR(__xludf.DUMMYFUNCTION("""COMPUTED_VALUE"""),10.0)</f>
        <v>10</v>
      </c>
      <c r="AI585" s="131">
        <f>IFERROR(__xludf.DUMMYFUNCTION("""COMPUTED_VALUE"""),332.0)</f>
        <v>332</v>
      </c>
      <c r="AJ585" s="131"/>
      <c r="AK585" s="131"/>
    </row>
    <row r="586">
      <c r="A586" s="124" t="str">
        <f>IFERROR(__xludf.DUMMYFUNCTION("""COMPUTED_VALUE"""),"Y")</f>
        <v>Y</v>
      </c>
      <c r="B586" s="131" t="str">
        <f>IFERROR(__xludf.DUMMYFUNCTION("""COMPUTED_VALUE"""),"7")</f>
        <v>7</v>
      </c>
      <c r="C586" s="131" t="str">
        <f>IFERROR(__xludf.DUMMYFUNCTION("""COMPUTED_VALUE"""),"283-288 خطا مطبعي")</f>
        <v>283-288 خطا مطبعي</v>
      </c>
      <c r="D586" s="144">
        <f>IFERROR(__xludf.DUMMYFUNCTION("""COMPUTED_VALUE"""),45784.0)</f>
        <v>45784</v>
      </c>
      <c r="E586" s="147">
        <f>IFERROR(__xludf.DUMMYFUNCTION("""COMPUTED_VALUE"""),45791.0)</f>
        <v>45791</v>
      </c>
      <c r="F586" s="147">
        <f>IFERROR(__xludf.DUMMYFUNCTION("""COMPUTED_VALUE"""),45812.0)</f>
        <v>45812</v>
      </c>
      <c r="G586" s="131" t="str">
        <f>IFERROR(__xludf.DUMMYFUNCTION("""COMPUTED_VALUE"""),"BRG12")</f>
        <v>BRG12</v>
      </c>
      <c r="H586" s="126">
        <f>IFERROR(__xludf.DUMMYFUNCTION("""COMPUTED_VALUE"""),2889.0)</f>
        <v>2889</v>
      </c>
      <c r="I586" s="126">
        <f>IFERROR(__xludf.DUMMYFUNCTION("""COMPUTED_VALUE"""),2977.0)</f>
        <v>2977</v>
      </c>
      <c r="J586" s="131">
        <f>IFERROR(__xludf.DUMMYFUNCTION("""COMPUTED_VALUE"""),45.0)</f>
        <v>45</v>
      </c>
      <c r="K586" s="131">
        <f>IFERROR(__xludf.DUMMYFUNCTION("""COMPUTED_VALUE"""),45.0)</f>
        <v>45</v>
      </c>
      <c r="L586" s="131">
        <f>IFERROR(__xludf.DUMMYFUNCTION("""COMPUTED_VALUE"""),2836.0)</f>
        <v>2836</v>
      </c>
      <c r="M586" s="131">
        <f>IFERROR(__xludf.DUMMYFUNCTION("""COMPUTED_VALUE"""),2854.0)</f>
        <v>2854</v>
      </c>
      <c r="N586" s="131">
        <f>IFERROR(__xludf.DUMMYFUNCTION("""COMPUTED_VALUE"""),10.0)</f>
        <v>10</v>
      </c>
      <c r="O586" s="131">
        <f>IFERROR(__xludf.DUMMYFUNCTION("""COMPUTED_VALUE"""),10.0)</f>
        <v>10</v>
      </c>
      <c r="P586" s="131">
        <f>IFERROR(__xludf.DUMMYFUNCTION("""COMPUTED_VALUE"""),332.0)</f>
        <v>332</v>
      </c>
      <c r="Q586" s="131"/>
      <c r="R586" s="131"/>
      <c r="T586" s="131" t="str">
        <f>IFERROR(__xludf.DUMMYFUNCTION("""COMPUTED_VALUE"""),"Y")</f>
        <v>Y</v>
      </c>
      <c r="U586" s="131" t="str">
        <f>IFERROR(__xludf.DUMMYFUNCTION("""COMPUTED_VALUE"""),"7")</f>
        <v>7</v>
      </c>
      <c r="V586" s="131" t="str">
        <f>IFERROR(__xludf.DUMMYFUNCTION("""COMPUTED_VALUE"""),"277-282")</f>
        <v>277-282</v>
      </c>
      <c r="W586" s="144">
        <f>IFERROR(__xludf.DUMMYFUNCTION("""COMPUTED_VALUE"""),45784.0)</f>
        <v>45784</v>
      </c>
      <c r="X586" s="144">
        <f>IFERROR(__xludf.DUMMYFUNCTION("""COMPUTED_VALUE"""),45791.0)</f>
        <v>45791</v>
      </c>
      <c r="Y586" s="144">
        <f>IFERROR(__xludf.DUMMYFUNCTION("""COMPUTED_VALUE"""),45812.0)</f>
        <v>45812</v>
      </c>
      <c r="Z586" s="131" t="str">
        <f>IFERROR(__xludf.DUMMYFUNCTION("""COMPUTED_VALUE"""),"D28-2L")</f>
        <v>D28-2L</v>
      </c>
      <c r="AA586" s="131">
        <f>IFERROR(__xludf.DUMMYFUNCTION("""COMPUTED_VALUE"""),249.0)</f>
        <v>249</v>
      </c>
      <c r="AB586" s="131">
        <f>IFERROR(__xludf.DUMMYFUNCTION("""COMPUTED_VALUE"""),449.0)</f>
        <v>449</v>
      </c>
      <c r="AC586" s="131">
        <f>IFERROR(__xludf.DUMMYFUNCTION("""COMPUTED_VALUE"""),101.0)</f>
        <v>101</v>
      </c>
      <c r="AD586" s="131">
        <f>IFERROR(__xludf.DUMMYFUNCTION("""COMPUTED_VALUE"""),101.0)</f>
        <v>101</v>
      </c>
      <c r="AE586" s="131">
        <f>IFERROR(__xludf.DUMMYFUNCTION("""COMPUTED_VALUE"""),230.0)</f>
        <v>230</v>
      </c>
      <c r="AF586" s="131">
        <f>IFERROR(__xludf.DUMMYFUNCTION("""COMPUTED_VALUE"""),246.0)</f>
        <v>246</v>
      </c>
      <c r="AG586" s="131">
        <f>IFERROR(__xludf.DUMMYFUNCTION("""COMPUTED_VALUE"""),9.0)</f>
        <v>9</v>
      </c>
      <c r="AH586" s="131">
        <f>IFERROR(__xludf.DUMMYFUNCTION("""COMPUTED_VALUE"""),9.0)</f>
        <v>9</v>
      </c>
      <c r="AI586" s="131">
        <f>IFERROR(__xludf.DUMMYFUNCTION("""COMPUTED_VALUE"""),333.0)</f>
        <v>333</v>
      </c>
      <c r="AJ586" s="131"/>
      <c r="AK586" s="131"/>
    </row>
    <row r="587">
      <c r="A587" s="124" t="str">
        <f>IFERROR(__xludf.DUMMYFUNCTION("""COMPUTED_VALUE"""),"Y")</f>
        <v>Y</v>
      </c>
      <c r="B587" s="131" t="str">
        <f>IFERROR(__xludf.DUMMYFUNCTION("""COMPUTED_VALUE"""),"7")</f>
        <v>7</v>
      </c>
      <c r="C587" s="131" t="str">
        <f>IFERROR(__xludf.DUMMYFUNCTION("""COMPUTED_VALUE"""),"277-282")</f>
        <v>277-282</v>
      </c>
      <c r="D587" s="144">
        <f>IFERROR(__xludf.DUMMYFUNCTION("""COMPUTED_VALUE"""),45784.0)</f>
        <v>45784</v>
      </c>
      <c r="E587" s="147">
        <f>IFERROR(__xludf.DUMMYFUNCTION("""COMPUTED_VALUE"""),45791.0)</f>
        <v>45791</v>
      </c>
      <c r="F587" s="147">
        <f>IFERROR(__xludf.DUMMYFUNCTION("""COMPUTED_VALUE"""),45812.0)</f>
        <v>45812</v>
      </c>
      <c r="G587" s="131" t="str">
        <f>IFERROR(__xludf.DUMMYFUNCTION("""COMPUTED_VALUE"""),"D28-2L")</f>
        <v>D28-2L</v>
      </c>
      <c r="H587" s="126">
        <f>IFERROR(__xludf.DUMMYFUNCTION("""COMPUTED_VALUE"""),249.0)</f>
        <v>249</v>
      </c>
      <c r="I587" s="126">
        <f>IFERROR(__xludf.DUMMYFUNCTION("""COMPUTED_VALUE"""),449.0)</f>
        <v>449</v>
      </c>
      <c r="J587" s="131">
        <f>IFERROR(__xludf.DUMMYFUNCTION("""COMPUTED_VALUE"""),101.0)</f>
        <v>101</v>
      </c>
      <c r="K587" s="131">
        <f>IFERROR(__xludf.DUMMYFUNCTION("""COMPUTED_VALUE"""),101.0)</f>
        <v>101</v>
      </c>
      <c r="L587" s="131">
        <f>IFERROR(__xludf.DUMMYFUNCTION("""COMPUTED_VALUE"""),230.0)</f>
        <v>230</v>
      </c>
      <c r="M587" s="131">
        <f>IFERROR(__xludf.DUMMYFUNCTION("""COMPUTED_VALUE"""),246.0)</f>
        <v>246</v>
      </c>
      <c r="N587" s="131">
        <f>IFERROR(__xludf.DUMMYFUNCTION("""COMPUTED_VALUE"""),9.0)</f>
        <v>9</v>
      </c>
      <c r="O587" s="131">
        <f>IFERROR(__xludf.DUMMYFUNCTION("""COMPUTED_VALUE"""),9.0)</f>
        <v>9</v>
      </c>
      <c r="P587" s="131">
        <f>IFERROR(__xludf.DUMMYFUNCTION("""COMPUTED_VALUE"""),333.0)</f>
        <v>333</v>
      </c>
      <c r="Q587" s="131"/>
      <c r="R587" s="131"/>
      <c r="T587" s="131" t="str">
        <f>IFERROR(__xludf.DUMMYFUNCTION("""COMPUTED_VALUE"""),"Y")</f>
        <v>Y</v>
      </c>
      <c r="U587" s="131" t="str">
        <f>IFERROR(__xludf.DUMMYFUNCTION("""COMPUTED_VALUE"""),"7")</f>
        <v>7</v>
      </c>
      <c r="V587" s="131" t="str">
        <f>IFERROR(__xludf.DUMMYFUNCTION("""COMPUTED_VALUE"""),"301-306")</f>
        <v>301-306</v>
      </c>
      <c r="W587" s="144">
        <f>IFERROR(__xludf.DUMMYFUNCTION("""COMPUTED_VALUE"""),45785.0)</f>
        <v>45785</v>
      </c>
      <c r="X587" s="144">
        <f>IFERROR(__xludf.DUMMYFUNCTION("""COMPUTED_VALUE"""),45792.0)</f>
        <v>45792</v>
      </c>
      <c r="Y587" s="144">
        <f>IFERROR(__xludf.DUMMYFUNCTION("""COMPUTED_VALUE"""),45813.0)</f>
        <v>45813</v>
      </c>
      <c r="Z587" s="131" t="str">
        <f>IFERROR(__xludf.DUMMYFUNCTION("""COMPUTED_VALUE"""),"BRG12")</f>
        <v>BRG12</v>
      </c>
      <c r="AA587" s="131">
        <f>IFERROR(__xludf.DUMMYFUNCTION("""COMPUTED_VALUE"""),2979.0)</f>
        <v>2979</v>
      </c>
      <c r="AB587" s="131">
        <f>IFERROR(__xludf.DUMMYFUNCTION("""COMPUTED_VALUE"""),3033.0)</f>
        <v>3033</v>
      </c>
      <c r="AC587" s="131">
        <f>IFERROR(__xludf.DUMMYFUNCTION("""COMPUTED_VALUE"""),28.0)</f>
        <v>28</v>
      </c>
      <c r="AD587" s="131">
        <f>IFERROR(__xludf.DUMMYFUNCTION("""COMPUTED_VALUE"""),28.0)</f>
        <v>28</v>
      </c>
      <c r="AE587" s="131">
        <f>IFERROR(__xludf.DUMMYFUNCTION("""COMPUTED_VALUE"""),2868.0)</f>
        <v>2868</v>
      </c>
      <c r="AF587" s="131">
        <f>IFERROR(__xludf.DUMMYFUNCTION("""COMPUTED_VALUE"""),2912.0)</f>
        <v>2912</v>
      </c>
      <c r="AG587" s="131">
        <f>IFERROR(__xludf.DUMMYFUNCTION("""COMPUTED_VALUE"""),23.0)</f>
        <v>23</v>
      </c>
      <c r="AH587" s="131">
        <f>IFERROR(__xludf.DUMMYFUNCTION("""COMPUTED_VALUE"""),23.0)</f>
        <v>23</v>
      </c>
      <c r="AI587" s="131">
        <f>IFERROR(__xludf.DUMMYFUNCTION("""COMPUTED_VALUE"""),334.0)</f>
        <v>334</v>
      </c>
      <c r="AJ587" s="131"/>
      <c r="AK587" s="131"/>
    </row>
    <row r="588">
      <c r="A588" s="124" t="str">
        <f>IFERROR(__xludf.DUMMYFUNCTION("""COMPUTED_VALUE"""),"Y")</f>
        <v>Y</v>
      </c>
      <c r="B588" s="131" t="str">
        <f>IFERROR(__xludf.DUMMYFUNCTION("""COMPUTED_VALUE"""),"7")</f>
        <v>7</v>
      </c>
      <c r="C588" s="131" t="str">
        <f>IFERROR(__xludf.DUMMYFUNCTION("""COMPUTED_VALUE"""),"301-306")</f>
        <v>301-306</v>
      </c>
      <c r="D588" s="144">
        <f>IFERROR(__xludf.DUMMYFUNCTION("""COMPUTED_VALUE"""),45785.0)</f>
        <v>45785</v>
      </c>
      <c r="E588" s="147">
        <f>IFERROR(__xludf.DUMMYFUNCTION("""COMPUTED_VALUE"""),45792.0)</f>
        <v>45792</v>
      </c>
      <c r="F588" s="147">
        <f>IFERROR(__xludf.DUMMYFUNCTION("""COMPUTED_VALUE"""),45813.0)</f>
        <v>45813</v>
      </c>
      <c r="G588" s="131" t="str">
        <f>IFERROR(__xludf.DUMMYFUNCTION("""COMPUTED_VALUE"""),"BRG12")</f>
        <v>BRG12</v>
      </c>
      <c r="H588" s="126">
        <f>IFERROR(__xludf.DUMMYFUNCTION("""COMPUTED_VALUE"""),2979.0)</f>
        <v>2979</v>
      </c>
      <c r="I588" s="126">
        <f>IFERROR(__xludf.DUMMYFUNCTION("""COMPUTED_VALUE"""),3033.0)</f>
        <v>3033</v>
      </c>
      <c r="J588" s="131">
        <f>IFERROR(__xludf.DUMMYFUNCTION("""COMPUTED_VALUE"""),28.0)</f>
        <v>28</v>
      </c>
      <c r="K588" s="131">
        <f>IFERROR(__xludf.DUMMYFUNCTION("""COMPUTED_VALUE"""),28.0)</f>
        <v>28</v>
      </c>
      <c r="L588" s="131">
        <f>IFERROR(__xludf.DUMMYFUNCTION("""COMPUTED_VALUE"""),2868.0)</f>
        <v>2868</v>
      </c>
      <c r="M588" s="131">
        <f>IFERROR(__xludf.DUMMYFUNCTION("""COMPUTED_VALUE"""),2912.0)</f>
        <v>2912</v>
      </c>
      <c r="N588" s="131">
        <f>IFERROR(__xludf.DUMMYFUNCTION("""COMPUTED_VALUE"""),23.0)</f>
        <v>23</v>
      </c>
      <c r="O588" s="131">
        <f>IFERROR(__xludf.DUMMYFUNCTION("""COMPUTED_VALUE"""),23.0)</f>
        <v>23</v>
      </c>
      <c r="P588" s="131">
        <f>IFERROR(__xludf.DUMMYFUNCTION("""COMPUTED_VALUE"""),334.0)</f>
        <v>334</v>
      </c>
      <c r="Q588" s="131"/>
      <c r="R588" s="131"/>
      <c r="T588" s="131" t="str">
        <f>IFERROR(__xludf.DUMMYFUNCTION("""COMPUTED_VALUE"""),"Y")</f>
        <v>Y</v>
      </c>
      <c r="U588" s="131" t="str">
        <f>IFERROR(__xludf.DUMMYFUNCTION("""COMPUTED_VALUE"""),"7")</f>
        <v>7</v>
      </c>
      <c r="V588" s="131" t="str">
        <f>IFERROR(__xludf.DUMMYFUNCTION("""COMPUTED_VALUE"""),"295-300")</f>
        <v>295-300</v>
      </c>
      <c r="W588" s="144">
        <f>IFERROR(__xludf.DUMMYFUNCTION("""COMPUTED_VALUE"""),45785.0)</f>
        <v>45785</v>
      </c>
      <c r="X588" s="144">
        <f>IFERROR(__xludf.DUMMYFUNCTION("""COMPUTED_VALUE"""),45792.0)</f>
        <v>45792</v>
      </c>
      <c r="Y588" s="144">
        <f>IFERROR(__xludf.DUMMYFUNCTION("""COMPUTED_VALUE"""),45813.0)</f>
        <v>45813</v>
      </c>
      <c r="Z588" s="131" t="str">
        <f>IFERROR(__xludf.DUMMYFUNCTION("""COMPUTED_VALUE"""),"D28-2L")</f>
        <v>D28-2L</v>
      </c>
      <c r="AA588" s="131">
        <f>IFERROR(__xludf.DUMMYFUNCTION("""COMPUTED_VALUE"""),451.0)</f>
        <v>451</v>
      </c>
      <c r="AB588" s="131">
        <f>IFERROR(__xludf.DUMMYFUNCTION("""COMPUTED_VALUE"""),463.0)</f>
        <v>463</v>
      </c>
      <c r="AC588" s="131">
        <f>IFERROR(__xludf.DUMMYFUNCTION("""COMPUTED_VALUE"""),7.0)</f>
        <v>7</v>
      </c>
      <c r="AD588" s="131">
        <f>IFERROR(__xludf.DUMMYFUNCTION("""COMPUTED_VALUE"""),7.0)</f>
        <v>7</v>
      </c>
      <c r="AE588" s="131">
        <f>IFERROR(__xludf.DUMMYFUNCTION("""COMPUTED_VALUE"""),248.0)</f>
        <v>248</v>
      </c>
      <c r="AF588" s="131">
        <f>IFERROR(__xludf.DUMMYFUNCTION("""COMPUTED_VALUE"""),268.0)</f>
        <v>268</v>
      </c>
      <c r="AG588" s="131">
        <f>IFERROR(__xludf.DUMMYFUNCTION("""COMPUTED_VALUE"""),11.0)</f>
        <v>11</v>
      </c>
      <c r="AH588" s="131">
        <f>IFERROR(__xludf.DUMMYFUNCTION("""COMPUTED_VALUE"""),11.0)</f>
        <v>11</v>
      </c>
      <c r="AI588" s="131">
        <f>IFERROR(__xludf.DUMMYFUNCTION("""COMPUTED_VALUE"""),335.0)</f>
        <v>335</v>
      </c>
      <c r="AJ588" s="131"/>
      <c r="AK588" s="131"/>
    </row>
    <row r="589">
      <c r="A589" s="124" t="str">
        <f>IFERROR(__xludf.DUMMYFUNCTION("""COMPUTED_VALUE"""),"Y")</f>
        <v>Y</v>
      </c>
      <c r="B589" s="131" t="str">
        <f>IFERROR(__xludf.DUMMYFUNCTION("""COMPUTED_VALUE"""),"7")</f>
        <v>7</v>
      </c>
      <c r="C589" s="131" t="str">
        <f>IFERROR(__xludf.DUMMYFUNCTION("""COMPUTED_VALUE"""),"295-300")</f>
        <v>295-300</v>
      </c>
      <c r="D589" s="144">
        <f>IFERROR(__xludf.DUMMYFUNCTION("""COMPUTED_VALUE"""),45785.0)</f>
        <v>45785</v>
      </c>
      <c r="E589" s="147">
        <f>IFERROR(__xludf.DUMMYFUNCTION("""COMPUTED_VALUE"""),45792.0)</f>
        <v>45792</v>
      </c>
      <c r="F589" s="147">
        <f>IFERROR(__xludf.DUMMYFUNCTION("""COMPUTED_VALUE"""),45813.0)</f>
        <v>45813</v>
      </c>
      <c r="G589" s="131" t="str">
        <f>IFERROR(__xludf.DUMMYFUNCTION("""COMPUTED_VALUE"""),"D28-2L")</f>
        <v>D28-2L</v>
      </c>
      <c r="H589" s="126">
        <f>IFERROR(__xludf.DUMMYFUNCTION("""COMPUTED_VALUE"""),451.0)</f>
        <v>451</v>
      </c>
      <c r="I589" s="126">
        <f>IFERROR(__xludf.DUMMYFUNCTION("""COMPUTED_VALUE"""),463.0)</f>
        <v>463</v>
      </c>
      <c r="J589" s="131">
        <f>IFERROR(__xludf.DUMMYFUNCTION("""COMPUTED_VALUE"""),7.0)</f>
        <v>7</v>
      </c>
      <c r="K589" s="131">
        <f>IFERROR(__xludf.DUMMYFUNCTION("""COMPUTED_VALUE"""),7.0)</f>
        <v>7</v>
      </c>
      <c r="L589" s="131">
        <f>IFERROR(__xludf.DUMMYFUNCTION("""COMPUTED_VALUE"""),248.0)</f>
        <v>248</v>
      </c>
      <c r="M589" s="131">
        <f>IFERROR(__xludf.DUMMYFUNCTION("""COMPUTED_VALUE"""),268.0)</f>
        <v>268</v>
      </c>
      <c r="N589" s="131">
        <f>IFERROR(__xludf.DUMMYFUNCTION("""COMPUTED_VALUE"""),11.0)</f>
        <v>11</v>
      </c>
      <c r="O589" s="131">
        <f>IFERROR(__xludf.DUMMYFUNCTION("""COMPUTED_VALUE"""),11.0)</f>
        <v>11</v>
      </c>
      <c r="P589" s="131">
        <f>IFERROR(__xludf.DUMMYFUNCTION("""COMPUTED_VALUE"""),335.0)</f>
        <v>335</v>
      </c>
      <c r="Q589" s="131"/>
      <c r="R589" s="131"/>
      <c r="T589" s="131" t="str">
        <f>IFERROR(__xludf.DUMMYFUNCTION("""COMPUTED_VALUE"""),"Y")</f>
        <v>Y</v>
      </c>
      <c r="U589" s="131" t="str">
        <f>IFERROR(__xludf.DUMMYFUNCTION("""COMPUTED_VALUE"""),"7")</f>
        <v>7</v>
      </c>
      <c r="V589" s="131" t="str">
        <f>IFERROR(__xludf.DUMMYFUNCTION("""COMPUTED_VALUE"""),"295-300")</f>
        <v>295-300</v>
      </c>
      <c r="W589" s="144">
        <f>IFERROR(__xludf.DUMMYFUNCTION("""COMPUTED_VALUE"""),45785.0)</f>
        <v>45785</v>
      </c>
      <c r="X589" s="144">
        <f>IFERROR(__xludf.DUMMYFUNCTION("""COMPUTED_VALUE"""),45792.0)</f>
        <v>45792</v>
      </c>
      <c r="Y589" s="144">
        <f>IFERROR(__xludf.DUMMYFUNCTION("""COMPUTED_VALUE"""),45813.0)</f>
        <v>45813</v>
      </c>
      <c r="Z589" s="131" t="str">
        <f>IFERROR(__xludf.DUMMYFUNCTION("""COMPUTED_VALUE"""),"D28-2L")</f>
        <v>D28-2L</v>
      </c>
      <c r="AA589" s="131"/>
      <c r="AB589" s="131"/>
      <c r="AC589" s="131"/>
      <c r="AD589" s="131"/>
      <c r="AE589" s="131">
        <f>IFERROR(__xludf.DUMMYFUNCTION("""COMPUTED_VALUE"""),272.0)</f>
        <v>272</v>
      </c>
      <c r="AF589" s="131">
        <f>IFERROR(__xludf.DUMMYFUNCTION("""COMPUTED_VALUE"""),318.0)</f>
        <v>318</v>
      </c>
      <c r="AG589" s="131">
        <f>IFERROR(__xludf.DUMMYFUNCTION("""COMPUTED_VALUE"""),24.0)</f>
        <v>24</v>
      </c>
      <c r="AH589" s="131">
        <f>IFERROR(__xludf.DUMMYFUNCTION("""COMPUTED_VALUE"""),24.0)</f>
        <v>24</v>
      </c>
      <c r="AI589" s="131">
        <f>IFERROR(__xludf.DUMMYFUNCTION("""COMPUTED_VALUE"""),335.0)</f>
        <v>335</v>
      </c>
      <c r="AJ589" s="131"/>
      <c r="AK589" s="131"/>
    </row>
    <row r="590">
      <c r="A590" s="124" t="str">
        <f>IFERROR(__xludf.DUMMYFUNCTION("""COMPUTED_VALUE"""),"Y")</f>
        <v>Y</v>
      </c>
      <c r="B590" s="131" t="str">
        <f>IFERROR(__xludf.DUMMYFUNCTION("""COMPUTED_VALUE"""),"7")</f>
        <v>7</v>
      </c>
      <c r="C590" s="131" t="str">
        <f>IFERROR(__xludf.DUMMYFUNCTION("""COMPUTED_VALUE"""),"295-300")</f>
        <v>295-300</v>
      </c>
      <c r="D590" s="144">
        <f>IFERROR(__xludf.DUMMYFUNCTION("""COMPUTED_VALUE"""),45785.0)</f>
        <v>45785</v>
      </c>
      <c r="E590" s="147">
        <f>IFERROR(__xludf.DUMMYFUNCTION("""COMPUTED_VALUE"""),45792.0)</f>
        <v>45792</v>
      </c>
      <c r="F590" s="147">
        <f>IFERROR(__xludf.DUMMYFUNCTION("""COMPUTED_VALUE"""),45813.0)</f>
        <v>45813</v>
      </c>
      <c r="G590" s="131" t="str">
        <f>IFERROR(__xludf.DUMMYFUNCTION("""COMPUTED_VALUE"""),"D28-2L")</f>
        <v>D28-2L</v>
      </c>
      <c r="H590" s="126"/>
      <c r="I590" s="126"/>
      <c r="J590" s="131"/>
      <c r="K590" s="131"/>
      <c r="L590" s="131">
        <f>IFERROR(__xludf.DUMMYFUNCTION("""COMPUTED_VALUE"""),272.0)</f>
        <v>272</v>
      </c>
      <c r="M590" s="131">
        <f>IFERROR(__xludf.DUMMYFUNCTION("""COMPUTED_VALUE"""),318.0)</f>
        <v>318</v>
      </c>
      <c r="N590" s="131">
        <f>IFERROR(__xludf.DUMMYFUNCTION("""COMPUTED_VALUE"""),24.0)</f>
        <v>24</v>
      </c>
      <c r="O590" s="131">
        <f>IFERROR(__xludf.DUMMYFUNCTION("""COMPUTED_VALUE"""),24.0)</f>
        <v>24</v>
      </c>
      <c r="P590" s="131">
        <f>IFERROR(__xludf.DUMMYFUNCTION("""COMPUTED_VALUE"""),335.0)</f>
        <v>335</v>
      </c>
      <c r="Q590" s="131"/>
      <c r="R590" s="131"/>
      <c r="T590" s="131" t="str">
        <f>IFERROR(__xludf.DUMMYFUNCTION("""COMPUTED_VALUE"""),"Y")</f>
        <v>Y</v>
      </c>
      <c r="U590" s="131" t="str">
        <f>IFERROR(__xludf.DUMMYFUNCTION("""COMPUTED_VALUE"""),"7")</f>
        <v>7</v>
      </c>
      <c r="V590" s="131" t="str">
        <f>IFERROR(__xludf.DUMMYFUNCTION("""COMPUTED_VALUE"""),"295-300")</f>
        <v>295-300</v>
      </c>
      <c r="W590" s="144">
        <f>IFERROR(__xludf.DUMMYFUNCTION("""COMPUTED_VALUE"""),45785.0)</f>
        <v>45785</v>
      </c>
      <c r="X590" s="144">
        <f>IFERROR(__xludf.DUMMYFUNCTION("""COMPUTED_VALUE"""),45792.0)</f>
        <v>45792</v>
      </c>
      <c r="Y590" s="144">
        <f>IFERROR(__xludf.DUMMYFUNCTION("""COMPUTED_VALUE"""),45813.0)</f>
        <v>45813</v>
      </c>
      <c r="Z590" s="131" t="str">
        <f>IFERROR(__xludf.DUMMYFUNCTION("""COMPUTED_VALUE"""),"D28-2L")</f>
        <v>D28-2L</v>
      </c>
      <c r="AA590" s="131"/>
      <c r="AB590" s="131"/>
      <c r="AC590" s="131"/>
      <c r="AD590" s="131"/>
      <c r="AE590" s="131">
        <f>IFERROR(__xludf.DUMMYFUNCTION("""COMPUTED_VALUE"""),322.0)</f>
        <v>322</v>
      </c>
      <c r="AF590" s="131">
        <f>IFERROR(__xludf.DUMMYFUNCTION("""COMPUTED_VALUE"""),370.0)</f>
        <v>370</v>
      </c>
      <c r="AG590" s="131">
        <f>IFERROR(__xludf.DUMMYFUNCTION("""COMPUTED_VALUE"""),25.0)</f>
        <v>25</v>
      </c>
      <c r="AH590" s="131">
        <f>IFERROR(__xludf.DUMMYFUNCTION("""COMPUTED_VALUE"""),25.0)</f>
        <v>25</v>
      </c>
      <c r="AI590" s="131">
        <f>IFERROR(__xludf.DUMMYFUNCTION("""COMPUTED_VALUE"""),335.0)</f>
        <v>335</v>
      </c>
      <c r="AJ590" s="131"/>
      <c r="AK590" s="131"/>
    </row>
    <row r="591">
      <c r="A591" s="124" t="str">
        <f>IFERROR(__xludf.DUMMYFUNCTION("""COMPUTED_VALUE"""),"Y")</f>
        <v>Y</v>
      </c>
      <c r="B591" s="131" t="str">
        <f>IFERROR(__xludf.DUMMYFUNCTION("""COMPUTED_VALUE"""),"7")</f>
        <v>7</v>
      </c>
      <c r="C591" s="131" t="str">
        <f>IFERROR(__xludf.DUMMYFUNCTION("""COMPUTED_VALUE"""),"295-300")</f>
        <v>295-300</v>
      </c>
      <c r="D591" s="144">
        <f>IFERROR(__xludf.DUMMYFUNCTION("""COMPUTED_VALUE"""),45785.0)</f>
        <v>45785</v>
      </c>
      <c r="E591" s="147">
        <f>IFERROR(__xludf.DUMMYFUNCTION("""COMPUTED_VALUE"""),45792.0)</f>
        <v>45792</v>
      </c>
      <c r="F591" s="147">
        <f>IFERROR(__xludf.DUMMYFUNCTION("""COMPUTED_VALUE"""),45813.0)</f>
        <v>45813</v>
      </c>
      <c r="G591" s="131" t="str">
        <f>IFERROR(__xludf.DUMMYFUNCTION("""COMPUTED_VALUE"""),"D28-2L")</f>
        <v>D28-2L</v>
      </c>
      <c r="H591" s="126"/>
      <c r="I591" s="126"/>
      <c r="J591" s="131"/>
      <c r="K591" s="131"/>
      <c r="L591" s="131">
        <f>IFERROR(__xludf.DUMMYFUNCTION("""COMPUTED_VALUE"""),322.0)</f>
        <v>322</v>
      </c>
      <c r="M591" s="131">
        <f>IFERROR(__xludf.DUMMYFUNCTION("""COMPUTED_VALUE"""),370.0)</f>
        <v>370</v>
      </c>
      <c r="N591" s="131">
        <f>IFERROR(__xludf.DUMMYFUNCTION("""COMPUTED_VALUE"""),25.0)</f>
        <v>25</v>
      </c>
      <c r="O591" s="131">
        <f>IFERROR(__xludf.DUMMYFUNCTION("""COMPUTED_VALUE"""),25.0)</f>
        <v>25</v>
      </c>
      <c r="P591" s="131">
        <f>IFERROR(__xludf.DUMMYFUNCTION("""COMPUTED_VALUE"""),335.0)</f>
        <v>335</v>
      </c>
      <c r="Q591" s="131"/>
      <c r="R591" s="131"/>
      <c r="T591" s="131" t="str">
        <f>IFERROR(__xludf.DUMMYFUNCTION("""COMPUTED_VALUE"""),"Y")</f>
        <v>Y</v>
      </c>
      <c r="U591" s="131" t="str">
        <f>IFERROR(__xludf.DUMMYFUNCTION("""COMPUTED_VALUE"""),"7")</f>
        <v>7</v>
      </c>
      <c r="V591" s="131" t="str">
        <f>IFERROR(__xludf.DUMMYFUNCTION("""COMPUTED_VALUE"""),"295-300")</f>
        <v>295-300</v>
      </c>
      <c r="W591" s="144">
        <f>IFERROR(__xludf.DUMMYFUNCTION("""COMPUTED_VALUE"""),45785.0)</f>
        <v>45785</v>
      </c>
      <c r="X591" s="144">
        <f>IFERROR(__xludf.DUMMYFUNCTION("""COMPUTED_VALUE"""),45792.0)</f>
        <v>45792</v>
      </c>
      <c r="Y591" s="144">
        <f>IFERROR(__xludf.DUMMYFUNCTION("""COMPUTED_VALUE"""),45813.0)</f>
        <v>45813</v>
      </c>
      <c r="Z591" s="131" t="str">
        <f>IFERROR(__xludf.DUMMYFUNCTION("""COMPUTED_VALUE"""),"D28-2L")</f>
        <v>D28-2L</v>
      </c>
      <c r="AA591" s="131"/>
      <c r="AB591" s="131"/>
      <c r="AC591" s="131"/>
      <c r="AD591" s="131"/>
      <c r="AE591" s="131">
        <f>IFERROR(__xludf.DUMMYFUNCTION("""COMPUTED_VALUE"""),374.0)</f>
        <v>374</v>
      </c>
      <c r="AF591" s="131">
        <f>IFERROR(__xludf.DUMMYFUNCTION("""COMPUTED_VALUE"""),414.0)</f>
        <v>414</v>
      </c>
      <c r="AG591" s="131">
        <f>IFERROR(__xludf.DUMMYFUNCTION("""COMPUTED_VALUE"""),21.0)</f>
        <v>21</v>
      </c>
      <c r="AH591" s="131">
        <f>IFERROR(__xludf.DUMMYFUNCTION("""COMPUTED_VALUE"""),21.0)</f>
        <v>21</v>
      </c>
      <c r="AI591" s="131">
        <f>IFERROR(__xludf.DUMMYFUNCTION("""COMPUTED_VALUE"""),335.0)</f>
        <v>335</v>
      </c>
      <c r="AJ591" s="131"/>
      <c r="AK591" s="131"/>
    </row>
    <row r="592">
      <c r="A592" s="124" t="str">
        <f>IFERROR(__xludf.DUMMYFUNCTION("""COMPUTED_VALUE"""),"Y")</f>
        <v>Y</v>
      </c>
      <c r="B592" s="131" t="str">
        <f>IFERROR(__xludf.DUMMYFUNCTION("""COMPUTED_VALUE"""),"7")</f>
        <v>7</v>
      </c>
      <c r="C592" s="131" t="str">
        <f>IFERROR(__xludf.DUMMYFUNCTION("""COMPUTED_VALUE"""),"295-300")</f>
        <v>295-300</v>
      </c>
      <c r="D592" s="144">
        <f>IFERROR(__xludf.DUMMYFUNCTION("""COMPUTED_VALUE"""),45785.0)</f>
        <v>45785</v>
      </c>
      <c r="E592" s="147">
        <f>IFERROR(__xludf.DUMMYFUNCTION("""COMPUTED_VALUE"""),45792.0)</f>
        <v>45792</v>
      </c>
      <c r="F592" s="147">
        <f>IFERROR(__xludf.DUMMYFUNCTION("""COMPUTED_VALUE"""),45813.0)</f>
        <v>45813</v>
      </c>
      <c r="G592" s="131" t="str">
        <f>IFERROR(__xludf.DUMMYFUNCTION("""COMPUTED_VALUE"""),"D28-2L")</f>
        <v>D28-2L</v>
      </c>
      <c r="H592" s="126"/>
      <c r="I592" s="126"/>
      <c r="J592" s="131"/>
      <c r="K592" s="131"/>
      <c r="L592" s="131">
        <f>IFERROR(__xludf.DUMMYFUNCTION("""COMPUTED_VALUE"""),374.0)</f>
        <v>374</v>
      </c>
      <c r="M592" s="131">
        <f>IFERROR(__xludf.DUMMYFUNCTION("""COMPUTED_VALUE"""),414.0)</f>
        <v>414</v>
      </c>
      <c r="N592" s="131">
        <f>IFERROR(__xludf.DUMMYFUNCTION("""COMPUTED_VALUE"""),21.0)</f>
        <v>21</v>
      </c>
      <c r="O592" s="131">
        <f>IFERROR(__xludf.DUMMYFUNCTION("""COMPUTED_VALUE"""),21.0)</f>
        <v>21</v>
      </c>
      <c r="P592" s="131">
        <f>IFERROR(__xludf.DUMMYFUNCTION("""COMPUTED_VALUE"""),335.0)</f>
        <v>335</v>
      </c>
      <c r="Q592" s="131"/>
      <c r="R592" s="131"/>
      <c r="T592" s="131" t="str">
        <f>IFERROR(__xludf.DUMMYFUNCTION("""COMPUTED_VALUE"""),"Y")</f>
        <v>Y</v>
      </c>
      <c r="U592" s="131" t="str">
        <f>IFERROR(__xludf.DUMMYFUNCTION("""COMPUTED_VALUE"""),"7")</f>
        <v>7</v>
      </c>
      <c r="V592" s="131" t="str">
        <f>IFERROR(__xludf.DUMMYFUNCTION("""COMPUTED_VALUE"""),"325-330 خطا مطبعي بالترتيب بنلات")</f>
        <v>325-330 خطا مطبعي بالترتيب بنلات</v>
      </c>
      <c r="W592" s="144">
        <f>IFERROR(__xludf.DUMMYFUNCTION("""COMPUTED_VALUE"""),45787.0)</f>
        <v>45787</v>
      </c>
      <c r="X592" s="144">
        <f>IFERROR(__xludf.DUMMYFUNCTION("""COMPUTED_VALUE"""),45794.0)</f>
        <v>45794</v>
      </c>
      <c r="Y592" s="144">
        <f>IFERROR(__xludf.DUMMYFUNCTION("""COMPUTED_VALUE"""),45815.0)</f>
        <v>45815</v>
      </c>
      <c r="Z592" s="131" t="str">
        <f>IFERROR(__xludf.DUMMYFUNCTION("""COMPUTED_VALUE"""),"BRG12")</f>
        <v>BRG12</v>
      </c>
      <c r="AA592" s="131">
        <f>IFERROR(__xludf.DUMMYFUNCTION("""COMPUTED_VALUE"""),3035.0)</f>
        <v>3035</v>
      </c>
      <c r="AB592" s="131">
        <f>IFERROR(__xludf.DUMMYFUNCTION("""COMPUTED_VALUE"""),3073.0)</f>
        <v>3073</v>
      </c>
      <c r="AC592" s="131">
        <f>IFERROR(__xludf.DUMMYFUNCTION("""COMPUTED_VALUE"""),20.0)</f>
        <v>20</v>
      </c>
      <c r="AD592" s="131">
        <f>IFERROR(__xludf.DUMMYFUNCTION("""COMPUTED_VALUE"""),20.0)</f>
        <v>20</v>
      </c>
      <c r="AE592" s="131">
        <f>IFERROR(__xludf.DUMMYFUNCTION("""COMPUTED_VALUE"""),2914.0)</f>
        <v>2914</v>
      </c>
      <c r="AF592" s="131">
        <f>IFERROR(__xludf.DUMMYFUNCTION("""COMPUTED_VALUE"""),2980.0)</f>
        <v>2980</v>
      </c>
      <c r="AG592" s="131">
        <f>IFERROR(__xludf.DUMMYFUNCTION("""COMPUTED_VALUE"""),34.0)</f>
        <v>34</v>
      </c>
      <c r="AH592" s="131">
        <f>IFERROR(__xludf.DUMMYFUNCTION("""COMPUTED_VALUE"""),34.0)</f>
        <v>34</v>
      </c>
      <c r="AI592" s="131">
        <f>IFERROR(__xludf.DUMMYFUNCTION("""COMPUTED_VALUE"""),336.0)</f>
        <v>336</v>
      </c>
      <c r="AJ592" s="131" t="str">
        <f>IFERROR(__xludf.DUMMYFUNCTION("""COMPUTED_VALUE"""),"S43,G46")</f>
        <v>S43,G46</v>
      </c>
      <c r="AK592" s="131">
        <f>IFERROR(__xludf.DUMMYFUNCTION("""COMPUTED_VALUE"""),49.68)</f>
        <v>49.68</v>
      </c>
    </row>
    <row r="593">
      <c r="A593" s="124" t="str">
        <f>IFERROR(__xludf.DUMMYFUNCTION("""COMPUTED_VALUE"""),"Y")</f>
        <v>Y</v>
      </c>
      <c r="B593" s="131" t="str">
        <f>IFERROR(__xludf.DUMMYFUNCTION("""COMPUTED_VALUE"""),"7")</f>
        <v>7</v>
      </c>
      <c r="C593" s="131" t="str">
        <f>IFERROR(__xludf.DUMMYFUNCTION("""COMPUTED_VALUE"""),"325-330 خطا مطبعي بالترتيب بنلات")</f>
        <v>325-330 خطا مطبعي بالترتيب بنلات</v>
      </c>
      <c r="D593" s="144">
        <f>IFERROR(__xludf.DUMMYFUNCTION("""COMPUTED_VALUE"""),45787.0)</f>
        <v>45787</v>
      </c>
      <c r="E593" s="147">
        <f>IFERROR(__xludf.DUMMYFUNCTION("""COMPUTED_VALUE"""),45794.0)</f>
        <v>45794</v>
      </c>
      <c r="F593" s="147">
        <f>IFERROR(__xludf.DUMMYFUNCTION("""COMPUTED_VALUE"""),45815.0)</f>
        <v>45815</v>
      </c>
      <c r="G593" s="131" t="str">
        <f>IFERROR(__xludf.DUMMYFUNCTION("""COMPUTED_VALUE"""),"BRG12")</f>
        <v>BRG12</v>
      </c>
      <c r="H593" s="126">
        <f>IFERROR(__xludf.DUMMYFUNCTION("""COMPUTED_VALUE"""),3035.0)</f>
        <v>3035</v>
      </c>
      <c r="I593" s="126">
        <f>IFERROR(__xludf.DUMMYFUNCTION("""COMPUTED_VALUE"""),3073.0)</f>
        <v>3073</v>
      </c>
      <c r="J593" s="131">
        <f>IFERROR(__xludf.DUMMYFUNCTION("""COMPUTED_VALUE"""),20.0)</f>
        <v>20</v>
      </c>
      <c r="K593" s="131">
        <f>IFERROR(__xludf.DUMMYFUNCTION("""COMPUTED_VALUE"""),20.0)</f>
        <v>20</v>
      </c>
      <c r="L593" s="131">
        <f>IFERROR(__xludf.DUMMYFUNCTION("""COMPUTED_VALUE"""),2914.0)</f>
        <v>2914</v>
      </c>
      <c r="M593" s="131">
        <f>IFERROR(__xludf.DUMMYFUNCTION("""COMPUTED_VALUE"""),2980.0)</f>
        <v>2980</v>
      </c>
      <c r="N593" s="131">
        <f>IFERROR(__xludf.DUMMYFUNCTION("""COMPUTED_VALUE"""),34.0)</f>
        <v>34</v>
      </c>
      <c r="O593" s="131">
        <f>IFERROR(__xludf.DUMMYFUNCTION("""COMPUTED_VALUE"""),34.0)</f>
        <v>34</v>
      </c>
      <c r="P593" s="131">
        <f>IFERROR(__xludf.DUMMYFUNCTION("""COMPUTED_VALUE"""),336.0)</f>
        <v>336</v>
      </c>
      <c r="Q593" s="131" t="str">
        <f>IFERROR(__xludf.DUMMYFUNCTION("""COMPUTED_VALUE"""),"S43,G46")</f>
        <v>S43,G46</v>
      </c>
      <c r="R593" s="131">
        <f>IFERROR(__xludf.DUMMYFUNCTION("""COMPUTED_VALUE"""),49.68)</f>
        <v>49.68</v>
      </c>
      <c r="T593" s="131" t="str">
        <f>IFERROR(__xludf.DUMMYFUNCTION("""COMPUTED_VALUE"""),"Y")</f>
        <v>Y</v>
      </c>
      <c r="U593" s="131" t="str">
        <f>IFERROR(__xludf.DUMMYFUNCTION("""COMPUTED_VALUE"""),"7")</f>
        <v>7</v>
      </c>
      <c r="V593" s="131" t="str">
        <f>IFERROR(__xludf.DUMMYFUNCTION("""COMPUTED_VALUE"""),"337-342")</f>
        <v>337-342</v>
      </c>
      <c r="W593" s="144">
        <f>IFERROR(__xludf.DUMMYFUNCTION("""COMPUTED_VALUE"""),45787.0)</f>
        <v>45787</v>
      </c>
      <c r="X593" s="144">
        <f>IFERROR(__xludf.DUMMYFUNCTION("""COMPUTED_VALUE"""),45794.0)</f>
        <v>45794</v>
      </c>
      <c r="Y593" s="144">
        <f>IFERROR(__xludf.DUMMYFUNCTION("""COMPUTED_VALUE"""),45815.0)</f>
        <v>45815</v>
      </c>
      <c r="Z593" s="131" t="str">
        <f>IFERROR(__xludf.DUMMYFUNCTION("""COMPUTED_VALUE"""),"D32-3R")</f>
        <v>D32-3R</v>
      </c>
      <c r="AA593" s="131">
        <f>IFERROR(__xludf.DUMMYFUNCTION("""COMPUTED_VALUE"""),1.0)</f>
        <v>1</v>
      </c>
      <c r="AB593" s="131">
        <f>IFERROR(__xludf.DUMMYFUNCTION("""COMPUTED_VALUE"""),91.0)</f>
        <v>91</v>
      </c>
      <c r="AC593" s="131">
        <f>IFERROR(__xludf.DUMMYFUNCTION("""COMPUTED_VALUE"""),46.0)</f>
        <v>46</v>
      </c>
      <c r="AD593" s="131">
        <f>IFERROR(__xludf.DUMMYFUNCTION("""COMPUTED_VALUE"""),46.0)</f>
        <v>46</v>
      </c>
      <c r="AE593" s="131"/>
      <c r="AF593" s="131"/>
      <c r="AG593" s="131"/>
      <c r="AH593" s="131"/>
      <c r="AI593" s="131">
        <f>IFERROR(__xludf.DUMMYFUNCTION("""COMPUTED_VALUE"""),337.0)</f>
        <v>337</v>
      </c>
      <c r="AJ593" s="131" t="str">
        <f>IFERROR(__xludf.DUMMYFUNCTION("""COMPUTED_VALUE"""),"S43,G46")</f>
        <v>S43,G46</v>
      </c>
      <c r="AK593" s="131">
        <f>IFERROR(__xludf.DUMMYFUNCTION("""COMPUTED_VALUE"""),13.8)</f>
        <v>13.8</v>
      </c>
    </row>
    <row r="594">
      <c r="A594" s="124" t="str">
        <f>IFERROR(__xludf.DUMMYFUNCTION("""COMPUTED_VALUE"""),"Y")</f>
        <v>Y</v>
      </c>
      <c r="B594" s="131" t="str">
        <f>IFERROR(__xludf.DUMMYFUNCTION("""COMPUTED_VALUE"""),"7")</f>
        <v>7</v>
      </c>
      <c r="C594" s="131" t="str">
        <f>IFERROR(__xludf.DUMMYFUNCTION("""COMPUTED_VALUE"""),"337-342")</f>
        <v>337-342</v>
      </c>
      <c r="D594" s="144">
        <f>IFERROR(__xludf.DUMMYFUNCTION("""COMPUTED_VALUE"""),45787.0)</f>
        <v>45787</v>
      </c>
      <c r="E594" s="147">
        <f>IFERROR(__xludf.DUMMYFUNCTION("""COMPUTED_VALUE"""),45794.0)</f>
        <v>45794</v>
      </c>
      <c r="F594" s="147">
        <f>IFERROR(__xludf.DUMMYFUNCTION("""COMPUTED_VALUE"""),45815.0)</f>
        <v>45815</v>
      </c>
      <c r="G594" s="131" t="str">
        <f>IFERROR(__xludf.DUMMYFUNCTION("""COMPUTED_VALUE"""),"D32-3R")</f>
        <v>D32-3R</v>
      </c>
      <c r="H594" s="126">
        <f>IFERROR(__xludf.DUMMYFUNCTION("""COMPUTED_VALUE"""),1.0)</f>
        <v>1</v>
      </c>
      <c r="I594" s="126">
        <f>IFERROR(__xludf.DUMMYFUNCTION("""COMPUTED_VALUE"""),91.0)</f>
        <v>91</v>
      </c>
      <c r="J594" s="131">
        <f>IFERROR(__xludf.DUMMYFUNCTION("""COMPUTED_VALUE"""),46.0)</f>
        <v>46</v>
      </c>
      <c r="K594" s="131">
        <f>IFERROR(__xludf.DUMMYFUNCTION("""COMPUTED_VALUE"""),46.0)</f>
        <v>46</v>
      </c>
      <c r="L594" s="131"/>
      <c r="M594" s="131"/>
      <c r="N594" s="131"/>
      <c r="O594" s="131"/>
      <c r="P594" s="131">
        <f>IFERROR(__xludf.DUMMYFUNCTION("""COMPUTED_VALUE"""),337.0)</f>
        <v>337</v>
      </c>
      <c r="Q594" s="131" t="str">
        <f>IFERROR(__xludf.DUMMYFUNCTION("""COMPUTED_VALUE"""),"S43,G46")</f>
        <v>S43,G46</v>
      </c>
      <c r="R594" s="131">
        <f>IFERROR(__xludf.DUMMYFUNCTION("""COMPUTED_VALUE"""),13.8)</f>
        <v>13.8</v>
      </c>
      <c r="T594" s="131" t="str">
        <f>IFERROR(__xludf.DUMMYFUNCTION("""COMPUTED_VALUE"""),"Y")</f>
        <v>Y</v>
      </c>
      <c r="U594" s="131" t="str">
        <f>IFERROR(__xludf.DUMMYFUNCTION("""COMPUTED_VALUE"""),"7")</f>
        <v>7</v>
      </c>
      <c r="V594" s="131" t="str">
        <f>IFERROR(__xludf.DUMMYFUNCTION("""COMPUTED_VALUE"""),"319-324")</f>
        <v>319-324</v>
      </c>
      <c r="W594" s="144">
        <f>IFERROR(__xludf.DUMMYFUNCTION("""COMPUTED_VALUE"""),45787.0)</f>
        <v>45787</v>
      </c>
      <c r="X594" s="144">
        <f>IFERROR(__xludf.DUMMYFUNCTION("""COMPUTED_VALUE"""),45794.0)</f>
        <v>45794</v>
      </c>
      <c r="Y594" s="144">
        <f>IFERROR(__xludf.DUMMYFUNCTION("""COMPUTED_VALUE"""),45815.0)</f>
        <v>45815</v>
      </c>
      <c r="Z594" s="131" t="str">
        <f>IFERROR(__xludf.DUMMYFUNCTION("""COMPUTED_VALUE"""),"D28-2L")</f>
        <v>D28-2L</v>
      </c>
      <c r="AA594" s="131"/>
      <c r="AB594" s="131"/>
      <c r="AC594" s="131"/>
      <c r="AD594" s="131"/>
      <c r="AE594" s="131">
        <f>IFERROR(__xludf.DUMMYFUNCTION("""COMPUTED_VALUE"""),418.0)</f>
        <v>418</v>
      </c>
      <c r="AF594" s="131">
        <f>IFERROR(__xludf.DUMMYFUNCTION("""COMPUTED_VALUE"""),462.0)</f>
        <v>462</v>
      </c>
      <c r="AG594" s="131">
        <f>IFERROR(__xludf.DUMMYFUNCTION("""COMPUTED_VALUE"""),23.0)</f>
        <v>23</v>
      </c>
      <c r="AH594" s="131">
        <f>IFERROR(__xludf.DUMMYFUNCTION("""COMPUTED_VALUE"""),23.0)</f>
        <v>23</v>
      </c>
      <c r="AI594" s="131">
        <f>IFERROR(__xludf.DUMMYFUNCTION("""COMPUTED_VALUE"""),338.0)</f>
        <v>338</v>
      </c>
      <c r="AJ594" s="131" t="str">
        <f>IFERROR(__xludf.DUMMYFUNCTION("""COMPUTED_VALUE"""),"S43,G46")</f>
        <v>S43,G46</v>
      </c>
      <c r="AK594" s="131">
        <f>IFERROR(__xludf.DUMMYFUNCTION("""COMPUTED_VALUE"""),6.9)</f>
        <v>6.9</v>
      </c>
    </row>
    <row r="595">
      <c r="A595" s="124" t="str">
        <f>IFERROR(__xludf.DUMMYFUNCTION("""COMPUTED_VALUE"""),"Y")</f>
        <v>Y</v>
      </c>
      <c r="B595" s="131" t="str">
        <f>IFERROR(__xludf.DUMMYFUNCTION("""COMPUTED_VALUE"""),"7")</f>
        <v>7</v>
      </c>
      <c r="C595" s="131" t="str">
        <f>IFERROR(__xludf.DUMMYFUNCTION("""COMPUTED_VALUE"""),"319-324")</f>
        <v>319-324</v>
      </c>
      <c r="D595" s="144">
        <f>IFERROR(__xludf.DUMMYFUNCTION("""COMPUTED_VALUE"""),45787.0)</f>
        <v>45787</v>
      </c>
      <c r="E595" s="147">
        <f>IFERROR(__xludf.DUMMYFUNCTION("""COMPUTED_VALUE"""),45794.0)</f>
        <v>45794</v>
      </c>
      <c r="F595" s="147">
        <f>IFERROR(__xludf.DUMMYFUNCTION("""COMPUTED_VALUE"""),45815.0)</f>
        <v>45815</v>
      </c>
      <c r="G595" s="131" t="str">
        <f>IFERROR(__xludf.DUMMYFUNCTION("""COMPUTED_VALUE"""),"D28-2L")</f>
        <v>D28-2L</v>
      </c>
      <c r="H595" s="126"/>
      <c r="I595" s="126"/>
      <c r="J595" s="131"/>
      <c r="K595" s="131"/>
      <c r="L595" s="131">
        <f>IFERROR(__xludf.DUMMYFUNCTION("""COMPUTED_VALUE"""),418.0)</f>
        <v>418</v>
      </c>
      <c r="M595" s="131">
        <f>IFERROR(__xludf.DUMMYFUNCTION("""COMPUTED_VALUE"""),462.0)</f>
        <v>462</v>
      </c>
      <c r="N595" s="131">
        <f>IFERROR(__xludf.DUMMYFUNCTION("""COMPUTED_VALUE"""),23.0)</f>
        <v>23</v>
      </c>
      <c r="O595" s="131">
        <f>IFERROR(__xludf.DUMMYFUNCTION("""COMPUTED_VALUE"""),23.0)</f>
        <v>23</v>
      </c>
      <c r="P595" s="131">
        <f>IFERROR(__xludf.DUMMYFUNCTION("""COMPUTED_VALUE"""),338.0)</f>
        <v>338</v>
      </c>
      <c r="Q595" s="131" t="str">
        <f>IFERROR(__xludf.DUMMYFUNCTION("""COMPUTED_VALUE"""),"S43,G46")</f>
        <v>S43,G46</v>
      </c>
      <c r="R595" s="131">
        <f>IFERROR(__xludf.DUMMYFUNCTION("""COMPUTED_VALUE"""),6.9)</f>
        <v>6.9</v>
      </c>
      <c r="T595" s="131" t="str">
        <f>IFERROR(__xludf.DUMMYFUNCTION("""COMPUTED_VALUE"""),"Y")</f>
        <v>Y</v>
      </c>
      <c r="U595" s="131" t="str">
        <f>IFERROR(__xludf.DUMMYFUNCTION("""COMPUTED_VALUE"""),"7")</f>
        <v>7</v>
      </c>
      <c r="V595" s="131" t="str">
        <f>IFERROR(__xludf.DUMMYFUNCTION("""COMPUTED_VALUE"""),"331-336")</f>
        <v>331-336</v>
      </c>
      <c r="W595" s="144">
        <f>IFERROR(__xludf.DUMMYFUNCTION("""COMPUTED_VALUE"""),45787.0)</f>
        <v>45787</v>
      </c>
      <c r="X595" s="144">
        <f>IFERROR(__xludf.DUMMYFUNCTION("""COMPUTED_VALUE"""),45794.0)</f>
        <v>45794</v>
      </c>
      <c r="Y595" s="144">
        <f>IFERROR(__xludf.DUMMYFUNCTION("""COMPUTED_VALUE"""),45815.0)</f>
        <v>45815</v>
      </c>
      <c r="Z595" s="131" t="str">
        <f>IFERROR(__xludf.DUMMYFUNCTION("""COMPUTED_VALUE"""),"DC40")</f>
        <v>DC40</v>
      </c>
      <c r="AA595" s="131">
        <f>IFERROR(__xludf.DUMMYFUNCTION("""COMPUTED_VALUE"""),99.0)</f>
        <v>99</v>
      </c>
      <c r="AB595" s="131">
        <f>IFERROR(__xludf.DUMMYFUNCTION("""COMPUTED_VALUE"""),99.0)</f>
        <v>99</v>
      </c>
      <c r="AC595" s="131">
        <f>IFERROR(__xludf.DUMMYFUNCTION("""COMPUTED_VALUE"""),1.0)</f>
        <v>1</v>
      </c>
      <c r="AD595" s="131">
        <f>IFERROR(__xludf.DUMMYFUNCTION("""COMPUTED_VALUE"""),1.0)</f>
        <v>1</v>
      </c>
      <c r="AE595" s="131">
        <f>IFERROR(__xludf.DUMMYFUNCTION("""COMPUTED_VALUE"""),100.0)</f>
        <v>100</v>
      </c>
      <c r="AF595" s="131">
        <f>IFERROR(__xludf.DUMMYFUNCTION("""COMPUTED_VALUE"""),100.0)</f>
        <v>100</v>
      </c>
      <c r="AG595" s="131">
        <f>IFERROR(__xludf.DUMMYFUNCTION("""COMPUTED_VALUE"""),1.0)</f>
        <v>1</v>
      </c>
      <c r="AH595" s="131">
        <f>IFERROR(__xludf.DUMMYFUNCTION("""COMPUTED_VALUE"""),1.0)</f>
        <v>1</v>
      </c>
      <c r="AI595" s="131">
        <f>IFERROR(__xludf.DUMMYFUNCTION("""COMPUTED_VALUE"""),339.0)</f>
        <v>339</v>
      </c>
      <c r="AJ595" s="131" t="str">
        <f>IFERROR(__xludf.DUMMYFUNCTION("""COMPUTED_VALUE"""),"S43,G46")</f>
        <v>S43,G46</v>
      </c>
      <c r="AK595" s="131">
        <f>IFERROR(__xludf.DUMMYFUNCTION("""COMPUTED_VALUE"""),8.02)</f>
        <v>8.02</v>
      </c>
    </row>
    <row r="596">
      <c r="A596" s="124" t="str">
        <f>IFERROR(__xludf.DUMMYFUNCTION("""COMPUTED_VALUE"""),"Y")</f>
        <v>Y</v>
      </c>
      <c r="B596" s="131" t="str">
        <f>IFERROR(__xludf.DUMMYFUNCTION("""COMPUTED_VALUE"""),"7")</f>
        <v>7</v>
      </c>
      <c r="C596" s="131" t="str">
        <f>IFERROR(__xludf.DUMMYFUNCTION("""COMPUTED_VALUE"""),"331-336")</f>
        <v>331-336</v>
      </c>
      <c r="D596" s="144">
        <f>IFERROR(__xludf.DUMMYFUNCTION("""COMPUTED_VALUE"""),45787.0)</f>
        <v>45787</v>
      </c>
      <c r="E596" s="147">
        <f>IFERROR(__xludf.DUMMYFUNCTION("""COMPUTED_VALUE"""),45794.0)</f>
        <v>45794</v>
      </c>
      <c r="F596" s="147">
        <f>IFERROR(__xludf.DUMMYFUNCTION("""COMPUTED_VALUE"""),45815.0)</f>
        <v>45815</v>
      </c>
      <c r="G596" s="131" t="str">
        <f>IFERROR(__xludf.DUMMYFUNCTION("""COMPUTED_VALUE"""),"DC40")</f>
        <v>DC40</v>
      </c>
      <c r="H596" s="126">
        <f>IFERROR(__xludf.DUMMYFUNCTION("""COMPUTED_VALUE"""),99.0)</f>
        <v>99</v>
      </c>
      <c r="I596" s="126">
        <f>IFERROR(__xludf.DUMMYFUNCTION("""COMPUTED_VALUE"""),99.0)</f>
        <v>99</v>
      </c>
      <c r="J596" s="131">
        <f>IFERROR(__xludf.DUMMYFUNCTION("""COMPUTED_VALUE"""),1.0)</f>
        <v>1</v>
      </c>
      <c r="K596" s="131">
        <f>IFERROR(__xludf.DUMMYFUNCTION("""COMPUTED_VALUE"""),1.0)</f>
        <v>1</v>
      </c>
      <c r="L596" s="131">
        <f>IFERROR(__xludf.DUMMYFUNCTION("""COMPUTED_VALUE"""),100.0)</f>
        <v>100</v>
      </c>
      <c r="M596" s="131">
        <f>IFERROR(__xludf.DUMMYFUNCTION("""COMPUTED_VALUE"""),100.0)</f>
        <v>100</v>
      </c>
      <c r="N596" s="131">
        <f>IFERROR(__xludf.DUMMYFUNCTION("""COMPUTED_VALUE"""),1.0)</f>
        <v>1</v>
      </c>
      <c r="O596" s="131">
        <f>IFERROR(__xludf.DUMMYFUNCTION("""COMPUTED_VALUE"""),1.0)</f>
        <v>1</v>
      </c>
      <c r="P596" s="131">
        <f>IFERROR(__xludf.DUMMYFUNCTION("""COMPUTED_VALUE"""),339.0)</f>
        <v>339</v>
      </c>
      <c r="Q596" s="131" t="str">
        <f>IFERROR(__xludf.DUMMYFUNCTION("""COMPUTED_VALUE"""),"S43,G46")</f>
        <v>S43,G46</v>
      </c>
      <c r="R596" s="131">
        <f>IFERROR(__xludf.DUMMYFUNCTION("""COMPUTED_VALUE"""),8.02)</f>
        <v>8.02</v>
      </c>
      <c r="T596" s="131" t="str">
        <f>IFERROR(__xludf.DUMMYFUNCTION("""COMPUTED_VALUE"""),"Y")</f>
        <v>Y</v>
      </c>
      <c r="U596" s="131" t="str">
        <f>IFERROR(__xludf.DUMMYFUNCTION("""COMPUTED_VALUE"""),"7")</f>
        <v>7</v>
      </c>
      <c r="V596" s="131" t="str">
        <f>IFERROR(__xludf.DUMMYFUNCTION("""COMPUTED_VALUE"""),"331-336")</f>
        <v>331-336</v>
      </c>
      <c r="W596" s="144">
        <f>IFERROR(__xludf.DUMMYFUNCTION("""COMPUTED_VALUE"""),45787.0)</f>
        <v>45787</v>
      </c>
      <c r="X596" s="144">
        <f>IFERROR(__xludf.DUMMYFUNCTION("""COMPUTED_VALUE"""),45794.0)</f>
        <v>45794</v>
      </c>
      <c r="Y596" s="144">
        <f>IFERROR(__xludf.DUMMYFUNCTION("""COMPUTED_VALUE"""),45815.0)</f>
        <v>45815</v>
      </c>
      <c r="Z596" s="131" t="str">
        <f>IFERROR(__xludf.DUMMYFUNCTION("""COMPUTED_VALUE"""),"DC40")</f>
        <v>DC40</v>
      </c>
      <c r="AA596" s="131"/>
      <c r="AB596" s="131"/>
      <c r="AC596" s="131"/>
      <c r="AD596" s="131"/>
      <c r="AE596" s="131">
        <f>IFERROR(__xludf.DUMMYFUNCTION("""COMPUTED_VALUE"""),272.0)</f>
        <v>272</v>
      </c>
      <c r="AF596" s="131">
        <f>IFERROR(__xludf.DUMMYFUNCTION("""COMPUTED_VALUE"""),272.0)</f>
        <v>272</v>
      </c>
      <c r="AG596" s="131">
        <f>IFERROR(__xludf.DUMMYFUNCTION("""COMPUTED_VALUE"""),1.0)</f>
        <v>1</v>
      </c>
      <c r="AH596" s="131">
        <f>IFERROR(__xludf.DUMMYFUNCTION("""COMPUTED_VALUE"""),1.0)</f>
        <v>1</v>
      </c>
      <c r="AI596" s="131">
        <f>IFERROR(__xludf.DUMMYFUNCTION("""COMPUTED_VALUE"""),339.0)</f>
        <v>339</v>
      </c>
      <c r="AJ596" s="131" t="str">
        <f>IFERROR(__xludf.DUMMYFUNCTION("""COMPUTED_VALUE"""),"S43,G46")</f>
        <v>S43,G46</v>
      </c>
      <c r="AK596" s="131"/>
    </row>
    <row r="597">
      <c r="A597" s="124" t="str">
        <f>IFERROR(__xludf.DUMMYFUNCTION("""COMPUTED_VALUE"""),"Y")</f>
        <v>Y</v>
      </c>
      <c r="B597" s="131" t="str">
        <f>IFERROR(__xludf.DUMMYFUNCTION("""COMPUTED_VALUE"""),"7")</f>
        <v>7</v>
      </c>
      <c r="C597" s="131" t="str">
        <f>IFERROR(__xludf.DUMMYFUNCTION("""COMPUTED_VALUE"""),"331-336")</f>
        <v>331-336</v>
      </c>
      <c r="D597" s="144">
        <f>IFERROR(__xludf.DUMMYFUNCTION("""COMPUTED_VALUE"""),45787.0)</f>
        <v>45787</v>
      </c>
      <c r="E597" s="147">
        <f>IFERROR(__xludf.DUMMYFUNCTION("""COMPUTED_VALUE"""),45794.0)</f>
        <v>45794</v>
      </c>
      <c r="F597" s="147">
        <f>IFERROR(__xludf.DUMMYFUNCTION("""COMPUTED_VALUE"""),45815.0)</f>
        <v>45815</v>
      </c>
      <c r="G597" s="131" t="str">
        <f>IFERROR(__xludf.DUMMYFUNCTION("""COMPUTED_VALUE"""),"DC40")</f>
        <v>DC40</v>
      </c>
      <c r="H597" s="126"/>
      <c r="I597" s="126"/>
      <c r="J597" s="131"/>
      <c r="K597" s="131"/>
      <c r="L597" s="131">
        <f>IFERROR(__xludf.DUMMYFUNCTION("""COMPUTED_VALUE"""),272.0)</f>
        <v>272</v>
      </c>
      <c r="M597" s="131">
        <f>IFERROR(__xludf.DUMMYFUNCTION("""COMPUTED_VALUE"""),272.0)</f>
        <v>272</v>
      </c>
      <c r="N597" s="131">
        <f>IFERROR(__xludf.DUMMYFUNCTION("""COMPUTED_VALUE"""),1.0)</f>
        <v>1</v>
      </c>
      <c r="O597" s="131">
        <f>IFERROR(__xludf.DUMMYFUNCTION("""COMPUTED_VALUE"""),1.0)</f>
        <v>1</v>
      </c>
      <c r="P597" s="131">
        <f>IFERROR(__xludf.DUMMYFUNCTION("""COMPUTED_VALUE"""),339.0)</f>
        <v>339</v>
      </c>
      <c r="Q597" s="131" t="str">
        <f>IFERROR(__xludf.DUMMYFUNCTION("""COMPUTED_VALUE"""),"S43,G46")</f>
        <v>S43,G46</v>
      </c>
      <c r="R597" s="131"/>
      <c r="T597" s="131" t="str">
        <f>IFERROR(__xludf.DUMMYFUNCTION("""COMPUTED_VALUE"""),"Y")</f>
        <v>Y</v>
      </c>
      <c r="U597" s="131" t="str">
        <f>IFERROR(__xludf.DUMMYFUNCTION("""COMPUTED_VALUE"""),"7")</f>
        <v>7</v>
      </c>
      <c r="V597" s="131" t="str">
        <f>IFERROR(__xludf.DUMMYFUNCTION("""COMPUTED_VALUE"""),"331-336")</f>
        <v>331-336</v>
      </c>
      <c r="W597" s="144">
        <f>IFERROR(__xludf.DUMMYFUNCTION("""COMPUTED_VALUE"""),45787.0)</f>
        <v>45787</v>
      </c>
      <c r="X597" s="144">
        <f>IFERROR(__xludf.DUMMYFUNCTION("""COMPUTED_VALUE"""),45794.0)</f>
        <v>45794</v>
      </c>
      <c r="Y597" s="144">
        <f>IFERROR(__xludf.DUMMYFUNCTION("""COMPUTED_VALUE"""),45815.0)</f>
        <v>45815</v>
      </c>
      <c r="Z597" s="131" t="str">
        <f>IFERROR(__xludf.DUMMYFUNCTION("""COMPUTED_VALUE"""),"D40-1R")</f>
        <v>D40-1R</v>
      </c>
      <c r="AA597" s="131">
        <f>IFERROR(__xludf.DUMMYFUNCTION("""COMPUTED_VALUE"""),1.0)</f>
        <v>1</v>
      </c>
      <c r="AB597" s="131">
        <f>IFERROR(__xludf.DUMMYFUNCTION("""COMPUTED_VALUE"""),3.0)</f>
        <v>3</v>
      </c>
      <c r="AC597" s="131">
        <f>IFERROR(__xludf.DUMMYFUNCTION("""COMPUTED_VALUE"""),2.0)</f>
        <v>2</v>
      </c>
      <c r="AD597" s="131">
        <f>IFERROR(__xludf.DUMMYFUNCTION("""COMPUTED_VALUE"""),2.0)</f>
        <v>2</v>
      </c>
      <c r="AE597" s="131">
        <f>IFERROR(__xludf.DUMMYFUNCTION("""COMPUTED_VALUE"""),26.0)</f>
        <v>26</v>
      </c>
      <c r="AF597" s="131">
        <f>IFERROR(__xludf.DUMMYFUNCTION("""COMPUTED_VALUE"""),42.0)</f>
        <v>42</v>
      </c>
      <c r="AG597" s="131">
        <f>IFERROR(__xludf.DUMMYFUNCTION("""COMPUTED_VALUE"""),9.0)</f>
        <v>9</v>
      </c>
      <c r="AH597" s="131">
        <f>IFERROR(__xludf.DUMMYFUNCTION("""COMPUTED_VALUE"""),9.0)</f>
        <v>9</v>
      </c>
      <c r="AI597" s="131">
        <f>IFERROR(__xludf.DUMMYFUNCTION("""COMPUTED_VALUE"""),339.0)</f>
        <v>339</v>
      </c>
      <c r="AJ597" s="131" t="str">
        <f>IFERROR(__xludf.DUMMYFUNCTION("""COMPUTED_VALUE"""),"S43,G46")</f>
        <v>S43,G46</v>
      </c>
      <c r="AK597" s="131"/>
    </row>
    <row r="598">
      <c r="A598" s="124" t="str">
        <f>IFERROR(__xludf.DUMMYFUNCTION("""COMPUTED_VALUE"""),"Y")</f>
        <v>Y</v>
      </c>
      <c r="B598" s="131" t="str">
        <f>IFERROR(__xludf.DUMMYFUNCTION("""COMPUTED_VALUE"""),"7")</f>
        <v>7</v>
      </c>
      <c r="C598" s="131" t="str">
        <f>IFERROR(__xludf.DUMMYFUNCTION("""COMPUTED_VALUE"""),"331-336")</f>
        <v>331-336</v>
      </c>
      <c r="D598" s="144">
        <f>IFERROR(__xludf.DUMMYFUNCTION("""COMPUTED_VALUE"""),45787.0)</f>
        <v>45787</v>
      </c>
      <c r="E598" s="147">
        <f>IFERROR(__xludf.DUMMYFUNCTION("""COMPUTED_VALUE"""),45794.0)</f>
        <v>45794</v>
      </c>
      <c r="F598" s="147">
        <f>IFERROR(__xludf.DUMMYFUNCTION("""COMPUTED_VALUE"""),45815.0)</f>
        <v>45815</v>
      </c>
      <c r="G598" s="131" t="str">
        <f>IFERROR(__xludf.DUMMYFUNCTION("""COMPUTED_VALUE"""),"D40-1R")</f>
        <v>D40-1R</v>
      </c>
      <c r="H598" s="126">
        <f>IFERROR(__xludf.DUMMYFUNCTION("""COMPUTED_VALUE"""),1.0)</f>
        <v>1</v>
      </c>
      <c r="I598" s="126">
        <f>IFERROR(__xludf.DUMMYFUNCTION("""COMPUTED_VALUE"""),3.0)</f>
        <v>3</v>
      </c>
      <c r="J598" s="131">
        <f>IFERROR(__xludf.DUMMYFUNCTION("""COMPUTED_VALUE"""),2.0)</f>
        <v>2</v>
      </c>
      <c r="K598" s="131">
        <f>IFERROR(__xludf.DUMMYFUNCTION("""COMPUTED_VALUE"""),2.0)</f>
        <v>2</v>
      </c>
      <c r="L598" s="131">
        <f>IFERROR(__xludf.DUMMYFUNCTION("""COMPUTED_VALUE"""),26.0)</f>
        <v>26</v>
      </c>
      <c r="M598" s="131">
        <f>IFERROR(__xludf.DUMMYFUNCTION("""COMPUTED_VALUE"""),42.0)</f>
        <v>42</v>
      </c>
      <c r="N598" s="131">
        <f>IFERROR(__xludf.DUMMYFUNCTION("""COMPUTED_VALUE"""),9.0)</f>
        <v>9</v>
      </c>
      <c r="O598" s="131">
        <f>IFERROR(__xludf.DUMMYFUNCTION("""COMPUTED_VALUE"""),9.0)</f>
        <v>9</v>
      </c>
      <c r="P598" s="131">
        <f>IFERROR(__xludf.DUMMYFUNCTION("""COMPUTED_VALUE"""),339.0)</f>
        <v>339</v>
      </c>
      <c r="Q598" s="131" t="str">
        <f>IFERROR(__xludf.DUMMYFUNCTION("""COMPUTED_VALUE"""),"S43,G46")</f>
        <v>S43,G46</v>
      </c>
      <c r="R598" s="131"/>
      <c r="T598" s="131" t="str">
        <f>IFERROR(__xludf.DUMMYFUNCTION("""COMPUTED_VALUE"""),"Y")</f>
        <v>Y</v>
      </c>
      <c r="U598" s="131" t="str">
        <f>IFERROR(__xludf.DUMMYFUNCTION("""COMPUTED_VALUE"""),"7")</f>
        <v>7</v>
      </c>
      <c r="V598" s="131" t="str">
        <f>IFERROR(__xludf.DUMMYFUNCTION("""COMPUTED_VALUE"""),"331-336")</f>
        <v>331-336</v>
      </c>
      <c r="W598" s="144">
        <f>IFERROR(__xludf.DUMMYFUNCTION("""COMPUTED_VALUE"""),45787.0)</f>
        <v>45787</v>
      </c>
      <c r="X598" s="144">
        <f>IFERROR(__xludf.DUMMYFUNCTION("""COMPUTED_VALUE"""),45794.0)</f>
        <v>45794</v>
      </c>
      <c r="Y598" s="144">
        <f>IFERROR(__xludf.DUMMYFUNCTION("""COMPUTED_VALUE"""),45815.0)</f>
        <v>45815</v>
      </c>
      <c r="Z598" s="131" t="str">
        <f>IFERROR(__xludf.DUMMYFUNCTION("""COMPUTED_VALUE"""),"D40-1R")</f>
        <v>D40-1R</v>
      </c>
      <c r="AA598" s="131">
        <f>IFERROR(__xludf.DUMMYFUNCTION("""COMPUTED_VALUE"""),7.0)</f>
        <v>7</v>
      </c>
      <c r="AB598" s="131">
        <f>IFERROR(__xludf.DUMMYFUNCTION("""COMPUTED_VALUE"""),23.0)</f>
        <v>23</v>
      </c>
      <c r="AC598" s="131">
        <f>IFERROR(__xludf.DUMMYFUNCTION("""COMPUTED_VALUE"""),9.0)</f>
        <v>9</v>
      </c>
      <c r="AD598" s="131">
        <f>IFERROR(__xludf.DUMMYFUNCTION("""COMPUTED_VALUE"""),9.0)</f>
        <v>9</v>
      </c>
      <c r="AE598" s="131"/>
      <c r="AF598" s="131"/>
      <c r="AG598" s="131"/>
      <c r="AH598" s="131"/>
      <c r="AI598" s="131">
        <f>IFERROR(__xludf.DUMMYFUNCTION("""COMPUTED_VALUE"""),339.0)</f>
        <v>339</v>
      </c>
      <c r="AJ598" s="131" t="str">
        <f>IFERROR(__xludf.DUMMYFUNCTION("""COMPUTED_VALUE"""),"S43,G46")</f>
        <v>S43,G46</v>
      </c>
      <c r="AK598" s="131"/>
    </row>
    <row r="599">
      <c r="A599" s="124" t="str">
        <f>IFERROR(__xludf.DUMMYFUNCTION("""COMPUTED_VALUE"""),"Y")</f>
        <v>Y</v>
      </c>
      <c r="B599" s="131" t="str">
        <f>IFERROR(__xludf.DUMMYFUNCTION("""COMPUTED_VALUE"""),"7")</f>
        <v>7</v>
      </c>
      <c r="C599" s="131" t="str">
        <f>IFERROR(__xludf.DUMMYFUNCTION("""COMPUTED_VALUE"""),"331-336")</f>
        <v>331-336</v>
      </c>
      <c r="D599" s="144">
        <f>IFERROR(__xludf.DUMMYFUNCTION("""COMPUTED_VALUE"""),45787.0)</f>
        <v>45787</v>
      </c>
      <c r="E599" s="147">
        <f>IFERROR(__xludf.DUMMYFUNCTION("""COMPUTED_VALUE"""),45794.0)</f>
        <v>45794</v>
      </c>
      <c r="F599" s="147">
        <f>IFERROR(__xludf.DUMMYFUNCTION("""COMPUTED_VALUE"""),45815.0)</f>
        <v>45815</v>
      </c>
      <c r="G599" s="131" t="str">
        <f>IFERROR(__xludf.DUMMYFUNCTION("""COMPUTED_VALUE"""),"D40-1R")</f>
        <v>D40-1R</v>
      </c>
      <c r="H599" s="126">
        <f>IFERROR(__xludf.DUMMYFUNCTION("""COMPUTED_VALUE"""),7.0)</f>
        <v>7</v>
      </c>
      <c r="I599" s="126">
        <f>IFERROR(__xludf.DUMMYFUNCTION("""COMPUTED_VALUE"""),23.0)</f>
        <v>23</v>
      </c>
      <c r="J599" s="131">
        <f>IFERROR(__xludf.DUMMYFUNCTION("""COMPUTED_VALUE"""),9.0)</f>
        <v>9</v>
      </c>
      <c r="K599" s="131">
        <f>IFERROR(__xludf.DUMMYFUNCTION("""COMPUTED_VALUE"""),9.0)</f>
        <v>9</v>
      </c>
      <c r="L599" s="131"/>
      <c r="M599" s="131"/>
      <c r="N599" s="131"/>
      <c r="O599" s="131"/>
      <c r="P599" s="131">
        <f>IFERROR(__xludf.DUMMYFUNCTION("""COMPUTED_VALUE"""),339.0)</f>
        <v>339</v>
      </c>
      <c r="Q599" s="131" t="str">
        <f>IFERROR(__xludf.DUMMYFUNCTION("""COMPUTED_VALUE"""),"S43,G46")</f>
        <v>S43,G46</v>
      </c>
      <c r="R599" s="131"/>
      <c r="T599" s="131" t="str">
        <f>IFERROR(__xludf.DUMMYFUNCTION("""COMPUTED_VALUE"""),"Y")</f>
        <v>Y</v>
      </c>
      <c r="U599" s="131" t="str">
        <f>IFERROR(__xludf.DUMMYFUNCTION("""COMPUTED_VALUE"""),"7")</f>
        <v>7</v>
      </c>
      <c r="V599" s="131" t="str">
        <f>IFERROR(__xludf.DUMMYFUNCTION("""COMPUTED_VALUE"""),"343-348")</f>
        <v>343-348</v>
      </c>
      <c r="W599" s="144">
        <f>IFERROR(__xludf.DUMMYFUNCTION("""COMPUTED_VALUE"""),45788.0)</f>
        <v>45788</v>
      </c>
      <c r="X599" s="144">
        <f>IFERROR(__xludf.DUMMYFUNCTION("""COMPUTED_VALUE"""),45795.0)</f>
        <v>45795</v>
      </c>
      <c r="Y599" s="144">
        <f>IFERROR(__xludf.DUMMYFUNCTION("""COMPUTED_VALUE"""),45816.0)</f>
        <v>45816</v>
      </c>
      <c r="Z599" s="131" t="str">
        <f>IFERROR(__xludf.DUMMYFUNCTION("""COMPUTED_VALUE"""),"D32-3R")</f>
        <v>D32-3R</v>
      </c>
      <c r="AA599" s="131">
        <f>IFERROR(__xludf.DUMMYFUNCTION("""COMPUTED_VALUE"""),93.0)</f>
        <v>93</v>
      </c>
      <c r="AB599" s="131">
        <f>IFERROR(__xludf.DUMMYFUNCTION("""COMPUTED_VALUE"""),301.0)</f>
        <v>301</v>
      </c>
      <c r="AC599" s="131">
        <f>IFERROR(__xludf.DUMMYFUNCTION("""COMPUTED_VALUE"""),105.0)</f>
        <v>105</v>
      </c>
      <c r="AD599" s="131">
        <f>IFERROR(__xludf.DUMMYFUNCTION("""COMPUTED_VALUE"""),105.0)</f>
        <v>105</v>
      </c>
      <c r="AE599" s="131"/>
      <c r="AF599" s="131"/>
      <c r="AG599" s="131"/>
      <c r="AH599" s="131"/>
      <c r="AI599" s="131">
        <f>IFERROR(__xludf.DUMMYFUNCTION("""COMPUTED_VALUE"""),340.0)</f>
        <v>340</v>
      </c>
      <c r="AJ599" s="131" t="str">
        <f>IFERROR(__xludf.DUMMYFUNCTION("""COMPUTED_VALUE"""),"ملغي")</f>
        <v>ملغي</v>
      </c>
      <c r="AK599" s="131"/>
    </row>
    <row r="600">
      <c r="A600" s="124" t="str">
        <f>IFERROR(__xludf.DUMMYFUNCTION("""COMPUTED_VALUE"""),"Y")</f>
        <v>Y</v>
      </c>
      <c r="B600" s="131" t="str">
        <f>IFERROR(__xludf.DUMMYFUNCTION("""COMPUTED_VALUE"""),"7")</f>
        <v>7</v>
      </c>
      <c r="C600" s="131" t="str">
        <f>IFERROR(__xludf.DUMMYFUNCTION("""COMPUTED_VALUE"""),"343-348")</f>
        <v>343-348</v>
      </c>
      <c r="D600" s="144">
        <f>IFERROR(__xludf.DUMMYFUNCTION("""COMPUTED_VALUE"""),45788.0)</f>
        <v>45788</v>
      </c>
      <c r="E600" s="147">
        <f>IFERROR(__xludf.DUMMYFUNCTION("""COMPUTED_VALUE"""),45795.0)</f>
        <v>45795</v>
      </c>
      <c r="F600" s="147">
        <f>IFERROR(__xludf.DUMMYFUNCTION("""COMPUTED_VALUE"""),45816.0)</f>
        <v>45816</v>
      </c>
      <c r="G600" s="131" t="str">
        <f>IFERROR(__xludf.DUMMYFUNCTION("""COMPUTED_VALUE"""),"D32-3R")</f>
        <v>D32-3R</v>
      </c>
      <c r="H600" s="126">
        <f>IFERROR(__xludf.DUMMYFUNCTION("""COMPUTED_VALUE"""),93.0)</f>
        <v>93</v>
      </c>
      <c r="I600" s="126">
        <f>IFERROR(__xludf.DUMMYFUNCTION("""COMPUTED_VALUE"""),301.0)</f>
        <v>301</v>
      </c>
      <c r="J600" s="131">
        <f>IFERROR(__xludf.DUMMYFUNCTION("""COMPUTED_VALUE"""),105.0)</f>
        <v>105</v>
      </c>
      <c r="K600" s="131">
        <f>IFERROR(__xludf.DUMMYFUNCTION("""COMPUTED_VALUE"""),105.0)</f>
        <v>105</v>
      </c>
      <c r="L600" s="131"/>
      <c r="M600" s="131"/>
      <c r="N600" s="131"/>
      <c r="O600" s="131"/>
      <c r="P600" s="131">
        <f>IFERROR(__xludf.DUMMYFUNCTION("""COMPUTED_VALUE"""),340.0)</f>
        <v>340</v>
      </c>
      <c r="Q600" s="131" t="str">
        <f>IFERROR(__xludf.DUMMYFUNCTION("""COMPUTED_VALUE"""),"ملغي")</f>
        <v>ملغي</v>
      </c>
      <c r="R600" s="131"/>
      <c r="T600" s="131" t="str">
        <f>IFERROR(__xludf.DUMMYFUNCTION("""COMPUTED_VALUE"""),"Y")</f>
        <v>Y</v>
      </c>
      <c r="U600" s="131" t="str">
        <f>IFERROR(__xludf.DUMMYFUNCTION("""COMPUTED_VALUE"""),"7")</f>
        <v>7</v>
      </c>
      <c r="V600" s="131" t="str">
        <f>IFERROR(__xludf.DUMMYFUNCTION("""COMPUTED_VALUE"""),"349-354")</f>
        <v>349-354</v>
      </c>
      <c r="W600" s="144">
        <f>IFERROR(__xludf.DUMMYFUNCTION("""COMPUTED_VALUE"""),45788.0)</f>
        <v>45788</v>
      </c>
      <c r="X600" s="144">
        <f>IFERROR(__xludf.DUMMYFUNCTION("""COMPUTED_VALUE"""),45795.0)</f>
        <v>45795</v>
      </c>
      <c r="Y600" s="144">
        <f>IFERROR(__xludf.DUMMYFUNCTION("""COMPUTED_VALUE"""),45816.0)</f>
        <v>45816</v>
      </c>
      <c r="Z600" s="131" t="str">
        <f>IFERROR(__xludf.DUMMYFUNCTION("""COMPUTED_VALUE"""),"BRG12")</f>
        <v>BRG12</v>
      </c>
      <c r="AA600" s="131">
        <f>IFERROR(__xludf.DUMMYFUNCTION("""COMPUTED_VALUE"""),3075.0)</f>
        <v>3075</v>
      </c>
      <c r="AB600" s="131">
        <f>IFERROR(__xludf.DUMMYFUNCTION("""COMPUTED_VALUE"""),3129.0)</f>
        <v>3129</v>
      </c>
      <c r="AC600" s="131">
        <f>IFERROR(__xludf.DUMMYFUNCTION("""COMPUTED_VALUE"""),28.0)</f>
        <v>28</v>
      </c>
      <c r="AD600" s="131">
        <f>IFERROR(__xludf.DUMMYFUNCTION("""COMPUTED_VALUE"""),28.0)</f>
        <v>28</v>
      </c>
      <c r="AE600" s="131">
        <f>IFERROR(__xludf.DUMMYFUNCTION("""COMPUTED_VALUE"""),2982.0)</f>
        <v>2982</v>
      </c>
      <c r="AF600" s="131">
        <f>IFERROR(__xludf.DUMMYFUNCTION("""COMPUTED_VALUE"""),3036.0)</f>
        <v>3036</v>
      </c>
      <c r="AG600" s="131">
        <f>IFERROR(__xludf.DUMMYFUNCTION("""COMPUTED_VALUE"""),28.0)</f>
        <v>28</v>
      </c>
      <c r="AH600" s="131">
        <f>IFERROR(__xludf.DUMMYFUNCTION("""COMPUTED_VALUE"""),28.0)</f>
        <v>28</v>
      </c>
      <c r="AI600" s="131">
        <f>IFERROR(__xludf.DUMMYFUNCTION("""COMPUTED_VALUE"""),341.0)</f>
        <v>341</v>
      </c>
      <c r="AJ600" s="131" t="str">
        <f>IFERROR(__xludf.DUMMYFUNCTION("""COMPUTED_VALUE"""),"S43,G46")</f>
        <v>S43,G46</v>
      </c>
      <c r="AK600" s="131">
        <f>IFERROR(__xludf.DUMMYFUNCTION("""COMPUTED_VALUE"""),51.52)</f>
        <v>51.52</v>
      </c>
    </row>
    <row r="601">
      <c r="A601" s="124" t="str">
        <f>IFERROR(__xludf.DUMMYFUNCTION("""COMPUTED_VALUE"""),"Y")</f>
        <v>Y</v>
      </c>
      <c r="B601" s="131" t="str">
        <f>IFERROR(__xludf.DUMMYFUNCTION("""COMPUTED_VALUE"""),"7")</f>
        <v>7</v>
      </c>
      <c r="C601" s="131" t="str">
        <f>IFERROR(__xludf.DUMMYFUNCTION("""COMPUTED_VALUE"""),"349-354")</f>
        <v>349-354</v>
      </c>
      <c r="D601" s="144">
        <f>IFERROR(__xludf.DUMMYFUNCTION("""COMPUTED_VALUE"""),45788.0)</f>
        <v>45788</v>
      </c>
      <c r="E601" s="147">
        <f>IFERROR(__xludf.DUMMYFUNCTION("""COMPUTED_VALUE"""),45795.0)</f>
        <v>45795</v>
      </c>
      <c r="F601" s="147">
        <f>IFERROR(__xludf.DUMMYFUNCTION("""COMPUTED_VALUE"""),45816.0)</f>
        <v>45816</v>
      </c>
      <c r="G601" s="131" t="str">
        <f>IFERROR(__xludf.DUMMYFUNCTION("""COMPUTED_VALUE"""),"BRG12")</f>
        <v>BRG12</v>
      </c>
      <c r="H601" s="126">
        <f>IFERROR(__xludf.DUMMYFUNCTION("""COMPUTED_VALUE"""),3075.0)</f>
        <v>3075</v>
      </c>
      <c r="I601" s="126">
        <f>IFERROR(__xludf.DUMMYFUNCTION("""COMPUTED_VALUE"""),3129.0)</f>
        <v>3129</v>
      </c>
      <c r="J601" s="131">
        <f>IFERROR(__xludf.DUMMYFUNCTION("""COMPUTED_VALUE"""),28.0)</f>
        <v>28</v>
      </c>
      <c r="K601" s="131">
        <f>IFERROR(__xludf.DUMMYFUNCTION("""COMPUTED_VALUE"""),28.0)</f>
        <v>28</v>
      </c>
      <c r="L601" s="131">
        <f>IFERROR(__xludf.DUMMYFUNCTION("""COMPUTED_VALUE"""),2982.0)</f>
        <v>2982</v>
      </c>
      <c r="M601" s="131">
        <f>IFERROR(__xludf.DUMMYFUNCTION("""COMPUTED_VALUE"""),3036.0)</f>
        <v>3036</v>
      </c>
      <c r="N601" s="131">
        <f>IFERROR(__xludf.DUMMYFUNCTION("""COMPUTED_VALUE"""),28.0)</f>
        <v>28</v>
      </c>
      <c r="O601" s="131">
        <f>IFERROR(__xludf.DUMMYFUNCTION("""COMPUTED_VALUE"""),28.0)</f>
        <v>28</v>
      </c>
      <c r="P601" s="131">
        <f>IFERROR(__xludf.DUMMYFUNCTION("""COMPUTED_VALUE"""),341.0)</f>
        <v>341</v>
      </c>
      <c r="Q601" s="131" t="str">
        <f>IFERROR(__xludf.DUMMYFUNCTION("""COMPUTED_VALUE"""),"S43,G46")</f>
        <v>S43,G46</v>
      </c>
      <c r="R601" s="131">
        <f>IFERROR(__xludf.DUMMYFUNCTION("""COMPUTED_VALUE"""),51.52)</f>
        <v>51.52</v>
      </c>
      <c r="T601" s="131" t="str">
        <f>IFERROR(__xludf.DUMMYFUNCTION("""COMPUTED_VALUE"""),"N")</f>
        <v>N</v>
      </c>
      <c r="U601" s="131" t="str">
        <f>IFERROR(__xludf.DUMMYFUNCTION("""COMPUTED_VALUE"""),"7")</f>
        <v>7</v>
      </c>
      <c r="V601" s="131" t="str">
        <f>IFERROR(__xludf.DUMMYFUNCTION("""COMPUTED_VALUE"""),"ملغي")</f>
        <v>ملغي</v>
      </c>
      <c r="W601" s="144">
        <f>IFERROR(__xludf.DUMMYFUNCTION("""COMPUTED_VALUE"""),45790.0)</f>
        <v>45790</v>
      </c>
      <c r="X601" s="144">
        <f>IFERROR(__xludf.DUMMYFUNCTION("""COMPUTED_VALUE"""),45797.0)</f>
        <v>45797</v>
      </c>
      <c r="Y601" s="144">
        <f>IFERROR(__xludf.DUMMYFUNCTION("""COMPUTED_VALUE"""),45818.0)</f>
        <v>45818</v>
      </c>
      <c r="Z601" s="131" t="str">
        <f>IFERROR(__xludf.DUMMYFUNCTION("""COMPUTED_VALUE"""),"BRG12")</f>
        <v>BRG12</v>
      </c>
      <c r="AA601" s="131"/>
      <c r="AB601" s="131"/>
      <c r="AC601" s="131"/>
      <c r="AD601" s="131"/>
      <c r="AE601" s="131"/>
      <c r="AF601" s="131"/>
      <c r="AG601" s="131"/>
      <c r="AH601" s="131"/>
      <c r="AI601" s="131">
        <f>IFERROR(__xludf.DUMMYFUNCTION("""COMPUTED_VALUE"""),342.0)</f>
        <v>342</v>
      </c>
      <c r="AJ601" s="131" t="str">
        <f>IFERROR(__xludf.DUMMYFUNCTION("""COMPUTED_VALUE"""),"S43,G46")</f>
        <v>S43,G46</v>
      </c>
      <c r="AK601" s="131"/>
    </row>
    <row r="602">
      <c r="A602" s="124" t="str">
        <f>IFERROR(__xludf.DUMMYFUNCTION("""COMPUTED_VALUE"""),"N")</f>
        <v>N</v>
      </c>
      <c r="B602" s="131" t="str">
        <f>IFERROR(__xludf.DUMMYFUNCTION("""COMPUTED_VALUE"""),"7")</f>
        <v>7</v>
      </c>
      <c r="C602" s="131" t="str">
        <f>IFERROR(__xludf.DUMMYFUNCTION("""COMPUTED_VALUE"""),"ملغي")</f>
        <v>ملغي</v>
      </c>
      <c r="D602" s="144">
        <f>IFERROR(__xludf.DUMMYFUNCTION("""COMPUTED_VALUE"""),45790.0)</f>
        <v>45790</v>
      </c>
      <c r="E602" s="147">
        <f>IFERROR(__xludf.DUMMYFUNCTION("""COMPUTED_VALUE"""),45797.0)</f>
        <v>45797</v>
      </c>
      <c r="F602" s="147">
        <f>IFERROR(__xludf.DUMMYFUNCTION("""COMPUTED_VALUE"""),45818.0)</f>
        <v>45818</v>
      </c>
      <c r="G602" s="131" t="str">
        <f>IFERROR(__xludf.DUMMYFUNCTION("""COMPUTED_VALUE"""),"BRG12")</f>
        <v>BRG12</v>
      </c>
      <c r="H602" s="126"/>
      <c r="I602" s="126"/>
      <c r="J602" s="131"/>
      <c r="K602" s="131"/>
      <c r="L602" s="131"/>
      <c r="M602" s="131"/>
      <c r="N602" s="131"/>
      <c r="O602" s="131"/>
      <c r="P602" s="131">
        <f>IFERROR(__xludf.DUMMYFUNCTION("""COMPUTED_VALUE"""),342.0)</f>
        <v>342</v>
      </c>
      <c r="Q602" s="131" t="str">
        <f>IFERROR(__xludf.DUMMYFUNCTION("""COMPUTED_VALUE"""),"S43,G46")</f>
        <v>S43,G46</v>
      </c>
      <c r="R602" s="131"/>
      <c r="T602" s="131" t="str">
        <f>IFERROR(__xludf.DUMMYFUNCTION("""COMPUTED_VALUE"""),"Y")</f>
        <v>Y</v>
      </c>
      <c r="U602" s="131" t="str">
        <f>IFERROR(__xludf.DUMMYFUNCTION("""COMPUTED_VALUE"""),"7")</f>
        <v>7</v>
      </c>
      <c r="V602" s="131" t="str">
        <f>IFERROR(__xludf.DUMMYFUNCTION("""COMPUTED_VALUE"""),"367-372")</f>
        <v>367-372</v>
      </c>
      <c r="W602" s="144">
        <f>IFERROR(__xludf.DUMMYFUNCTION("""COMPUTED_VALUE"""),45790.0)</f>
        <v>45790</v>
      </c>
      <c r="X602" s="144">
        <f>IFERROR(__xludf.DUMMYFUNCTION("""COMPUTED_VALUE"""),45797.0)</f>
        <v>45797</v>
      </c>
      <c r="Y602" s="144">
        <f>IFERROR(__xludf.DUMMYFUNCTION("""COMPUTED_VALUE"""),45818.0)</f>
        <v>45818</v>
      </c>
      <c r="Z602" s="131" t="str">
        <f>IFERROR(__xludf.DUMMYFUNCTION("""COMPUTED_VALUE"""),"D32-3R")</f>
        <v>D32-3R</v>
      </c>
      <c r="AA602" s="131"/>
      <c r="AB602" s="131"/>
      <c r="AC602" s="131"/>
      <c r="AD602" s="131"/>
      <c r="AE602" s="131">
        <f>IFERROR(__xludf.DUMMYFUNCTION("""COMPUTED_VALUE"""),2.0)</f>
        <v>2</v>
      </c>
      <c r="AF602" s="131">
        <f>IFERROR(__xludf.DUMMYFUNCTION("""COMPUTED_VALUE"""),54.0)</f>
        <v>54</v>
      </c>
      <c r="AG602" s="131">
        <f>IFERROR(__xludf.DUMMYFUNCTION("""COMPUTED_VALUE"""),27.0)</f>
        <v>27</v>
      </c>
      <c r="AH602" s="131">
        <f>IFERROR(__xludf.DUMMYFUNCTION("""COMPUTED_VALUE"""),27.0)</f>
        <v>27</v>
      </c>
      <c r="AI602" s="131">
        <f>IFERROR(__xludf.DUMMYFUNCTION("""COMPUTED_VALUE"""),343.0)</f>
        <v>343</v>
      </c>
      <c r="AJ602" s="131" t="str">
        <f>IFERROR(__xludf.DUMMYFUNCTION("""COMPUTED_VALUE"""),"S43,G47")</f>
        <v>S43,G47</v>
      </c>
      <c r="AK602" s="131">
        <f>IFERROR(__xludf.DUMMYFUNCTION("""COMPUTED_VALUE"""),29.0)</f>
        <v>29</v>
      </c>
    </row>
    <row r="603">
      <c r="A603" s="124" t="str">
        <f>IFERROR(__xludf.DUMMYFUNCTION("""COMPUTED_VALUE"""),"Y")</f>
        <v>Y</v>
      </c>
      <c r="B603" s="131" t="str">
        <f>IFERROR(__xludf.DUMMYFUNCTION("""COMPUTED_VALUE"""),"7")</f>
        <v>7</v>
      </c>
      <c r="C603" s="131" t="str">
        <f>IFERROR(__xludf.DUMMYFUNCTION("""COMPUTED_VALUE"""),"367-372")</f>
        <v>367-372</v>
      </c>
      <c r="D603" s="144">
        <f>IFERROR(__xludf.DUMMYFUNCTION("""COMPUTED_VALUE"""),45790.0)</f>
        <v>45790</v>
      </c>
      <c r="E603" s="147">
        <f>IFERROR(__xludf.DUMMYFUNCTION("""COMPUTED_VALUE"""),45797.0)</f>
        <v>45797</v>
      </c>
      <c r="F603" s="147">
        <f>IFERROR(__xludf.DUMMYFUNCTION("""COMPUTED_VALUE"""),45818.0)</f>
        <v>45818</v>
      </c>
      <c r="G603" s="131" t="str">
        <f>IFERROR(__xludf.DUMMYFUNCTION("""COMPUTED_VALUE"""),"D32-3R")</f>
        <v>D32-3R</v>
      </c>
      <c r="H603" s="126"/>
      <c r="I603" s="126"/>
      <c r="J603" s="131"/>
      <c r="K603" s="131"/>
      <c r="L603" s="131">
        <f>IFERROR(__xludf.DUMMYFUNCTION("""COMPUTED_VALUE"""),2.0)</f>
        <v>2</v>
      </c>
      <c r="M603" s="131">
        <f>IFERROR(__xludf.DUMMYFUNCTION("""COMPUTED_VALUE"""),54.0)</f>
        <v>54</v>
      </c>
      <c r="N603" s="131">
        <f>IFERROR(__xludf.DUMMYFUNCTION("""COMPUTED_VALUE"""),27.0)</f>
        <v>27</v>
      </c>
      <c r="O603" s="131">
        <f>IFERROR(__xludf.DUMMYFUNCTION("""COMPUTED_VALUE"""),27.0)</f>
        <v>27</v>
      </c>
      <c r="P603" s="131">
        <f>IFERROR(__xludf.DUMMYFUNCTION("""COMPUTED_VALUE"""),343.0)</f>
        <v>343</v>
      </c>
      <c r="Q603" s="131" t="str">
        <f>IFERROR(__xludf.DUMMYFUNCTION("""COMPUTED_VALUE"""),"S43,G47")</f>
        <v>S43,G47</v>
      </c>
      <c r="R603" s="131">
        <f>IFERROR(__xludf.DUMMYFUNCTION("""COMPUTED_VALUE"""),29.0)</f>
        <v>29</v>
      </c>
      <c r="T603" s="131" t="str">
        <f>IFERROR(__xludf.DUMMYFUNCTION("""COMPUTED_VALUE"""),"Y")</f>
        <v>Y</v>
      </c>
      <c r="U603" s="131" t="str">
        <f>IFERROR(__xludf.DUMMYFUNCTION("""COMPUTED_VALUE"""),"7")</f>
        <v>7</v>
      </c>
      <c r="V603" s="131" t="str">
        <f>IFERROR(__xludf.DUMMYFUNCTION("""COMPUTED_VALUE"""),"367-372")</f>
        <v>367-372</v>
      </c>
      <c r="W603" s="144">
        <f>IFERROR(__xludf.DUMMYFUNCTION("""COMPUTED_VALUE"""),45790.0)</f>
        <v>45790</v>
      </c>
      <c r="X603" s="144">
        <f>IFERROR(__xludf.DUMMYFUNCTION("""COMPUTED_VALUE"""),45797.0)</f>
        <v>45797</v>
      </c>
      <c r="Y603" s="144">
        <f>IFERROR(__xludf.DUMMYFUNCTION("""COMPUTED_VALUE"""),45818.0)</f>
        <v>45818</v>
      </c>
      <c r="Z603" s="131" t="str">
        <f>IFERROR(__xludf.DUMMYFUNCTION("""COMPUTED_VALUE"""),"D32-3R")</f>
        <v>D32-3R</v>
      </c>
      <c r="AA603" s="131"/>
      <c r="AB603" s="131"/>
      <c r="AC603" s="131"/>
      <c r="AD603" s="131"/>
      <c r="AE603" s="131">
        <f>IFERROR(__xludf.DUMMYFUNCTION("""COMPUTED_VALUE"""),58.0)</f>
        <v>58</v>
      </c>
      <c r="AF603" s="131">
        <f>IFERROR(__xludf.DUMMYFUNCTION("""COMPUTED_VALUE"""),104.0)</f>
        <v>104</v>
      </c>
      <c r="AG603" s="131">
        <f>IFERROR(__xludf.DUMMYFUNCTION("""COMPUTED_VALUE"""),24.0)</f>
        <v>24</v>
      </c>
      <c r="AH603" s="131">
        <f>IFERROR(__xludf.DUMMYFUNCTION("""COMPUTED_VALUE"""),24.0)</f>
        <v>24</v>
      </c>
      <c r="AI603" s="131">
        <f>IFERROR(__xludf.DUMMYFUNCTION("""COMPUTED_VALUE"""),343.0)</f>
        <v>343</v>
      </c>
      <c r="AJ603" s="131" t="str">
        <f>IFERROR(__xludf.DUMMYFUNCTION("""COMPUTED_VALUE"""),"S43,G47")</f>
        <v>S43,G47</v>
      </c>
      <c r="AK603" s="131"/>
    </row>
    <row r="604">
      <c r="A604" s="124" t="str">
        <f>IFERROR(__xludf.DUMMYFUNCTION("""COMPUTED_VALUE"""),"Y")</f>
        <v>Y</v>
      </c>
      <c r="B604" s="131" t="str">
        <f>IFERROR(__xludf.DUMMYFUNCTION("""COMPUTED_VALUE"""),"7")</f>
        <v>7</v>
      </c>
      <c r="C604" s="131" t="str">
        <f>IFERROR(__xludf.DUMMYFUNCTION("""COMPUTED_VALUE"""),"367-372")</f>
        <v>367-372</v>
      </c>
      <c r="D604" s="144">
        <f>IFERROR(__xludf.DUMMYFUNCTION("""COMPUTED_VALUE"""),45790.0)</f>
        <v>45790</v>
      </c>
      <c r="E604" s="147">
        <f>IFERROR(__xludf.DUMMYFUNCTION("""COMPUTED_VALUE"""),45797.0)</f>
        <v>45797</v>
      </c>
      <c r="F604" s="147">
        <f>IFERROR(__xludf.DUMMYFUNCTION("""COMPUTED_VALUE"""),45818.0)</f>
        <v>45818</v>
      </c>
      <c r="G604" s="131" t="str">
        <f>IFERROR(__xludf.DUMMYFUNCTION("""COMPUTED_VALUE"""),"D32-3R")</f>
        <v>D32-3R</v>
      </c>
      <c r="H604" s="126"/>
      <c r="I604" s="126"/>
      <c r="J604" s="131"/>
      <c r="K604" s="131"/>
      <c r="L604" s="131">
        <f>IFERROR(__xludf.DUMMYFUNCTION("""COMPUTED_VALUE"""),58.0)</f>
        <v>58</v>
      </c>
      <c r="M604" s="131">
        <f>IFERROR(__xludf.DUMMYFUNCTION("""COMPUTED_VALUE"""),104.0)</f>
        <v>104</v>
      </c>
      <c r="N604" s="131">
        <f>IFERROR(__xludf.DUMMYFUNCTION("""COMPUTED_VALUE"""),24.0)</f>
        <v>24</v>
      </c>
      <c r="O604" s="131">
        <f>IFERROR(__xludf.DUMMYFUNCTION("""COMPUTED_VALUE"""),24.0)</f>
        <v>24</v>
      </c>
      <c r="P604" s="131">
        <f>IFERROR(__xludf.DUMMYFUNCTION("""COMPUTED_VALUE"""),343.0)</f>
        <v>343</v>
      </c>
      <c r="Q604" s="131" t="str">
        <f>IFERROR(__xludf.DUMMYFUNCTION("""COMPUTED_VALUE"""),"S43,G47")</f>
        <v>S43,G47</v>
      </c>
      <c r="R604" s="131"/>
      <c r="T604" s="131" t="str">
        <f>IFERROR(__xludf.DUMMYFUNCTION("""COMPUTED_VALUE"""),"Y")</f>
        <v>Y</v>
      </c>
      <c r="U604" s="131" t="str">
        <f>IFERROR(__xludf.DUMMYFUNCTION("""COMPUTED_VALUE"""),"7")</f>
        <v>7</v>
      </c>
      <c r="V604" s="131" t="str">
        <f>IFERROR(__xludf.DUMMYFUNCTION("""COMPUTED_VALUE"""),"367-372")</f>
        <v>367-372</v>
      </c>
      <c r="W604" s="144">
        <f>IFERROR(__xludf.DUMMYFUNCTION("""COMPUTED_VALUE"""),45790.0)</f>
        <v>45790</v>
      </c>
      <c r="X604" s="144">
        <f>IFERROR(__xludf.DUMMYFUNCTION("""COMPUTED_VALUE"""),45797.0)</f>
        <v>45797</v>
      </c>
      <c r="Y604" s="144">
        <f>IFERROR(__xludf.DUMMYFUNCTION("""COMPUTED_VALUE"""),45818.0)</f>
        <v>45818</v>
      </c>
      <c r="Z604" s="131" t="str">
        <f>IFERROR(__xludf.DUMMYFUNCTION("""COMPUTED_VALUE"""),"D32-3R")</f>
        <v>D32-3R</v>
      </c>
      <c r="AA604" s="131"/>
      <c r="AB604" s="131"/>
      <c r="AC604" s="131"/>
      <c r="AD604" s="131"/>
      <c r="AE604" s="131">
        <f>IFERROR(__xludf.DUMMYFUNCTION("""COMPUTED_VALUE"""),108.0)</f>
        <v>108</v>
      </c>
      <c r="AF604" s="131">
        <f>IFERROR(__xludf.DUMMYFUNCTION("""COMPUTED_VALUE"""),154.0)</f>
        <v>154</v>
      </c>
      <c r="AG604" s="131">
        <f>IFERROR(__xludf.DUMMYFUNCTION("""COMPUTED_VALUE"""),24.0)</f>
        <v>24</v>
      </c>
      <c r="AH604" s="131">
        <f>IFERROR(__xludf.DUMMYFUNCTION("""COMPUTED_VALUE"""),24.0)</f>
        <v>24</v>
      </c>
      <c r="AI604" s="131">
        <f>IFERROR(__xludf.DUMMYFUNCTION("""COMPUTED_VALUE"""),343.0)</f>
        <v>343</v>
      </c>
      <c r="AJ604" s="131" t="str">
        <f>IFERROR(__xludf.DUMMYFUNCTION("""COMPUTED_VALUE"""),"S43,G47")</f>
        <v>S43,G47</v>
      </c>
      <c r="AK604" s="131"/>
    </row>
    <row r="605">
      <c r="A605" s="124" t="str">
        <f>IFERROR(__xludf.DUMMYFUNCTION("""COMPUTED_VALUE"""),"Y")</f>
        <v>Y</v>
      </c>
      <c r="B605" s="131" t="str">
        <f>IFERROR(__xludf.DUMMYFUNCTION("""COMPUTED_VALUE"""),"7")</f>
        <v>7</v>
      </c>
      <c r="C605" s="131" t="str">
        <f>IFERROR(__xludf.DUMMYFUNCTION("""COMPUTED_VALUE"""),"367-372")</f>
        <v>367-372</v>
      </c>
      <c r="D605" s="144">
        <f>IFERROR(__xludf.DUMMYFUNCTION("""COMPUTED_VALUE"""),45790.0)</f>
        <v>45790</v>
      </c>
      <c r="E605" s="147">
        <f>IFERROR(__xludf.DUMMYFUNCTION("""COMPUTED_VALUE"""),45797.0)</f>
        <v>45797</v>
      </c>
      <c r="F605" s="147">
        <f>IFERROR(__xludf.DUMMYFUNCTION("""COMPUTED_VALUE"""),45818.0)</f>
        <v>45818</v>
      </c>
      <c r="G605" s="131" t="str">
        <f>IFERROR(__xludf.DUMMYFUNCTION("""COMPUTED_VALUE"""),"D32-3R")</f>
        <v>D32-3R</v>
      </c>
      <c r="H605" s="126"/>
      <c r="I605" s="126"/>
      <c r="J605" s="131"/>
      <c r="K605" s="131"/>
      <c r="L605" s="131">
        <f>IFERROR(__xludf.DUMMYFUNCTION("""COMPUTED_VALUE"""),108.0)</f>
        <v>108</v>
      </c>
      <c r="M605" s="131">
        <f>IFERROR(__xludf.DUMMYFUNCTION("""COMPUTED_VALUE"""),154.0)</f>
        <v>154</v>
      </c>
      <c r="N605" s="131">
        <f>IFERROR(__xludf.DUMMYFUNCTION("""COMPUTED_VALUE"""),24.0)</f>
        <v>24</v>
      </c>
      <c r="O605" s="131">
        <f>IFERROR(__xludf.DUMMYFUNCTION("""COMPUTED_VALUE"""),24.0)</f>
        <v>24</v>
      </c>
      <c r="P605" s="131">
        <f>IFERROR(__xludf.DUMMYFUNCTION("""COMPUTED_VALUE"""),343.0)</f>
        <v>343</v>
      </c>
      <c r="Q605" s="131" t="str">
        <f>IFERROR(__xludf.DUMMYFUNCTION("""COMPUTED_VALUE"""),"S43,G47")</f>
        <v>S43,G47</v>
      </c>
      <c r="R605" s="131"/>
      <c r="T605" s="131" t="str">
        <f>IFERROR(__xludf.DUMMYFUNCTION("""COMPUTED_VALUE"""),"Y")</f>
        <v>Y</v>
      </c>
      <c r="U605" s="131" t="str">
        <f>IFERROR(__xludf.DUMMYFUNCTION("""COMPUTED_VALUE"""),"7")</f>
        <v>7</v>
      </c>
      <c r="V605" s="131" t="str">
        <f>IFERROR(__xludf.DUMMYFUNCTION("""COMPUTED_VALUE"""),"367-372")</f>
        <v>367-372</v>
      </c>
      <c r="W605" s="144">
        <f>IFERROR(__xludf.DUMMYFUNCTION("""COMPUTED_VALUE"""),45790.0)</f>
        <v>45790</v>
      </c>
      <c r="X605" s="144">
        <f>IFERROR(__xludf.DUMMYFUNCTION("""COMPUTED_VALUE"""),45797.0)</f>
        <v>45797</v>
      </c>
      <c r="Y605" s="144">
        <f>IFERROR(__xludf.DUMMYFUNCTION("""COMPUTED_VALUE"""),45818.0)</f>
        <v>45818</v>
      </c>
      <c r="Z605" s="131" t="str">
        <f>IFERROR(__xludf.DUMMYFUNCTION("""COMPUTED_VALUE"""),"D32-3R")</f>
        <v>D32-3R</v>
      </c>
      <c r="AA605" s="131"/>
      <c r="AB605" s="131"/>
      <c r="AC605" s="131"/>
      <c r="AD605" s="131"/>
      <c r="AE605" s="131">
        <f>IFERROR(__xludf.DUMMYFUNCTION("""COMPUTED_VALUE"""),158.0)</f>
        <v>158</v>
      </c>
      <c r="AF605" s="131">
        <f>IFERROR(__xludf.DUMMYFUNCTION("""COMPUTED_VALUE"""),204.0)</f>
        <v>204</v>
      </c>
      <c r="AG605" s="131">
        <f>IFERROR(__xludf.DUMMYFUNCTION("""COMPUTED_VALUE"""),24.0)</f>
        <v>24</v>
      </c>
      <c r="AH605" s="131">
        <f>IFERROR(__xludf.DUMMYFUNCTION("""COMPUTED_VALUE"""),24.0)</f>
        <v>24</v>
      </c>
      <c r="AI605" s="131">
        <f>IFERROR(__xludf.DUMMYFUNCTION("""COMPUTED_VALUE"""),343.0)</f>
        <v>343</v>
      </c>
      <c r="AJ605" s="131" t="str">
        <f>IFERROR(__xludf.DUMMYFUNCTION("""COMPUTED_VALUE"""),"S43,G47")</f>
        <v>S43,G47</v>
      </c>
      <c r="AK605" s="131"/>
    </row>
    <row r="606">
      <c r="A606" s="124" t="str">
        <f>IFERROR(__xludf.DUMMYFUNCTION("""COMPUTED_VALUE"""),"Y")</f>
        <v>Y</v>
      </c>
      <c r="B606" s="131" t="str">
        <f>IFERROR(__xludf.DUMMYFUNCTION("""COMPUTED_VALUE"""),"7")</f>
        <v>7</v>
      </c>
      <c r="C606" s="131" t="str">
        <f>IFERROR(__xludf.DUMMYFUNCTION("""COMPUTED_VALUE"""),"367-372")</f>
        <v>367-372</v>
      </c>
      <c r="D606" s="144">
        <f>IFERROR(__xludf.DUMMYFUNCTION("""COMPUTED_VALUE"""),45790.0)</f>
        <v>45790</v>
      </c>
      <c r="E606" s="147">
        <f>IFERROR(__xludf.DUMMYFUNCTION("""COMPUTED_VALUE"""),45797.0)</f>
        <v>45797</v>
      </c>
      <c r="F606" s="147">
        <f>IFERROR(__xludf.DUMMYFUNCTION("""COMPUTED_VALUE"""),45818.0)</f>
        <v>45818</v>
      </c>
      <c r="G606" s="131" t="str">
        <f>IFERROR(__xludf.DUMMYFUNCTION("""COMPUTED_VALUE"""),"D32-3R")</f>
        <v>D32-3R</v>
      </c>
      <c r="H606" s="126"/>
      <c r="I606" s="126"/>
      <c r="J606" s="131"/>
      <c r="K606" s="131"/>
      <c r="L606" s="131">
        <f>IFERROR(__xludf.DUMMYFUNCTION("""COMPUTED_VALUE"""),158.0)</f>
        <v>158</v>
      </c>
      <c r="M606" s="131">
        <f>IFERROR(__xludf.DUMMYFUNCTION("""COMPUTED_VALUE"""),204.0)</f>
        <v>204</v>
      </c>
      <c r="N606" s="131">
        <f>IFERROR(__xludf.DUMMYFUNCTION("""COMPUTED_VALUE"""),24.0)</f>
        <v>24</v>
      </c>
      <c r="O606" s="131">
        <f>IFERROR(__xludf.DUMMYFUNCTION("""COMPUTED_VALUE"""),24.0)</f>
        <v>24</v>
      </c>
      <c r="P606" s="131">
        <f>IFERROR(__xludf.DUMMYFUNCTION("""COMPUTED_VALUE"""),343.0)</f>
        <v>343</v>
      </c>
      <c r="Q606" s="131" t="str">
        <f>IFERROR(__xludf.DUMMYFUNCTION("""COMPUTED_VALUE"""),"S43,G47")</f>
        <v>S43,G47</v>
      </c>
      <c r="R606" s="131"/>
      <c r="T606" s="131" t="str">
        <f>IFERROR(__xludf.DUMMYFUNCTION("""COMPUTED_VALUE"""),"Y")</f>
        <v>Y</v>
      </c>
      <c r="U606" s="131" t="str">
        <f>IFERROR(__xludf.DUMMYFUNCTION("""COMPUTED_VALUE"""),"7")</f>
        <v>7</v>
      </c>
      <c r="V606" s="131" t="str">
        <f>IFERROR(__xludf.DUMMYFUNCTION("""COMPUTED_VALUE"""),"373-378")</f>
        <v>373-378</v>
      </c>
      <c r="W606" s="144">
        <f>IFERROR(__xludf.DUMMYFUNCTION("""COMPUTED_VALUE"""),45791.0)</f>
        <v>45791</v>
      </c>
      <c r="X606" s="144">
        <f>IFERROR(__xludf.DUMMYFUNCTION("""COMPUTED_VALUE"""),45798.0)</f>
        <v>45798</v>
      </c>
      <c r="Y606" s="144">
        <f>IFERROR(__xludf.DUMMYFUNCTION("""COMPUTED_VALUE"""),45819.0)</f>
        <v>45819</v>
      </c>
      <c r="Z606" s="131" t="str">
        <f>IFERROR(__xludf.DUMMYFUNCTION("""COMPUTED_VALUE"""),"BRG12")</f>
        <v>BRG12</v>
      </c>
      <c r="AA606" s="131">
        <f>IFERROR(__xludf.DUMMYFUNCTION("""COMPUTED_VALUE"""),3131.0)</f>
        <v>3131</v>
      </c>
      <c r="AB606" s="131">
        <f>IFERROR(__xludf.DUMMYFUNCTION("""COMPUTED_VALUE"""),3167.0)</f>
        <v>3167</v>
      </c>
      <c r="AC606" s="131">
        <f>IFERROR(__xludf.DUMMYFUNCTION("""COMPUTED_VALUE"""),19.0)</f>
        <v>19</v>
      </c>
      <c r="AD606" s="131">
        <f>IFERROR(__xludf.DUMMYFUNCTION("""COMPUTED_VALUE"""),19.0)</f>
        <v>19</v>
      </c>
      <c r="AE606" s="131">
        <f>IFERROR(__xludf.DUMMYFUNCTION("""COMPUTED_VALUE"""),3038.0)</f>
        <v>3038</v>
      </c>
      <c r="AF606" s="131">
        <f>IFERROR(__xludf.DUMMYFUNCTION("""COMPUTED_VALUE"""),3110.0)</f>
        <v>3110</v>
      </c>
      <c r="AG606" s="131">
        <f>IFERROR(__xludf.DUMMYFUNCTION("""COMPUTED_VALUE"""),37.0)</f>
        <v>37</v>
      </c>
      <c r="AH606" s="131">
        <f>IFERROR(__xludf.DUMMYFUNCTION("""COMPUTED_VALUE"""),37.0)</f>
        <v>37</v>
      </c>
      <c r="AI606" s="131">
        <f>IFERROR(__xludf.DUMMYFUNCTION("""COMPUTED_VALUE"""),344.0)</f>
        <v>344</v>
      </c>
      <c r="AJ606" s="131" t="str">
        <f>IFERROR(__xludf.DUMMYFUNCTION("""COMPUTED_VALUE"""),"S43,G47")</f>
        <v>S43,G47</v>
      </c>
      <c r="AK606" s="131">
        <f>IFERROR(__xludf.DUMMYFUNCTION("""COMPUTED_VALUE"""),51.52)</f>
        <v>51.52</v>
      </c>
    </row>
    <row r="607">
      <c r="A607" s="124" t="str">
        <f>IFERROR(__xludf.DUMMYFUNCTION("""COMPUTED_VALUE"""),"Y")</f>
        <v>Y</v>
      </c>
      <c r="B607" s="131" t="str">
        <f>IFERROR(__xludf.DUMMYFUNCTION("""COMPUTED_VALUE"""),"7")</f>
        <v>7</v>
      </c>
      <c r="C607" s="131" t="str">
        <f>IFERROR(__xludf.DUMMYFUNCTION("""COMPUTED_VALUE"""),"373-378")</f>
        <v>373-378</v>
      </c>
      <c r="D607" s="144">
        <f>IFERROR(__xludf.DUMMYFUNCTION("""COMPUTED_VALUE"""),45791.0)</f>
        <v>45791</v>
      </c>
      <c r="E607" s="147">
        <f>IFERROR(__xludf.DUMMYFUNCTION("""COMPUTED_VALUE"""),45798.0)</f>
        <v>45798</v>
      </c>
      <c r="F607" s="147">
        <f>IFERROR(__xludf.DUMMYFUNCTION("""COMPUTED_VALUE"""),45819.0)</f>
        <v>45819</v>
      </c>
      <c r="G607" s="131" t="str">
        <f>IFERROR(__xludf.DUMMYFUNCTION("""COMPUTED_VALUE"""),"BRG12")</f>
        <v>BRG12</v>
      </c>
      <c r="H607" s="126">
        <f>IFERROR(__xludf.DUMMYFUNCTION("""COMPUTED_VALUE"""),3131.0)</f>
        <v>3131</v>
      </c>
      <c r="I607" s="126">
        <f>IFERROR(__xludf.DUMMYFUNCTION("""COMPUTED_VALUE"""),3167.0)</f>
        <v>3167</v>
      </c>
      <c r="J607" s="131">
        <f>IFERROR(__xludf.DUMMYFUNCTION("""COMPUTED_VALUE"""),19.0)</f>
        <v>19</v>
      </c>
      <c r="K607" s="131">
        <f>IFERROR(__xludf.DUMMYFUNCTION("""COMPUTED_VALUE"""),19.0)</f>
        <v>19</v>
      </c>
      <c r="L607" s="131">
        <f>IFERROR(__xludf.DUMMYFUNCTION("""COMPUTED_VALUE"""),3038.0)</f>
        <v>3038</v>
      </c>
      <c r="M607" s="131">
        <f>IFERROR(__xludf.DUMMYFUNCTION("""COMPUTED_VALUE"""),3110.0)</f>
        <v>3110</v>
      </c>
      <c r="N607" s="131">
        <f>IFERROR(__xludf.DUMMYFUNCTION("""COMPUTED_VALUE"""),37.0)</f>
        <v>37</v>
      </c>
      <c r="O607" s="131">
        <f>IFERROR(__xludf.DUMMYFUNCTION("""COMPUTED_VALUE"""),37.0)</f>
        <v>37</v>
      </c>
      <c r="P607" s="131">
        <f>IFERROR(__xludf.DUMMYFUNCTION("""COMPUTED_VALUE"""),344.0)</f>
        <v>344</v>
      </c>
      <c r="Q607" s="131" t="str">
        <f>IFERROR(__xludf.DUMMYFUNCTION("""COMPUTED_VALUE"""),"S43,G47")</f>
        <v>S43,G47</v>
      </c>
      <c r="R607" s="131">
        <f>IFERROR(__xludf.DUMMYFUNCTION("""COMPUTED_VALUE"""),51.52)</f>
        <v>51.52</v>
      </c>
      <c r="T607" s="131" t="str">
        <f>IFERROR(__xludf.DUMMYFUNCTION("""COMPUTED_VALUE"""),"Y")</f>
        <v>Y</v>
      </c>
      <c r="U607" s="131" t="str">
        <f>IFERROR(__xludf.DUMMYFUNCTION("""COMPUTED_VALUE"""),"7")</f>
        <v>7</v>
      </c>
      <c r="V607" s="131" t="str">
        <f>IFERROR(__xludf.DUMMYFUNCTION("""COMPUTED_VALUE"""),"385-390")</f>
        <v>385-390</v>
      </c>
      <c r="W607" s="144">
        <f>IFERROR(__xludf.DUMMYFUNCTION("""COMPUTED_VALUE"""),45791.0)</f>
        <v>45791</v>
      </c>
      <c r="X607" s="144">
        <f>IFERROR(__xludf.DUMMYFUNCTION("""COMPUTED_VALUE"""),45798.0)</f>
        <v>45798</v>
      </c>
      <c r="Y607" s="144">
        <f>IFERROR(__xludf.DUMMYFUNCTION("""COMPUTED_VALUE"""),45819.0)</f>
        <v>45819</v>
      </c>
      <c r="Z607" s="131" t="str">
        <f>IFERROR(__xludf.DUMMYFUNCTION("""COMPUTED_VALUE"""),"D40-4L")</f>
        <v>D40-4L</v>
      </c>
      <c r="AA607" s="131">
        <f>IFERROR(__xludf.DUMMYFUNCTION("""COMPUTED_VALUE"""),89.0)</f>
        <v>89</v>
      </c>
      <c r="AB607" s="131">
        <f>IFERROR(__xludf.DUMMYFUNCTION("""COMPUTED_VALUE"""),91.0)</f>
        <v>91</v>
      </c>
      <c r="AC607" s="131">
        <f>IFERROR(__xludf.DUMMYFUNCTION("""COMPUTED_VALUE"""),2.0)</f>
        <v>2</v>
      </c>
      <c r="AD607" s="131">
        <f>IFERROR(__xludf.DUMMYFUNCTION("""COMPUTED_VALUE"""),2.0)</f>
        <v>2</v>
      </c>
      <c r="AE607" s="131">
        <f>IFERROR(__xludf.DUMMYFUNCTION("""COMPUTED_VALUE"""),94.0)</f>
        <v>94</v>
      </c>
      <c r="AF607" s="131">
        <f>IFERROR(__xludf.DUMMYFUNCTION("""COMPUTED_VALUE"""),100.0)</f>
        <v>100</v>
      </c>
      <c r="AG607" s="131">
        <f>IFERROR(__xludf.DUMMYFUNCTION("""COMPUTED_VALUE"""),4.0)</f>
        <v>4</v>
      </c>
      <c r="AH607" s="131">
        <f>IFERROR(__xludf.DUMMYFUNCTION("""COMPUTED_VALUE"""),4.0)</f>
        <v>4</v>
      </c>
      <c r="AI607" s="131">
        <f>IFERROR(__xludf.DUMMYFUNCTION("""COMPUTED_VALUE"""),345.0)</f>
        <v>345</v>
      </c>
      <c r="AJ607" s="131" t="str">
        <f>IFERROR(__xludf.DUMMYFUNCTION("""COMPUTED_VALUE"""),"S43,G47")</f>
        <v>S43,G47</v>
      </c>
      <c r="AK607" s="131">
        <f>IFERROR(__xludf.DUMMYFUNCTION("""COMPUTED_VALUE"""),10.57)</f>
        <v>10.57</v>
      </c>
    </row>
    <row r="608">
      <c r="A608" s="124" t="str">
        <f>IFERROR(__xludf.DUMMYFUNCTION("""COMPUTED_VALUE"""),"Y")</f>
        <v>Y</v>
      </c>
      <c r="B608" s="131" t="str">
        <f>IFERROR(__xludf.DUMMYFUNCTION("""COMPUTED_VALUE"""),"7")</f>
        <v>7</v>
      </c>
      <c r="C608" s="131" t="str">
        <f>IFERROR(__xludf.DUMMYFUNCTION("""COMPUTED_VALUE"""),"385-390")</f>
        <v>385-390</v>
      </c>
      <c r="D608" s="144">
        <f>IFERROR(__xludf.DUMMYFUNCTION("""COMPUTED_VALUE"""),45791.0)</f>
        <v>45791</v>
      </c>
      <c r="E608" s="147">
        <f>IFERROR(__xludf.DUMMYFUNCTION("""COMPUTED_VALUE"""),45798.0)</f>
        <v>45798</v>
      </c>
      <c r="F608" s="147">
        <f>IFERROR(__xludf.DUMMYFUNCTION("""COMPUTED_VALUE"""),45819.0)</f>
        <v>45819</v>
      </c>
      <c r="G608" s="131" t="str">
        <f>IFERROR(__xludf.DUMMYFUNCTION("""COMPUTED_VALUE"""),"D40-4L")</f>
        <v>D40-4L</v>
      </c>
      <c r="H608" s="126">
        <f>IFERROR(__xludf.DUMMYFUNCTION("""COMPUTED_VALUE"""),89.0)</f>
        <v>89</v>
      </c>
      <c r="I608" s="126">
        <f>IFERROR(__xludf.DUMMYFUNCTION("""COMPUTED_VALUE"""),91.0)</f>
        <v>91</v>
      </c>
      <c r="J608" s="131">
        <f>IFERROR(__xludf.DUMMYFUNCTION("""COMPUTED_VALUE"""),2.0)</f>
        <v>2</v>
      </c>
      <c r="K608" s="131">
        <f>IFERROR(__xludf.DUMMYFUNCTION("""COMPUTED_VALUE"""),2.0)</f>
        <v>2</v>
      </c>
      <c r="L608" s="131">
        <f>IFERROR(__xludf.DUMMYFUNCTION("""COMPUTED_VALUE"""),94.0)</f>
        <v>94</v>
      </c>
      <c r="M608" s="131">
        <f>IFERROR(__xludf.DUMMYFUNCTION("""COMPUTED_VALUE"""),100.0)</f>
        <v>100</v>
      </c>
      <c r="N608" s="131">
        <f>IFERROR(__xludf.DUMMYFUNCTION("""COMPUTED_VALUE"""),4.0)</f>
        <v>4</v>
      </c>
      <c r="O608" s="131">
        <f>IFERROR(__xludf.DUMMYFUNCTION("""COMPUTED_VALUE"""),4.0)</f>
        <v>4</v>
      </c>
      <c r="P608" s="131">
        <f>IFERROR(__xludf.DUMMYFUNCTION("""COMPUTED_VALUE"""),345.0)</f>
        <v>345</v>
      </c>
      <c r="Q608" s="131" t="str">
        <f>IFERROR(__xludf.DUMMYFUNCTION("""COMPUTED_VALUE"""),"S43,G47")</f>
        <v>S43,G47</v>
      </c>
      <c r="R608" s="131">
        <f>IFERROR(__xludf.DUMMYFUNCTION("""COMPUTED_VALUE"""),10.57)</f>
        <v>10.57</v>
      </c>
      <c r="T608" s="131" t="str">
        <f>IFERROR(__xludf.DUMMYFUNCTION("""COMPUTED_VALUE"""),"Y")</f>
        <v>Y</v>
      </c>
      <c r="U608" s="131" t="str">
        <f>IFERROR(__xludf.DUMMYFUNCTION("""COMPUTED_VALUE"""),"7")</f>
        <v>7</v>
      </c>
      <c r="V608" s="131" t="str">
        <f>IFERROR(__xludf.DUMMYFUNCTION("""COMPUTED_VALUE"""),"385-390")</f>
        <v>385-390</v>
      </c>
      <c r="W608" s="144">
        <f>IFERROR(__xludf.DUMMYFUNCTION("""COMPUTED_VALUE"""),45791.0)</f>
        <v>45791</v>
      </c>
      <c r="X608" s="144">
        <f>IFERROR(__xludf.DUMMYFUNCTION("""COMPUTED_VALUE"""),45798.0)</f>
        <v>45798</v>
      </c>
      <c r="Y608" s="144">
        <f>IFERROR(__xludf.DUMMYFUNCTION("""COMPUTED_VALUE"""),45819.0)</f>
        <v>45819</v>
      </c>
      <c r="Z608" s="131" t="str">
        <f>IFERROR(__xludf.DUMMYFUNCTION("""COMPUTED_VALUE"""),"D40-4L")</f>
        <v>D40-4L</v>
      </c>
      <c r="AA608" s="131">
        <f>IFERROR(__xludf.DUMMYFUNCTION("""COMPUTED_VALUE"""),107.0)</f>
        <v>107</v>
      </c>
      <c r="AB608" s="131">
        <f>IFERROR(__xludf.DUMMYFUNCTION("""COMPUTED_VALUE"""),111.0)</f>
        <v>111</v>
      </c>
      <c r="AC608" s="131">
        <f>IFERROR(__xludf.DUMMYFUNCTION("""COMPUTED_VALUE"""),3.0)</f>
        <v>3</v>
      </c>
      <c r="AD608" s="131">
        <f>IFERROR(__xludf.DUMMYFUNCTION("""COMPUTED_VALUE"""),3.0)</f>
        <v>3</v>
      </c>
      <c r="AE608" s="131"/>
      <c r="AF608" s="131"/>
      <c r="AG608" s="131"/>
      <c r="AH608" s="131"/>
      <c r="AI608" s="131">
        <f>IFERROR(__xludf.DUMMYFUNCTION("""COMPUTED_VALUE"""),345.0)</f>
        <v>345</v>
      </c>
      <c r="AJ608" s="131" t="str">
        <f>IFERROR(__xludf.DUMMYFUNCTION("""COMPUTED_VALUE"""),"S43,G47")</f>
        <v>S43,G47</v>
      </c>
      <c r="AK608" s="131"/>
    </row>
    <row r="609">
      <c r="A609" s="124" t="str">
        <f>IFERROR(__xludf.DUMMYFUNCTION("""COMPUTED_VALUE"""),"Y")</f>
        <v>Y</v>
      </c>
      <c r="B609" s="131" t="str">
        <f>IFERROR(__xludf.DUMMYFUNCTION("""COMPUTED_VALUE"""),"7")</f>
        <v>7</v>
      </c>
      <c r="C609" s="131" t="str">
        <f>IFERROR(__xludf.DUMMYFUNCTION("""COMPUTED_VALUE"""),"385-390")</f>
        <v>385-390</v>
      </c>
      <c r="D609" s="144">
        <f>IFERROR(__xludf.DUMMYFUNCTION("""COMPUTED_VALUE"""),45791.0)</f>
        <v>45791</v>
      </c>
      <c r="E609" s="147">
        <f>IFERROR(__xludf.DUMMYFUNCTION("""COMPUTED_VALUE"""),45798.0)</f>
        <v>45798</v>
      </c>
      <c r="F609" s="147">
        <f>IFERROR(__xludf.DUMMYFUNCTION("""COMPUTED_VALUE"""),45819.0)</f>
        <v>45819</v>
      </c>
      <c r="G609" s="131" t="str">
        <f>IFERROR(__xludf.DUMMYFUNCTION("""COMPUTED_VALUE"""),"D40-4L")</f>
        <v>D40-4L</v>
      </c>
      <c r="H609" s="126">
        <f>IFERROR(__xludf.DUMMYFUNCTION("""COMPUTED_VALUE"""),107.0)</f>
        <v>107</v>
      </c>
      <c r="I609" s="126">
        <f>IFERROR(__xludf.DUMMYFUNCTION("""COMPUTED_VALUE"""),111.0)</f>
        <v>111</v>
      </c>
      <c r="J609" s="131">
        <f>IFERROR(__xludf.DUMMYFUNCTION("""COMPUTED_VALUE"""),3.0)</f>
        <v>3</v>
      </c>
      <c r="K609" s="131">
        <f>IFERROR(__xludf.DUMMYFUNCTION("""COMPUTED_VALUE"""),3.0)</f>
        <v>3</v>
      </c>
      <c r="L609" s="131"/>
      <c r="M609" s="131"/>
      <c r="N609" s="131"/>
      <c r="O609" s="131"/>
      <c r="P609" s="131">
        <f>IFERROR(__xludf.DUMMYFUNCTION("""COMPUTED_VALUE"""),345.0)</f>
        <v>345</v>
      </c>
      <c r="Q609" s="131" t="str">
        <f>IFERROR(__xludf.DUMMYFUNCTION("""COMPUTED_VALUE"""),"S43,G47")</f>
        <v>S43,G47</v>
      </c>
      <c r="R609" s="131"/>
      <c r="T609" s="131" t="str">
        <f>IFERROR(__xludf.DUMMYFUNCTION("""COMPUTED_VALUE"""),"Y")</f>
        <v>Y</v>
      </c>
      <c r="U609" s="131" t="str">
        <f>IFERROR(__xludf.DUMMYFUNCTION("""COMPUTED_VALUE"""),"7")</f>
        <v>7</v>
      </c>
      <c r="V609" s="131" t="str">
        <f>IFERROR(__xludf.DUMMYFUNCTION("""COMPUTED_VALUE"""),"385-390")</f>
        <v>385-390</v>
      </c>
      <c r="W609" s="144">
        <f>IFERROR(__xludf.DUMMYFUNCTION("""COMPUTED_VALUE"""),45791.0)</f>
        <v>45791</v>
      </c>
      <c r="X609" s="144">
        <f>IFERROR(__xludf.DUMMYFUNCTION("""COMPUTED_VALUE"""),45798.0)</f>
        <v>45798</v>
      </c>
      <c r="Y609" s="144">
        <f>IFERROR(__xludf.DUMMYFUNCTION("""COMPUTED_VALUE"""),45819.0)</f>
        <v>45819</v>
      </c>
      <c r="Z609" s="131" t="str">
        <f>IFERROR(__xludf.DUMMYFUNCTION("""COMPUTED_VALUE"""),"D40-4L")</f>
        <v>D40-4L</v>
      </c>
      <c r="AA609" s="131">
        <f>IFERROR(__xludf.DUMMYFUNCTION("""COMPUTED_VALUE"""),119.0)</f>
        <v>119</v>
      </c>
      <c r="AB609" s="131">
        <f>IFERROR(__xludf.DUMMYFUNCTION("""COMPUTED_VALUE"""),169.0)</f>
        <v>169</v>
      </c>
      <c r="AC609" s="131">
        <f>IFERROR(__xludf.DUMMYFUNCTION("""COMPUTED_VALUE"""),26.0)</f>
        <v>26</v>
      </c>
      <c r="AD609" s="131">
        <f>IFERROR(__xludf.DUMMYFUNCTION("""COMPUTED_VALUE"""),26.0)</f>
        <v>26</v>
      </c>
      <c r="AE609" s="131"/>
      <c r="AF609" s="131"/>
      <c r="AG609" s="131"/>
      <c r="AH609" s="131"/>
      <c r="AI609" s="131">
        <f>IFERROR(__xludf.DUMMYFUNCTION("""COMPUTED_VALUE"""),345.0)</f>
        <v>345</v>
      </c>
      <c r="AJ609" s="131" t="str">
        <f>IFERROR(__xludf.DUMMYFUNCTION("""COMPUTED_VALUE"""),"S43,G47")</f>
        <v>S43,G47</v>
      </c>
      <c r="AK609" s="131"/>
    </row>
    <row r="610">
      <c r="A610" s="124" t="str">
        <f>IFERROR(__xludf.DUMMYFUNCTION("""COMPUTED_VALUE"""),"Y")</f>
        <v>Y</v>
      </c>
      <c r="B610" s="131" t="str">
        <f>IFERROR(__xludf.DUMMYFUNCTION("""COMPUTED_VALUE"""),"7")</f>
        <v>7</v>
      </c>
      <c r="C610" s="131" t="str">
        <f>IFERROR(__xludf.DUMMYFUNCTION("""COMPUTED_VALUE"""),"385-390")</f>
        <v>385-390</v>
      </c>
      <c r="D610" s="144">
        <f>IFERROR(__xludf.DUMMYFUNCTION("""COMPUTED_VALUE"""),45791.0)</f>
        <v>45791</v>
      </c>
      <c r="E610" s="147">
        <f>IFERROR(__xludf.DUMMYFUNCTION("""COMPUTED_VALUE"""),45798.0)</f>
        <v>45798</v>
      </c>
      <c r="F610" s="147">
        <f>IFERROR(__xludf.DUMMYFUNCTION("""COMPUTED_VALUE"""),45819.0)</f>
        <v>45819</v>
      </c>
      <c r="G610" s="131" t="str">
        <f>IFERROR(__xludf.DUMMYFUNCTION("""COMPUTED_VALUE"""),"D40-4L")</f>
        <v>D40-4L</v>
      </c>
      <c r="H610" s="126">
        <f>IFERROR(__xludf.DUMMYFUNCTION("""COMPUTED_VALUE"""),119.0)</f>
        <v>119</v>
      </c>
      <c r="I610" s="126">
        <f>IFERROR(__xludf.DUMMYFUNCTION("""COMPUTED_VALUE"""),169.0)</f>
        <v>169</v>
      </c>
      <c r="J610" s="131">
        <f>IFERROR(__xludf.DUMMYFUNCTION("""COMPUTED_VALUE"""),26.0)</f>
        <v>26</v>
      </c>
      <c r="K610" s="131">
        <f>IFERROR(__xludf.DUMMYFUNCTION("""COMPUTED_VALUE"""),26.0)</f>
        <v>26</v>
      </c>
      <c r="L610" s="131"/>
      <c r="M610" s="131"/>
      <c r="N610" s="131"/>
      <c r="O610" s="131"/>
      <c r="P610" s="131">
        <f>IFERROR(__xludf.DUMMYFUNCTION("""COMPUTED_VALUE"""),345.0)</f>
        <v>345</v>
      </c>
      <c r="Q610" s="131" t="str">
        <f>IFERROR(__xludf.DUMMYFUNCTION("""COMPUTED_VALUE"""),"S43,G47")</f>
        <v>S43,G47</v>
      </c>
      <c r="R610" s="131"/>
      <c r="T610" s="131" t="str">
        <f>IFERROR(__xludf.DUMMYFUNCTION("""COMPUTED_VALUE"""),"Y")</f>
        <v>Y</v>
      </c>
      <c r="U610" s="131" t="str">
        <f>IFERROR(__xludf.DUMMYFUNCTION("""COMPUTED_VALUE"""),"7")</f>
        <v>7</v>
      </c>
      <c r="V610" s="131" t="str">
        <f>IFERROR(__xludf.DUMMYFUNCTION("""COMPUTED_VALUE"""),"379-384")</f>
        <v>379-384</v>
      </c>
      <c r="W610" s="144">
        <f>IFERROR(__xludf.DUMMYFUNCTION("""COMPUTED_VALUE"""),45791.0)</f>
        <v>45791</v>
      </c>
      <c r="X610" s="144">
        <f>IFERROR(__xludf.DUMMYFUNCTION("""COMPUTED_VALUE"""),45798.0)</f>
        <v>45798</v>
      </c>
      <c r="Y610" s="144">
        <f>IFERROR(__xludf.DUMMYFUNCTION("""COMPUTED_VALUE"""),45819.0)</f>
        <v>45819</v>
      </c>
      <c r="Z610" s="131" t="str">
        <f>IFERROR(__xludf.DUMMYFUNCTION("""COMPUTED_VALUE"""),"D32-3R")</f>
        <v>D32-3R</v>
      </c>
      <c r="AA610" s="131"/>
      <c r="AB610" s="131"/>
      <c r="AC610" s="131"/>
      <c r="AD610" s="131"/>
      <c r="AE610" s="131">
        <f>IFERROR(__xludf.DUMMYFUNCTION("""COMPUTED_VALUE"""),208.0)</f>
        <v>208</v>
      </c>
      <c r="AF610" s="131">
        <f>IFERROR(__xludf.DUMMYFUNCTION("""COMPUTED_VALUE"""),254.0)</f>
        <v>254</v>
      </c>
      <c r="AG610" s="131">
        <f>IFERROR(__xludf.DUMMYFUNCTION("""COMPUTED_VALUE"""),24.0)</f>
        <v>24</v>
      </c>
      <c r="AH610" s="131">
        <f>IFERROR(__xludf.DUMMYFUNCTION("""COMPUTED_VALUE"""),24.0)</f>
        <v>24</v>
      </c>
      <c r="AI610" s="131">
        <f>IFERROR(__xludf.DUMMYFUNCTION("""COMPUTED_VALUE"""),346.0)</f>
        <v>346</v>
      </c>
      <c r="AJ610" s="131" t="str">
        <f>IFERROR(__xludf.DUMMYFUNCTION("""COMPUTED_VALUE"""),"S43,G47")</f>
        <v>S43,G47</v>
      </c>
      <c r="AK610" s="131">
        <f>IFERROR(__xludf.DUMMYFUNCTION("""COMPUTED_VALUE"""),14.0)</f>
        <v>14</v>
      </c>
    </row>
    <row r="611">
      <c r="A611" s="124" t="str">
        <f>IFERROR(__xludf.DUMMYFUNCTION("""COMPUTED_VALUE"""),"Y")</f>
        <v>Y</v>
      </c>
      <c r="B611" s="131" t="str">
        <f>IFERROR(__xludf.DUMMYFUNCTION("""COMPUTED_VALUE"""),"7")</f>
        <v>7</v>
      </c>
      <c r="C611" s="131" t="str">
        <f>IFERROR(__xludf.DUMMYFUNCTION("""COMPUTED_VALUE"""),"379-384")</f>
        <v>379-384</v>
      </c>
      <c r="D611" s="144">
        <f>IFERROR(__xludf.DUMMYFUNCTION("""COMPUTED_VALUE"""),45791.0)</f>
        <v>45791</v>
      </c>
      <c r="E611" s="147">
        <f>IFERROR(__xludf.DUMMYFUNCTION("""COMPUTED_VALUE"""),45798.0)</f>
        <v>45798</v>
      </c>
      <c r="F611" s="147">
        <f>IFERROR(__xludf.DUMMYFUNCTION("""COMPUTED_VALUE"""),45819.0)</f>
        <v>45819</v>
      </c>
      <c r="G611" s="131" t="str">
        <f>IFERROR(__xludf.DUMMYFUNCTION("""COMPUTED_VALUE"""),"D32-3R")</f>
        <v>D32-3R</v>
      </c>
      <c r="H611" s="126"/>
      <c r="I611" s="126"/>
      <c r="J611" s="131"/>
      <c r="K611" s="131"/>
      <c r="L611" s="131">
        <f>IFERROR(__xludf.DUMMYFUNCTION("""COMPUTED_VALUE"""),208.0)</f>
        <v>208</v>
      </c>
      <c r="M611" s="131">
        <f>IFERROR(__xludf.DUMMYFUNCTION("""COMPUTED_VALUE"""),254.0)</f>
        <v>254</v>
      </c>
      <c r="N611" s="131">
        <f>IFERROR(__xludf.DUMMYFUNCTION("""COMPUTED_VALUE"""),24.0)</f>
        <v>24</v>
      </c>
      <c r="O611" s="131">
        <f>IFERROR(__xludf.DUMMYFUNCTION("""COMPUTED_VALUE"""),24.0)</f>
        <v>24</v>
      </c>
      <c r="P611" s="131">
        <f>IFERROR(__xludf.DUMMYFUNCTION("""COMPUTED_VALUE"""),346.0)</f>
        <v>346</v>
      </c>
      <c r="Q611" s="131" t="str">
        <f>IFERROR(__xludf.DUMMYFUNCTION("""COMPUTED_VALUE"""),"S43,G47")</f>
        <v>S43,G47</v>
      </c>
      <c r="R611" s="131">
        <f>IFERROR(__xludf.DUMMYFUNCTION("""COMPUTED_VALUE"""),14.0)</f>
        <v>14</v>
      </c>
      <c r="T611" s="131" t="str">
        <f>IFERROR(__xludf.DUMMYFUNCTION("""COMPUTED_VALUE"""),"Y")</f>
        <v>Y</v>
      </c>
      <c r="U611" s="131" t="str">
        <f>IFERROR(__xludf.DUMMYFUNCTION("""COMPUTED_VALUE"""),"7")</f>
        <v>7</v>
      </c>
      <c r="V611" s="131" t="str">
        <f>IFERROR(__xludf.DUMMYFUNCTION("""COMPUTED_VALUE"""),"379-384")</f>
        <v>379-384</v>
      </c>
      <c r="W611" s="144">
        <f>IFERROR(__xludf.DUMMYFUNCTION("""COMPUTED_VALUE"""),45791.0)</f>
        <v>45791</v>
      </c>
      <c r="X611" s="144">
        <f>IFERROR(__xludf.DUMMYFUNCTION("""COMPUTED_VALUE"""),45798.0)</f>
        <v>45798</v>
      </c>
      <c r="Y611" s="144">
        <f>IFERROR(__xludf.DUMMYFUNCTION("""COMPUTED_VALUE"""),45819.0)</f>
        <v>45819</v>
      </c>
      <c r="Z611" s="131" t="str">
        <f>IFERROR(__xludf.DUMMYFUNCTION("""COMPUTED_VALUE"""),"D32-3R")</f>
        <v>D32-3R</v>
      </c>
      <c r="AA611" s="131"/>
      <c r="AB611" s="131"/>
      <c r="AC611" s="131"/>
      <c r="AD611" s="131"/>
      <c r="AE611" s="131">
        <f>IFERROR(__xludf.DUMMYFUNCTION("""COMPUTED_VALUE"""),258.0)</f>
        <v>258</v>
      </c>
      <c r="AF611" s="131">
        <f>IFERROR(__xludf.DUMMYFUNCTION("""COMPUTED_VALUE"""),298.0)</f>
        <v>298</v>
      </c>
      <c r="AG611" s="131">
        <f>IFERROR(__xludf.DUMMYFUNCTION("""COMPUTED_VALUE"""),21.0)</f>
        <v>21</v>
      </c>
      <c r="AH611" s="131">
        <f>IFERROR(__xludf.DUMMYFUNCTION("""COMPUTED_VALUE"""),21.0)</f>
        <v>21</v>
      </c>
      <c r="AI611" s="131">
        <f>IFERROR(__xludf.DUMMYFUNCTION("""COMPUTED_VALUE"""),346.0)</f>
        <v>346</v>
      </c>
      <c r="AJ611" s="131" t="str">
        <f>IFERROR(__xludf.DUMMYFUNCTION("""COMPUTED_VALUE"""),"S43,G47")</f>
        <v>S43,G47</v>
      </c>
      <c r="AK611" s="131"/>
    </row>
    <row r="612">
      <c r="A612" s="124" t="str">
        <f>IFERROR(__xludf.DUMMYFUNCTION("""COMPUTED_VALUE"""),"Y")</f>
        <v>Y</v>
      </c>
      <c r="B612" s="131" t="str">
        <f>IFERROR(__xludf.DUMMYFUNCTION("""COMPUTED_VALUE"""),"7")</f>
        <v>7</v>
      </c>
      <c r="C612" s="131" t="str">
        <f>IFERROR(__xludf.DUMMYFUNCTION("""COMPUTED_VALUE"""),"379-384")</f>
        <v>379-384</v>
      </c>
      <c r="D612" s="144">
        <f>IFERROR(__xludf.DUMMYFUNCTION("""COMPUTED_VALUE"""),45791.0)</f>
        <v>45791</v>
      </c>
      <c r="E612" s="147">
        <f>IFERROR(__xludf.DUMMYFUNCTION("""COMPUTED_VALUE"""),45798.0)</f>
        <v>45798</v>
      </c>
      <c r="F612" s="147">
        <f>IFERROR(__xludf.DUMMYFUNCTION("""COMPUTED_VALUE"""),45819.0)</f>
        <v>45819</v>
      </c>
      <c r="G612" s="131" t="str">
        <f>IFERROR(__xludf.DUMMYFUNCTION("""COMPUTED_VALUE"""),"D32-3R")</f>
        <v>D32-3R</v>
      </c>
      <c r="H612" s="126"/>
      <c r="I612" s="126"/>
      <c r="J612" s="131"/>
      <c r="K612" s="131"/>
      <c r="L612" s="131">
        <f>IFERROR(__xludf.DUMMYFUNCTION("""COMPUTED_VALUE"""),258.0)</f>
        <v>258</v>
      </c>
      <c r="M612" s="131">
        <f>IFERROR(__xludf.DUMMYFUNCTION("""COMPUTED_VALUE"""),298.0)</f>
        <v>298</v>
      </c>
      <c r="N612" s="131">
        <f>IFERROR(__xludf.DUMMYFUNCTION("""COMPUTED_VALUE"""),21.0)</f>
        <v>21</v>
      </c>
      <c r="O612" s="131">
        <f>IFERROR(__xludf.DUMMYFUNCTION("""COMPUTED_VALUE"""),21.0)</f>
        <v>21</v>
      </c>
      <c r="P612" s="131">
        <f>IFERROR(__xludf.DUMMYFUNCTION("""COMPUTED_VALUE"""),346.0)</f>
        <v>346</v>
      </c>
      <c r="Q612" s="131" t="str">
        <f>IFERROR(__xludf.DUMMYFUNCTION("""COMPUTED_VALUE"""),"S43,G47")</f>
        <v>S43,G47</v>
      </c>
      <c r="R612" s="131"/>
      <c r="T612" s="131" t="str">
        <f>IFERROR(__xludf.DUMMYFUNCTION("""COMPUTED_VALUE"""),"Y")</f>
        <v>Y</v>
      </c>
      <c r="U612" s="131" t="str">
        <f>IFERROR(__xludf.DUMMYFUNCTION("""COMPUTED_VALUE"""),"7")</f>
        <v>7</v>
      </c>
      <c r="V612" s="131" t="str">
        <f>IFERROR(__xludf.DUMMYFUNCTION("""COMPUTED_VALUE"""),"397-402")</f>
        <v>397-402</v>
      </c>
      <c r="W612" s="144">
        <f>IFERROR(__xludf.DUMMYFUNCTION("""COMPUTED_VALUE"""),45792.0)</f>
        <v>45792</v>
      </c>
      <c r="X612" s="144">
        <f>IFERROR(__xludf.DUMMYFUNCTION("""COMPUTED_VALUE"""),45799.0)</f>
        <v>45799</v>
      </c>
      <c r="Y612" s="144">
        <f>IFERROR(__xludf.DUMMYFUNCTION("""COMPUTED_VALUE"""),45820.0)</f>
        <v>45820</v>
      </c>
      <c r="Z612" s="131" t="str">
        <f>IFERROR(__xludf.DUMMYFUNCTION("""COMPUTED_VALUE"""),"D40-4L")</f>
        <v>D40-4L</v>
      </c>
      <c r="AA612" s="131">
        <f>IFERROR(__xludf.DUMMYFUNCTION("""COMPUTED_VALUE"""),171.0)</f>
        <v>171</v>
      </c>
      <c r="AB612" s="131">
        <f>IFERROR(__xludf.DUMMYFUNCTION("""COMPUTED_VALUE"""),287.0)</f>
        <v>287</v>
      </c>
      <c r="AC612" s="131">
        <f>IFERROR(__xludf.DUMMYFUNCTION("""COMPUTED_VALUE"""),59.0)</f>
        <v>59</v>
      </c>
      <c r="AD612" s="131">
        <f>IFERROR(__xludf.DUMMYFUNCTION("""COMPUTED_VALUE"""),59.0)</f>
        <v>59</v>
      </c>
      <c r="AE612" s="131">
        <f>IFERROR(__xludf.DUMMYFUNCTION("""COMPUTED_VALUE"""),90.0)</f>
        <v>90</v>
      </c>
      <c r="AF612" s="131">
        <f>IFERROR(__xludf.DUMMYFUNCTION("""COMPUTED_VALUE"""),90.0)</f>
        <v>90</v>
      </c>
      <c r="AG612" s="131">
        <f>IFERROR(__xludf.DUMMYFUNCTION("""COMPUTED_VALUE"""),1.0)</f>
        <v>1</v>
      </c>
      <c r="AH612" s="131">
        <f>IFERROR(__xludf.DUMMYFUNCTION("""COMPUTED_VALUE"""),1.0)</f>
        <v>1</v>
      </c>
      <c r="AI612" s="131">
        <f>IFERROR(__xludf.DUMMYFUNCTION("""COMPUTED_VALUE"""),347.0)</f>
        <v>347</v>
      </c>
      <c r="AJ612" s="131" t="str">
        <f>IFERROR(__xludf.DUMMYFUNCTION("""COMPUTED_VALUE"""),"S44,G47")</f>
        <v>S44,G47</v>
      </c>
      <c r="AK612" s="131">
        <f>IFERROR(__xludf.DUMMYFUNCTION("""COMPUTED_VALUE"""),26.27)</f>
        <v>26.27</v>
      </c>
    </row>
    <row r="613">
      <c r="A613" s="124" t="str">
        <f>IFERROR(__xludf.DUMMYFUNCTION("""COMPUTED_VALUE"""),"Y")</f>
        <v>Y</v>
      </c>
      <c r="B613" s="131" t="str">
        <f>IFERROR(__xludf.DUMMYFUNCTION("""COMPUTED_VALUE"""),"7")</f>
        <v>7</v>
      </c>
      <c r="C613" s="131" t="str">
        <f>IFERROR(__xludf.DUMMYFUNCTION("""COMPUTED_VALUE"""),"397-402")</f>
        <v>397-402</v>
      </c>
      <c r="D613" s="144">
        <f>IFERROR(__xludf.DUMMYFUNCTION("""COMPUTED_VALUE"""),45792.0)</f>
        <v>45792</v>
      </c>
      <c r="E613" s="147">
        <f>IFERROR(__xludf.DUMMYFUNCTION("""COMPUTED_VALUE"""),45799.0)</f>
        <v>45799</v>
      </c>
      <c r="F613" s="147">
        <f>IFERROR(__xludf.DUMMYFUNCTION("""COMPUTED_VALUE"""),45820.0)</f>
        <v>45820</v>
      </c>
      <c r="G613" s="131" t="str">
        <f>IFERROR(__xludf.DUMMYFUNCTION("""COMPUTED_VALUE"""),"D40-4L")</f>
        <v>D40-4L</v>
      </c>
      <c r="H613" s="126">
        <f>IFERROR(__xludf.DUMMYFUNCTION("""COMPUTED_VALUE"""),171.0)</f>
        <v>171</v>
      </c>
      <c r="I613" s="126">
        <f>IFERROR(__xludf.DUMMYFUNCTION("""COMPUTED_VALUE"""),287.0)</f>
        <v>287</v>
      </c>
      <c r="J613" s="131">
        <f>IFERROR(__xludf.DUMMYFUNCTION("""COMPUTED_VALUE"""),59.0)</f>
        <v>59</v>
      </c>
      <c r="K613" s="131">
        <f>IFERROR(__xludf.DUMMYFUNCTION("""COMPUTED_VALUE"""),59.0)</f>
        <v>59</v>
      </c>
      <c r="L613" s="131">
        <f>IFERROR(__xludf.DUMMYFUNCTION("""COMPUTED_VALUE"""),90.0)</f>
        <v>90</v>
      </c>
      <c r="M613" s="131">
        <f>IFERROR(__xludf.DUMMYFUNCTION("""COMPUTED_VALUE"""),90.0)</f>
        <v>90</v>
      </c>
      <c r="N613" s="131">
        <f>IFERROR(__xludf.DUMMYFUNCTION("""COMPUTED_VALUE"""),1.0)</f>
        <v>1</v>
      </c>
      <c r="O613" s="131">
        <f>IFERROR(__xludf.DUMMYFUNCTION("""COMPUTED_VALUE"""),1.0)</f>
        <v>1</v>
      </c>
      <c r="P613" s="131">
        <f>IFERROR(__xludf.DUMMYFUNCTION("""COMPUTED_VALUE"""),347.0)</f>
        <v>347</v>
      </c>
      <c r="Q613" s="131" t="str">
        <f>IFERROR(__xludf.DUMMYFUNCTION("""COMPUTED_VALUE"""),"S44,G47")</f>
        <v>S44,G47</v>
      </c>
      <c r="R613" s="131">
        <f>IFERROR(__xludf.DUMMYFUNCTION("""COMPUTED_VALUE"""),26.27)</f>
        <v>26.27</v>
      </c>
      <c r="T613" s="131" t="str">
        <f>IFERROR(__xludf.DUMMYFUNCTION("""COMPUTED_VALUE"""),"Y")</f>
        <v>Y</v>
      </c>
      <c r="U613" s="131" t="str">
        <f>IFERROR(__xludf.DUMMYFUNCTION("""COMPUTED_VALUE"""),"7")</f>
        <v>7</v>
      </c>
      <c r="V613" s="131" t="str">
        <f>IFERROR(__xludf.DUMMYFUNCTION("""COMPUTED_VALUE"""),"397-402")</f>
        <v>397-402</v>
      </c>
      <c r="W613" s="144">
        <f>IFERROR(__xludf.DUMMYFUNCTION("""COMPUTED_VALUE"""),45792.0)</f>
        <v>45792</v>
      </c>
      <c r="X613" s="144">
        <f>IFERROR(__xludf.DUMMYFUNCTION("""COMPUTED_VALUE"""),45799.0)</f>
        <v>45799</v>
      </c>
      <c r="Y613" s="144">
        <f>IFERROR(__xludf.DUMMYFUNCTION("""COMPUTED_VALUE"""),45820.0)</f>
        <v>45820</v>
      </c>
      <c r="Z613" s="131" t="str">
        <f>IFERROR(__xludf.DUMMYFUNCTION("""COMPUTED_VALUE"""),"D40-4L")</f>
        <v>D40-4L</v>
      </c>
      <c r="AA613" s="131">
        <f>IFERROR(__xludf.DUMMYFUNCTION("""COMPUTED_VALUE"""),95.0)</f>
        <v>95</v>
      </c>
      <c r="AB613" s="131">
        <f>IFERROR(__xludf.DUMMYFUNCTION("""COMPUTED_VALUE"""),99.0)</f>
        <v>99</v>
      </c>
      <c r="AC613" s="131">
        <f>IFERROR(__xludf.DUMMYFUNCTION("""COMPUTED_VALUE"""),3.0)</f>
        <v>3</v>
      </c>
      <c r="AD613" s="131">
        <f>IFERROR(__xludf.DUMMYFUNCTION("""COMPUTED_VALUE"""),3.0)</f>
        <v>3</v>
      </c>
      <c r="AE613" s="131">
        <f>IFERROR(__xludf.DUMMYFUNCTION("""COMPUTED_VALUE"""),108.0)</f>
        <v>108</v>
      </c>
      <c r="AF613" s="131">
        <f>IFERROR(__xludf.DUMMYFUNCTION("""COMPUTED_VALUE"""),112.0)</f>
        <v>112</v>
      </c>
      <c r="AG613" s="131">
        <f>IFERROR(__xludf.DUMMYFUNCTION("""COMPUTED_VALUE"""),3.0)</f>
        <v>3</v>
      </c>
      <c r="AH613" s="131">
        <f>IFERROR(__xludf.DUMMYFUNCTION("""COMPUTED_VALUE"""),3.0)</f>
        <v>3</v>
      </c>
      <c r="AI613" s="131">
        <f>IFERROR(__xludf.DUMMYFUNCTION("""COMPUTED_VALUE"""),347.0)</f>
        <v>347</v>
      </c>
      <c r="AJ613" s="131" t="str">
        <f>IFERROR(__xludf.DUMMYFUNCTION("""COMPUTED_VALUE"""),"S44,G47")</f>
        <v>S44,G47</v>
      </c>
      <c r="AK613" s="131"/>
    </row>
    <row r="614">
      <c r="A614" s="124" t="str">
        <f>IFERROR(__xludf.DUMMYFUNCTION("""COMPUTED_VALUE"""),"Y")</f>
        <v>Y</v>
      </c>
      <c r="B614" s="131" t="str">
        <f>IFERROR(__xludf.DUMMYFUNCTION("""COMPUTED_VALUE"""),"7")</f>
        <v>7</v>
      </c>
      <c r="C614" s="131" t="str">
        <f>IFERROR(__xludf.DUMMYFUNCTION("""COMPUTED_VALUE"""),"397-402")</f>
        <v>397-402</v>
      </c>
      <c r="D614" s="144">
        <f>IFERROR(__xludf.DUMMYFUNCTION("""COMPUTED_VALUE"""),45792.0)</f>
        <v>45792</v>
      </c>
      <c r="E614" s="147">
        <f>IFERROR(__xludf.DUMMYFUNCTION("""COMPUTED_VALUE"""),45799.0)</f>
        <v>45799</v>
      </c>
      <c r="F614" s="147">
        <f>IFERROR(__xludf.DUMMYFUNCTION("""COMPUTED_VALUE"""),45820.0)</f>
        <v>45820</v>
      </c>
      <c r="G614" s="131" t="str">
        <f>IFERROR(__xludf.DUMMYFUNCTION("""COMPUTED_VALUE"""),"D40-4L")</f>
        <v>D40-4L</v>
      </c>
      <c r="H614" s="126">
        <f>IFERROR(__xludf.DUMMYFUNCTION("""COMPUTED_VALUE"""),95.0)</f>
        <v>95</v>
      </c>
      <c r="I614" s="126">
        <f>IFERROR(__xludf.DUMMYFUNCTION("""COMPUTED_VALUE"""),99.0)</f>
        <v>99</v>
      </c>
      <c r="J614" s="131">
        <f>IFERROR(__xludf.DUMMYFUNCTION("""COMPUTED_VALUE"""),3.0)</f>
        <v>3</v>
      </c>
      <c r="K614" s="131">
        <f>IFERROR(__xludf.DUMMYFUNCTION("""COMPUTED_VALUE"""),3.0)</f>
        <v>3</v>
      </c>
      <c r="L614" s="131">
        <f>IFERROR(__xludf.DUMMYFUNCTION("""COMPUTED_VALUE"""),108.0)</f>
        <v>108</v>
      </c>
      <c r="M614" s="131">
        <f>IFERROR(__xludf.DUMMYFUNCTION("""COMPUTED_VALUE"""),112.0)</f>
        <v>112</v>
      </c>
      <c r="N614" s="131">
        <f>IFERROR(__xludf.DUMMYFUNCTION("""COMPUTED_VALUE"""),3.0)</f>
        <v>3</v>
      </c>
      <c r="O614" s="131">
        <f>IFERROR(__xludf.DUMMYFUNCTION("""COMPUTED_VALUE"""),3.0)</f>
        <v>3</v>
      </c>
      <c r="P614" s="131">
        <f>IFERROR(__xludf.DUMMYFUNCTION("""COMPUTED_VALUE"""),347.0)</f>
        <v>347</v>
      </c>
      <c r="Q614" s="131" t="str">
        <f>IFERROR(__xludf.DUMMYFUNCTION("""COMPUTED_VALUE"""),"S44,G47")</f>
        <v>S44,G47</v>
      </c>
      <c r="R614" s="131"/>
      <c r="T614" s="131" t="str">
        <f>IFERROR(__xludf.DUMMYFUNCTION("""COMPUTED_VALUE"""),"Y")</f>
        <v>Y</v>
      </c>
      <c r="U614" s="131" t="str">
        <f>IFERROR(__xludf.DUMMYFUNCTION("""COMPUTED_VALUE"""),"7")</f>
        <v>7</v>
      </c>
      <c r="V614" s="131" t="str">
        <f>IFERROR(__xludf.DUMMYFUNCTION("""COMPUTED_VALUE"""),"397-402")</f>
        <v>397-402</v>
      </c>
      <c r="W614" s="144">
        <f>IFERROR(__xludf.DUMMYFUNCTION("""COMPUTED_VALUE"""),45792.0)</f>
        <v>45792</v>
      </c>
      <c r="X614" s="144">
        <f>IFERROR(__xludf.DUMMYFUNCTION("""COMPUTED_VALUE"""),45799.0)</f>
        <v>45799</v>
      </c>
      <c r="Y614" s="144">
        <f>IFERROR(__xludf.DUMMYFUNCTION("""COMPUTED_VALUE"""),45820.0)</f>
        <v>45820</v>
      </c>
      <c r="Z614" s="131" t="str">
        <f>IFERROR(__xludf.DUMMYFUNCTION("""COMPUTED_VALUE"""),"D40-4L")</f>
        <v>D40-4L</v>
      </c>
      <c r="AA614" s="131"/>
      <c r="AB614" s="131"/>
      <c r="AC614" s="131"/>
      <c r="AD614" s="131"/>
      <c r="AE614" s="131">
        <f>IFERROR(__xludf.DUMMYFUNCTION("""COMPUTED_VALUE"""),120.0)</f>
        <v>120</v>
      </c>
      <c r="AF614" s="131">
        <f>IFERROR(__xludf.DUMMYFUNCTION("""COMPUTED_VALUE"""),150.0)</f>
        <v>150</v>
      </c>
      <c r="AG614" s="131">
        <f>IFERROR(__xludf.DUMMYFUNCTION("""COMPUTED_VALUE"""),16.0)</f>
        <v>16</v>
      </c>
      <c r="AH614" s="131">
        <f>IFERROR(__xludf.DUMMYFUNCTION("""COMPUTED_VALUE"""),16.0)</f>
        <v>16</v>
      </c>
      <c r="AI614" s="131">
        <f>IFERROR(__xludf.DUMMYFUNCTION("""COMPUTED_VALUE"""),347.0)</f>
        <v>347</v>
      </c>
      <c r="AJ614" s="131" t="str">
        <f>IFERROR(__xludf.DUMMYFUNCTION("""COMPUTED_VALUE"""),"S44,G47")</f>
        <v>S44,G47</v>
      </c>
      <c r="AK614" s="131"/>
    </row>
    <row r="615">
      <c r="A615" s="124" t="str">
        <f>IFERROR(__xludf.DUMMYFUNCTION("""COMPUTED_VALUE"""),"Y")</f>
        <v>Y</v>
      </c>
      <c r="B615" s="131" t="str">
        <f>IFERROR(__xludf.DUMMYFUNCTION("""COMPUTED_VALUE"""),"7")</f>
        <v>7</v>
      </c>
      <c r="C615" s="131" t="str">
        <f>IFERROR(__xludf.DUMMYFUNCTION("""COMPUTED_VALUE"""),"397-402")</f>
        <v>397-402</v>
      </c>
      <c r="D615" s="144">
        <f>IFERROR(__xludf.DUMMYFUNCTION("""COMPUTED_VALUE"""),45792.0)</f>
        <v>45792</v>
      </c>
      <c r="E615" s="147">
        <f>IFERROR(__xludf.DUMMYFUNCTION("""COMPUTED_VALUE"""),45799.0)</f>
        <v>45799</v>
      </c>
      <c r="F615" s="147">
        <f>IFERROR(__xludf.DUMMYFUNCTION("""COMPUTED_VALUE"""),45820.0)</f>
        <v>45820</v>
      </c>
      <c r="G615" s="131" t="str">
        <f>IFERROR(__xludf.DUMMYFUNCTION("""COMPUTED_VALUE"""),"D40-4L")</f>
        <v>D40-4L</v>
      </c>
      <c r="H615" s="126"/>
      <c r="I615" s="126"/>
      <c r="J615" s="131"/>
      <c r="K615" s="131"/>
      <c r="L615" s="131">
        <f>IFERROR(__xludf.DUMMYFUNCTION("""COMPUTED_VALUE"""),120.0)</f>
        <v>120</v>
      </c>
      <c r="M615" s="131">
        <f>IFERROR(__xludf.DUMMYFUNCTION("""COMPUTED_VALUE"""),150.0)</f>
        <v>150</v>
      </c>
      <c r="N615" s="131">
        <f>IFERROR(__xludf.DUMMYFUNCTION("""COMPUTED_VALUE"""),16.0)</f>
        <v>16</v>
      </c>
      <c r="O615" s="131">
        <f>IFERROR(__xludf.DUMMYFUNCTION("""COMPUTED_VALUE"""),16.0)</f>
        <v>16</v>
      </c>
      <c r="P615" s="131">
        <f>IFERROR(__xludf.DUMMYFUNCTION("""COMPUTED_VALUE"""),347.0)</f>
        <v>347</v>
      </c>
      <c r="Q615" s="131" t="str">
        <f>IFERROR(__xludf.DUMMYFUNCTION("""COMPUTED_VALUE"""),"S44,G47")</f>
        <v>S44,G47</v>
      </c>
      <c r="R615" s="131"/>
      <c r="T615" s="131" t="str">
        <f>IFERROR(__xludf.DUMMYFUNCTION("""COMPUTED_VALUE"""),"Y")</f>
        <v>Y</v>
      </c>
      <c r="U615" s="131" t="str">
        <f>IFERROR(__xludf.DUMMYFUNCTION("""COMPUTED_VALUE"""),"7")</f>
        <v>7</v>
      </c>
      <c r="V615" s="131" t="str">
        <f>IFERROR(__xludf.DUMMYFUNCTION("""COMPUTED_VALUE"""),"397-402")</f>
        <v>397-402</v>
      </c>
      <c r="W615" s="144">
        <f>IFERROR(__xludf.DUMMYFUNCTION("""COMPUTED_VALUE"""),45792.0)</f>
        <v>45792</v>
      </c>
      <c r="X615" s="144">
        <f>IFERROR(__xludf.DUMMYFUNCTION("""COMPUTED_VALUE"""),45799.0)</f>
        <v>45799</v>
      </c>
      <c r="Y615" s="144">
        <f>IFERROR(__xludf.DUMMYFUNCTION("""COMPUTED_VALUE"""),45820.0)</f>
        <v>45820</v>
      </c>
      <c r="Z615" s="131" t="str">
        <f>IFERROR(__xludf.DUMMYFUNCTION("""COMPUTED_VALUE"""),"D40-4L")</f>
        <v>D40-4L</v>
      </c>
      <c r="AA615" s="131"/>
      <c r="AB615" s="131"/>
      <c r="AC615" s="131"/>
      <c r="AD615" s="131"/>
      <c r="AE615" s="131">
        <f>IFERROR(__xludf.DUMMYFUNCTION("""COMPUTED_VALUE"""),154.0)</f>
        <v>154</v>
      </c>
      <c r="AF615" s="131">
        <f>IFERROR(__xludf.DUMMYFUNCTION("""COMPUTED_VALUE"""),162.0)</f>
        <v>162</v>
      </c>
      <c r="AG615" s="131">
        <f>IFERROR(__xludf.DUMMYFUNCTION("""COMPUTED_VALUE"""),5.0)</f>
        <v>5</v>
      </c>
      <c r="AH615" s="131">
        <f>IFERROR(__xludf.DUMMYFUNCTION("""COMPUTED_VALUE"""),5.0)</f>
        <v>5</v>
      </c>
      <c r="AI615" s="131">
        <f>IFERROR(__xludf.DUMMYFUNCTION("""COMPUTED_VALUE"""),347.0)</f>
        <v>347</v>
      </c>
      <c r="AJ615" s="131" t="str">
        <f>IFERROR(__xludf.DUMMYFUNCTION("""COMPUTED_VALUE"""),"S44,G47")</f>
        <v>S44,G47</v>
      </c>
      <c r="AK615" s="131"/>
    </row>
    <row r="616">
      <c r="A616" s="124" t="str">
        <f>IFERROR(__xludf.DUMMYFUNCTION("""COMPUTED_VALUE"""),"Y")</f>
        <v>Y</v>
      </c>
      <c r="B616" s="131" t="str">
        <f>IFERROR(__xludf.DUMMYFUNCTION("""COMPUTED_VALUE"""),"7")</f>
        <v>7</v>
      </c>
      <c r="C616" s="131" t="str">
        <f>IFERROR(__xludf.DUMMYFUNCTION("""COMPUTED_VALUE"""),"397-402")</f>
        <v>397-402</v>
      </c>
      <c r="D616" s="144">
        <f>IFERROR(__xludf.DUMMYFUNCTION("""COMPUTED_VALUE"""),45792.0)</f>
        <v>45792</v>
      </c>
      <c r="E616" s="147">
        <f>IFERROR(__xludf.DUMMYFUNCTION("""COMPUTED_VALUE"""),45799.0)</f>
        <v>45799</v>
      </c>
      <c r="F616" s="147">
        <f>IFERROR(__xludf.DUMMYFUNCTION("""COMPUTED_VALUE"""),45820.0)</f>
        <v>45820</v>
      </c>
      <c r="G616" s="131" t="str">
        <f>IFERROR(__xludf.DUMMYFUNCTION("""COMPUTED_VALUE"""),"D40-4L")</f>
        <v>D40-4L</v>
      </c>
      <c r="H616" s="126"/>
      <c r="I616" s="126"/>
      <c r="J616" s="131"/>
      <c r="K616" s="131"/>
      <c r="L616" s="131">
        <f>IFERROR(__xludf.DUMMYFUNCTION("""COMPUTED_VALUE"""),154.0)</f>
        <v>154</v>
      </c>
      <c r="M616" s="131">
        <f>IFERROR(__xludf.DUMMYFUNCTION("""COMPUTED_VALUE"""),162.0)</f>
        <v>162</v>
      </c>
      <c r="N616" s="131">
        <f>IFERROR(__xludf.DUMMYFUNCTION("""COMPUTED_VALUE"""),5.0)</f>
        <v>5</v>
      </c>
      <c r="O616" s="131">
        <f>IFERROR(__xludf.DUMMYFUNCTION("""COMPUTED_VALUE"""),5.0)</f>
        <v>5</v>
      </c>
      <c r="P616" s="131">
        <f>IFERROR(__xludf.DUMMYFUNCTION("""COMPUTED_VALUE"""),347.0)</f>
        <v>347</v>
      </c>
      <c r="Q616" s="131" t="str">
        <f>IFERROR(__xludf.DUMMYFUNCTION("""COMPUTED_VALUE"""),"S44,G47")</f>
        <v>S44,G47</v>
      </c>
      <c r="R616" s="131"/>
      <c r="T616" s="131" t="str">
        <f>IFERROR(__xludf.DUMMYFUNCTION("""COMPUTED_VALUE"""),"Y")</f>
        <v>Y</v>
      </c>
      <c r="U616" s="131" t="str">
        <f>IFERROR(__xludf.DUMMYFUNCTION("""COMPUTED_VALUE"""),"7")</f>
        <v>7</v>
      </c>
      <c r="V616" s="131" t="str">
        <f>IFERROR(__xludf.DUMMYFUNCTION("""COMPUTED_VALUE"""),"391-396")</f>
        <v>391-396</v>
      </c>
      <c r="W616" s="144">
        <f>IFERROR(__xludf.DUMMYFUNCTION("""COMPUTED_VALUE"""),45792.0)</f>
        <v>45792</v>
      </c>
      <c r="X616" s="144">
        <f>IFERROR(__xludf.DUMMYFUNCTION("""COMPUTED_VALUE"""),45799.0)</f>
        <v>45799</v>
      </c>
      <c r="Y616" s="144">
        <f>IFERROR(__xludf.DUMMYFUNCTION("""COMPUTED_VALUE"""),45820.0)</f>
        <v>45820</v>
      </c>
      <c r="Z616" s="131" t="str">
        <f>IFERROR(__xludf.DUMMYFUNCTION("""COMPUTED_VALUE"""),"BRG12")</f>
        <v>BRG12</v>
      </c>
      <c r="AA616" s="131"/>
      <c r="AB616" s="131"/>
      <c r="AC616" s="131"/>
      <c r="AD616" s="131"/>
      <c r="AE616" s="131">
        <f>IFERROR(__xludf.DUMMYFUNCTION("""COMPUTED_VALUE"""),3112.0)</f>
        <v>3112</v>
      </c>
      <c r="AF616" s="131">
        <f>IFERROR(__xludf.DUMMYFUNCTION("""COMPUTED_VALUE"""),3166.0)</f>
        <v>3166</v>
      </c>
      <c r="AG616" s="131">
        <f>IFERROR(__xludf.DUMMYFUNCTION("""COMPUTED_VALUE"""),28.0)</f>
        <v>28</v>
      </c>
      <c r="AH616" s="131">
        <f>IFERROR(__xludf.DUMMYFUNCTION("""COMPUTED_VALUE"""),28.0)</f>
        <v>28</v>
      </c>
      <c r="AI616" s="131">
        <f>IFERROR(__xludf.DUMMYFUNCTION("""COMPUTED_VALUE"""),348.0)</f>
        <v>348</v>
      </c>
      <c r="AJ616" s="131" t="str">
        <f>IFERROR(__xludf.DUMMYFUNCTION("""COMPUTED_VALUE"""),"S44,G47")</f>
        <v>S44,G47</v>
      </c>
      <c r="AK616" s="131">
        <f>IFERROR(__xludf.DUMMYFUNCTION("""COMPUTED_VALUE"""),25.76)</f>
        <v>25.76</v>
      </c>
    </row>
    <row r="617">
      <c r="A617" s="124" t="str">
        <f>IFERROR(__xludf.DUMMYFUNCTION("""COMPUTED_VALUE"""),"Y")</f>
        <v>Y</v>
      </c>
      <c r="B617" s="131" t="str">
        <f>IFERROR(__xludf.DUMMYFUNCTION("""COMPUTED_VALUE"""),"7")</f>
        <v>7</v>
      </c>
      <c r="C617" s="131" t="str">
        <f>IFERROR(__xludf.DUMMYFUNCTION("""COMPUTED_VALUE"""),"391-396")</f>
        <v>391-396</v>
      </c>
      <c r="D617" s="144">
        <f>IFERROR(__xludf.DUMMYFUNCTION("""COMPUTED_VALUE"""),45792.0)</f>
        <v>45792</v>
      </c>
      <c r="E617" s="147">
        <f>IFERROR(__xludf.DUMMYFUNCTION("""COMPUTED_VALUE"""),45799.0)</f>
        <v>45799</v>
      </c>
      <c r="F617" s="147">
        <f>IFERROR(__xludf.DUMMYFUNCTION("""COMPUTED_VALUE"""),45820.0)</f>
        <v>45820</v>
      </c>
      <c r="G617" s="131" t="str">
        <f>IFERROR(__xludf.DUMMYFUNCTION("""COMPUTED_VALUE"""),"BRG12")</f>
        <v>BRG12</v>
      </c>
      <c r="H617" s="126"/>
      <c r="I617" s="126"/>
      <c r="J617" s="131"/>
      <c r="K617" s="131"/>
      <c r="L617" s="131">
        <f>IFERROR(__xludf.DUMMYFUNCTION("""COMPUTED_VALUE"""),3112.0)</f>
        <v>3112</v>
      </c>
      <c r="M617" s="131">
        <f>IFERROR(__xludf.DUMMYFUNCTION("""COMPUTED_VALUE"""),3166.0)</f>
        <v>3166</v>
      </c>
      <c r="N617" s="131">
        <f>IFERROR(__xludf.DUMMYFUNCTION("""COMPUTED_VALUE"""),28.0)</f>
        <v>28</v>
      </c>
      <c r="O617" s="131">
        <f>IFERROR(__xludf.DUMMYFUNCTION("""COMPUTED_VALUE"""),28.0)</f>
        <v>28</v>
      </c>
      <c r="P617" s="131">
        <f>IFERROR(__xludf.DUMMYFUNCTION("""COMPUTED_VALUE"""),348.0)</f>
        <v>348</v>
      </c>
      <c r="Q617" s="131" t="str">
        <f>IFERROR(__xludf.DUMMYFUNCTION("""COMPUTED_VALUE"""),"S44,G47")</f>
        <v>S44,G47</v>
      </c>
      <c r="R617" s="131">
        <f>IFERROR(__xludf.DUMMYFUNCTION("""COMPUTED_VALUE"""),25.76)</f>
        <v>25.76</v>
      </c>
      <c r="T617" s="131" t="str">
        <f>IFERROR(__xludf.DUMMYFUNCTION("""COMPUTED_VALUE"""),"Y")</f>
        <v>Y</v>
      </c>
      <c r="U617" s="131" t="str">
        <f>IFERROR(__xludf.DUMMYFUNCTION("""COMPUTED_VALUE"""),"7")</f>
        <v>7</v>
      </c>
      <c r="V617" s="131" t="str">
        <f>IFERROR(__xludf.DUMMYFUNCTION("""COMPUTED_VALUE"""),"403-408")</f>
        <v>403-408</v>
      </c>
      <c r="W617" s="144">
        <f>IFERROR(__xludf.DUMMYFUNCTION("""COMPUTED_VALUE"""),45795.0)</f>
        <v>45795</v>
      </c>
      <c r="X617" s="144">
        <f>IFERROR(__xludf.DUMMYFUNCTION("""COMPUTED_VALUE"""),45802.0)</f>
        <v>45802</v>
      </c>
      <c r="Y617" s="144">
        <f>IFERROR(__xludf.DUMMYFUNCTION("""COMPUTED_VALUE"""),45823.0)</f>
        <v>45823</v>
      </c>
      <c r="Z617" s="131" t="str">
        <f>IFERROR(__xludf.DUMMYFUNCTION("""COMPUTED_VALUE"""),"D42-1L")</f>
        <v>D42-1L</v>
      </c>
      <c r="AA617" s="131"/>
      <c r="AB617" s="131"/>
      <c r="AC617" s="131"/>
      <c r="AD617" s="131"/>
      <c r="AE617" s="131">
        <f>IFERROR(__xludf.DUMMYFUNCTION("""COMPUTED_VALUE"""),2.0)</f>
        <v>2</v>
      </c>
      <c r="AF617" s="131">
        <f>IFERROR(__xludf.DUMMYFUNCTION("""COMPUTED_VALUE"""),76.0)</f>
        <v>76</v>
      </c>
      <c r="AG617" s="131">
        <f>IFERROR(__xludf.DUMMYFUNCTION("""COMPUTED_VALUE"""),38.0)</f>
        <v>38</v>
      </c>
      <c r="AH617" s="131">
        <f>IFERROR(__xludf.DUMMYFUNCTION("""COMPUTED_VALUE"""),38.0)</f>
        <v>38</v>
      </c>
      <c r="AI617" s="131">
        <f>IFERROR(__xludf.DUMMYFUNCTION("""COMPUTED_VALUE"""),349.0)</f>
        <v>349</v>
      </c>
      <c r="AJ617" s="131" t="str">
        <f>IFERROR(__xludf.DUMMYFUNCTION("""COMPUTED_VALUE"""),"S44,G48")</f>
        <v>S44,G48</v>
      </c>
      <c r="AK617" s="131">
        <f>IFERROR(__xludf.DUMMYFUNCTION("""COMPUTED_VALUE"""),11.4)</f>
        <v>11.4</v>
      </c>
    </row>
    <row r="618">
      <c r="A618" s="124" t="str">
        <f>IFERROR(__xludf.DUMMYFUNCTION("""COMPUTED_VALUE"""),"Y")</f>
        <v>Y</v>
      </c>
      <c r="B618" s="131" t="str">
        <f>IFERROR(__xludf.DUMMYFUNCTION("""COMPUTED_VALUE"""),"7")</f>
        <v>7</v>
      </c>
      <c r="C618" s="131" t="str">
        <f>IFERROR(__xludf.DUMMYFUNCTION("""COMPUTED_VALUE"""),"403-408")</f>
        <v>403-408</v>
      </c>
      <c r="D618" s="144">
        <f>IFERROR(__xludf.DUMMYFUNCTION("""COMPUTED_VALUE"""),45795.0)</f>
        <v>45795</v>
      </c>
      <c r="E618" s="147">
        <f>IFERROR(__xludf.DUMMYFUNCTION("""COMPUTED_VALUE"""),45802.0)</f>
        <v>45802</v>
      </c>
      <c r="F618" s="147">
        <f>IFERROR(__xludf.DUMMYFUNCTION("""COMPUTED_VALUE"""),45823.0)</f>
        <v>45823</v>
      </c>
      <c r="G618" s="131" t="str">
        <f>IFERROR(__xludf.DUMMYFUNCTION("""COMPUTED_VALUE"""),"D42-1L")</f>
        <v>D42-1L</v>
      </c>
      <c r="H618" s="126"/>
      <c r="I618" s="126"/>
      <c r="J618" s="131"/>
      <c r="K618" s="131"/>
      <c r="L618" s="131">
        <f>IFERROR(__xludf.DUMMYFUNCTION("""COMPUTED_VALUE"""),2.0)</f>
        <v>2</v>
      </c>
      <c r="M618" s="131">
        <f>IFERROR(__xludf.DUMMYFUNCTION("""COMPUTED_VALUE"""),76.0)</f>
        <v>76</v>
      </c>
      <c r="N618" s="131">
        <f>IFERROR(__xludf.DUMMYFUNCTION("""COMPUTED_VALUE"""),38.0)</f>
        <v>38</v>
      </c>
      <c r="O618" s="131">
        <f>IFERROR(__xludf.DUMMYFUNCTION("""COMPUTED_VALUE"""),38.0)</f>
        <v>38</v>
      </c>
      <c r="P618" s="131">
        <f>IFERROR(__xludf.DUMMYFUNCTION("""COMPUTED_VALUE"""),349.0)</f>
        <v>349</v>
      </c>
      <c r="Q618" s="131" t="str">
        <f>IFERROR(__xludf.DUMMYFUNCTION("""COMPUTED_VALUE"""),"S44,G48")</f>
        <v>S44,G48</v>
      </c>
      <c r="R618" s="131">
        <f>IFERROR(__xludf.DUMMYFUNCTION("""COMPUTED_VALUE"""),11.4)</f>
        <v>11.4</v>
      </c>
      <c r="T618" s="131" t="str">
        <f>IFERROR(__xludf.DUMMYFUNCTION("""COMPUTED_VALUE"""),"Y")</f>
        <v>Y</v>
      </c>
      <c r="U618" s="131" t="str">
        <f>IFERROR(__xludf.DUMMYFUNCTION("""COMPUTED_VALUE"""),"7")</f>
        <v>7</v>
      </c>
      <c r="V618" s="131" t="str">
        <f>IFERROR(__xludf.DUMMYFUNCTION("""COMPUTED_VALUE"""),"415-420")</f>
        <v>415-420</v>
      </c>
      <c r="W618" s="144">
        <f>IFERROR(__xludf.DUMMYFUNCTION("""COMPUTED_VALUE"""),45796.0)</f>
        <v>45796</v>
      </c>
      <c r="X618" s="144">
        <f>IFERROR(__xludf.DUMMYFUNCTION("""COMPUTED_VALUE"""),45803.0)</f>
        <v>45803</v>
      </c>
      <c r="Y618" s="144">
        <f>IFERROR(__xludf.DUMMYFUNCTION("""COMPUTED_VALUE"""),45824.0)</f>
        <v>45824</v>
      </c>
      <c r="Z618" s="131" t="str">
        <f>IFERROR(__xludf.DUMMYFUNCTION("""COMPUTED_VALUE"""),"D40-4L")</f>
        <v>D40-4L</v>
      </c>
      <c r="AA618" s="131"/>
      <c r="AB618" s="131"/>
      <c r="AC618" s="131"/>
      <c r="AD618" s="131"/>
      <c r="AE618" s="131">
        <f>IFERROR(__xludf.DUMMYFUNCTION("""COMPUTED_VALUE"""),252.0)</f>
        <v>252</v>
      </c>
      <c r="AF618" s="131">
        <f>IFERROR(__xludf.DUMMYFUNCTION("""COMPUTED_VALUE"""),284.0)</f>
        <v>284</v>
      </c>
      <c r="AG618" s="131">
        <f>IFERROR(__xludf.DUMMYFUNCTION("""COMPUTED_VALUE"""),17.0)</f>
        <v>17</v>
      </c>
      <c r="AH618" s="131">
        <f>IFERROR(__xludf.DUMMYFUNCTION("""COMPUTED_VALUE"""),17.0)</f>
        <v>17</v>
      </c>
      <c r="AI618" s="131">
        <f>IFERROR(__xludf.DUMMYFUNCTION("""COMPUTED_VALUE"""),350.0)</f>
        <v>350</v>
      </c>
      <c r="AJ618" s="131" t="str">
        <f>IFERROR(__xludf.DUMMYFUNCTION("""COMPUTED_VALUE"""),"S45,G48")</f>
        <v>S45,G48</v>
      </c>
      <c r="AK618" s="131">
        <f>IFERROR(__xludf.DUMMYFUNCTION("""COMPUTED_VALUE"""),25.066)</f>
        <v>25.066</v>
      </c>
    </row>
    <row r="619">
      <c r="A619" s="124" t="str">
        <f>IFERROR(__xludf.DUMMYFUNCTION("""COMPUTED_VALUE"""),"Y")</f>
        <v>Y</v>
      </c>
      <c r="B619" s="131" t="str">
        <f>IFERROR(__xludf.DUMMYFUNCTION("""COMPUTED_VALUE"""),"7")</f>
        <v>7</v>
      </c>
      <c r="C619" s="131" t="str">
        <f>IFERROR(__xludf.DUMMYFUNCTION("""COMPUTED_VALUE"""),"415-420")</f>
        <v>415-420</v>
      </c>
      <c r="D619" s="144">
        <f>IFERROR(__xludf.DUMMYFUNCTION("""COMPUTED_VALUE"""),45796.0)</f>
        <v>45796</v>
      </c>
      <c r="E619" s="147">
        <f>IFERROR(__xludf.DUMMYFUNCTION("""COMPUTED_VALUE"""),45803.0)</f>
        <v>45803</v>
      </c>
      <c r="F619" s="147">
        <f>IFERROR(__xludf.DUMMYFUNCTION("""COMPUTED_VALUE"""),45824.0)</f>
        <v>45824</v>
      </c>
      <c r="G619" s="131" t="str">
        <f>IFERROR(__xludf.DUMMYFUNCTION("""COMPUTED_VALUE"""),"D40-4L")</f>
        <v>D40-4L</v>
      </c>
      <c r="H619" s="126"/>
      <c r="I619" s="126"/>
      <c r="J619" s="131"/>
      <c r="K619" s="131"/>
      <c r="L619" s="131">
        <f>IFERROR(__xludf.DUMMYFUNCTION("""COMPUTED_VALUE"""),252.0)</f>
        <v>252</v>
      </c>
      <c r="M619" s="131">
        <f>IFERROR(__xludf.DUMMYFUNCTION("""COMPUTED_VALUE"""),284.0)</f>
        <v>284</v>
      </c>
      <c r="N619" s="131">
        <f>IFERROR(__xludf.DUMMYFUNCTION("""COMPUTED_VALUE"""),17.0)</f>
        <v>17</v>
      </c>
      <c r="O619" s="131">
        <f>IFERROR(__xludf.DUMMYFUNCTION("""COMPUTED_VALUE"""),17.0)</f>
        <v>17</v>
      </c>
      <c r="P619" s="131">
        <f>IFERROR(__xludf.DUMMYFUNCTION("""COMPUTED_VALUE"""),350.0)</f>
        <v>350</v>
      </c>
      <c r="Q619" s="131" t="str">
        <f>IFERROR(__xludf.DUMMYFUNCTION("""COMPUTED_VALUE"""),"S45,G48")</f>
        <v>S45,G48</v>
      </c>
      <c r="R619" s="131">
        <f>IFERROR(__xludf.DUMMYFUNCTION("""COMPUTED_VALUE"""),25.066)</f>
        <v>25.066</v>
      </c>
      <c r="T619" s="131" t="str">
        <f>IFERROR(__xludf.DUMMYFUNCTION("""COMPUTED_VALUE"""),"Y")</f>
        <v>Y</v>
      </c>
      <c r="U619" s="131" t="str">
        <f>IFERROR(__xludf.DUMMYFUNCTION("""COMPUTED_VALUE"""),"7")</f>
        <v>7</v>
      </c>
      <c r="V619" s="131" t="str">
        <f>IFERROR(__xludf.DUMMYFUNCTION("""COMPUTED_VALUE"""),"415-420")</f>
        <v>415-420</v>
      </c>
      <c r="W619" s="144">
        <f>IFERROR(__xludf.DUMMYFUNCTION("""COMPUTED_VALUE"""),45796.0)</f>
        <v>45796</v>
      </c>
      <c r="X619" s="144">
        <f>IFERROR(__xludf.DUMMYFUNCTION("""COMPUTED_VALUE"""),45803.0)</f>
        <v>45803</v>
      </c>
      <c r="Y619" s="144">
        <f>IFERROR(__xludf.DUMMYFUNCTION("""COMPUTED_VALUE"""),45824.0)</f>
        <v>45824</v>
      </c>
      <c r="Z619" s="131" t="str">
        <f>IFERROR(__xludf.DUMMYFUNCTION("""COMPUTED_VALUE"""),"D40-4L")</f>
        <v>D40-4L</v>
      </c>
      <c r="AA619" s="131"/>
      <c r="AB619" s="131"/>
      <c r="AC619" s="131"/>
      <c r="AD619" s="131"/>
      <c r="AE619" s="131">
        <f>IFERROR(__xludf.DUMMYFUNCTION("""COMPUTED_VALUE"""),202.0)</f>
        <v>202</v>
      </c>
      <c r="AF619" s="131">
        <f>IFERROR(__xludf.DUMMYFUNCTION("""COMPUTED_VALUE"""),248.0)</f>
        <v>248</v>
      </c>
      <c r="AG619" s="131">
        <f>IFERROR(__xludf.DUMMYFUNCTION("""COMPUTED_VALUE"""),24.0)</f>
        <v>24</v>
      </c>
      <c r="AH619" s="131">
        <f>IFERROR(__xludf.DUMMYFUNCTION("""COMPUTED_VALUE"""),24.0)</f>
        <v>24</v>
      </c>
      <c r="AI619" s="131">
        <f>IFERROR(__xludf.DUMMYFUNCTION("""COMPUTED_VALUE"""),350.0)</f>
        <v>350</v>
      </c>
      <c r="AJ619" s="131" t="str">
        <f>IFERROR(__xludf.DUMMYFUNCTION("""COMPUTED_VALUE"""),"S45,G48")</f>
        <v>S45,G48</v>
      </c>
      <c r="AK619" s="131"/>
    </row>
    <row r="620">
      <c r="A620" s="124" t="str">
        <f>IFERROR(__xludf.DUMMYFUNCTION("""COMPUTED_VALUE"""),"Y")</f>
        <v>Y</v>
      </c>
      <c r="B620" s="131" t="str">
        <f>IFERROR(__xludf.DUMMYFUNCTION("""COMPUTED_VALUE"""),"7")</f>
        <v>7</v>
      </c>
      <c r="C620" s="131" t="str">
        <f>IFERROR(__xludf.DUMMYFUNCTION("""COMPUTED_VALUE"""),"415-420")</f>
        <v>415-420</v>
      </c>
      <c r="D620" s="144">
        <f>IFERROR(__xludf.DUMMYFUNCTION("""COMPUTED_VALUE"""),45796.0)</f>
        <v>45796</v>
      </c>
      <c r="E620" s="147">
        <f>IFERROR(__xludf.DUMMYFUNCTION("""COMPUTED_VALUE"""),45803.0)</f>
        <v>45803</v>
      </c>
      <c r="F620" s="147">
        <f>IFERROR(__xludf.DUMMYFUNCTION("""COMPUTED_VALUE"""),45824.0)</f>
        <v>45824</v>
      </c>
      <c r="G620" s="131" t="str">
        <f>IFERROR(__xludf.DUMMYFUNCTION("""COMPUTED_VALUE"""),"D40-4L")</f>
        <v>D40-4L</v>
      </c>
      <c r="H620" s="126"/>
      <c r="I620" s="126"/>
      <c r="J620" s="131"/>
      <c r="K620" s="131"/>
      <c r="L620" s="131">
        <f>IFERROR(__xludf.DUMMYFUNCTION("""COMPUTED_VALUE"""),202.0)</f>
        <v>202</v>
      </c>
      <c r="M620" s="131">
        <f>IFERROR(__xludf.DUMMYFUNCTION("""COMPUTED_VALUE"""),248.0)</f>
        <v>248</v>
      </c>
      <c r="N620" s="131">
        <f>IFERROR(__xludf.DUMMYFUNCTION("""COMPUTED_VALUE"""),24.0)</f>
        <v>24</v>
      </c>
      <c r="O620" s="131">
        <f>IFERROR(__xludf.DUMMYFUNCTION("""COMPUTED_VALUE"""),24.0)</f>
        <v>24</v>
      </c>
      <c r="P620" s="131">
        <f>IFERROR(__xludf.DUMMYFUNCTION("""COMPUTED_VALUE"""),350.0)</f>
        <v>350</v>
      </c>
      <c r="Q620" s="131" t="str">
        <f>IFERROR(__xludf.DUMMYFUNCTION("""COMPUTED_VALUE"""),"S45,G48")</f>
        <v>S45,G48</v>
      </c>
      <c r="R620" s="131"/>
      <c r="T620" s="131" t="str">
        <f>IFERROR(__xludf.DUMMYFUNCTION("""COMPUTED_VALUE"""),"Y")</f>
        <v>Y</v>
      </c>
      <c r="U620" s="131" t="str">
        <f>IFERROR(__xludf.DUMMYFUNCTION("""COMPUTED_VALUE"""),"7")</f>
        <v>7</v>
      </c>
      <c r="V620" s="131" t="str">
        <f>IFERROR(__xludf.DUMMYFUNCTION("""COMPUTED_VALUE"""),"415-420")</f>
        <v>415-420</v>
      </c>
      <c r="W620" s="144">
        <f>IFERROR(__xludf.DUMMYFUNCTION("""COMPUTED_VALUE"""),45796.0)</f>
        <v>45796</v>
      </c>
      <c r="X620" s="144">
        <f>IFERROR(__xludf.DUMMYFUNCTION("""COMPUTED_VALUE"""),45803.0)</f>
        <v>45803</v>
      </c>
      <c r="Y620" s="144">
        <f>IFERROR(__xludf.DUMMYFUNCTION("""COMPUTED_VALUE"""),45824.0)</f>
        <v>45824</v>
      </c>
      <c r="Z620" s="131" t="str">
        <f>IFERROR(__xludf.DUMMYFUNCTION("""COMPUTED_VALUE"""),"D40-4L")</f>
        <v>D40-4L</v>
      </c>
      <c r="AA620" s="131"/>
      <c r="AB620" s="131"/>
      <c r="AC620" s="131"/>
      <c r="AD620" s="131"/>
      <c r="AE620" s="131">
        <f>IFERROR(__xludf.DUMMYFUNCTION("""COMPUTED_VALUE"""),164.0)</f>
        <v>164</v>
      </c>
      <c r="AF620" s="131">
        <f>IFERROR(__xludf.DUMMYFUNCTION("""COMPUTED_VALUE"""),198.0)</f>
        <v>198</v>
      </c>
      <c r="AG620" s="131">
        <f>IFERROR(__xludf.DUMMYFUNCTION("""COMPUTED_VALUE"""),18.0)</f>
        <v>18</v>
      </c>
      <c r="AH620" s="131">
        <f>IFERROR(__xludf.DUMMYFUNCTION("""COMPUTED_VALUE"""),18.0)</f>
        <v>18</v>
      </c>
      <c r="AI620" s="131">
        <f>IFERROR(__xludf.DUMMYFUNCTION("""COMPUTED_VALUE"""),350.0)</f>
        <v>350</v>
      </c>
      <c r="AJ620" s="131" t="str">
        <f>IFERROR(__xludf.DUMMYFUNCTION("""COMPUTED_VALUE"""),"S45,G48")</f>
        <v>S45,G48</v>
      </c>
      <c r="AK620" s="131"/>
    </row>
    <row r="621">
      <c r="A621" s="124" t="str">
        <f>IFERROR(__xludf.DUMMYFUNCTION("""COMPUTED_VALUE"""),"Y")</f>
        <v>Y</v>
      </c>
      <c r="B621" s="131" t="str">
        <f>IFERROR(__xludf.DUMMYFUNCTION("""COMPUTED_VALUE"""),"7")</f>
        <v>7</v>
      </c>
      <c r="C621" s="131" t="str">
        <f>IFERROR(__xludf.DUMMYFUNCTION("""COMPUTED_VALUE"""),"415-420")</f>
        <v>415-420</v>
      </c>
      <c r="D621" s="144">
        <f>IFERROR(__xludf.DUMMYFUNCTION("""COMPUTED_VALUE"""),45796.0)</f>
        <v>45796</v>
      </c>
      <c r="E621" s="147">
        <f>IFERROR(__xludf.DUMMYFUNCTION("""COMPUTED_VALUE"""),45803.0)</f>
        <v>45803</v>
      </c>
      <c r="F621" s="147">
        <f>IFERROR(__xludf.DUMMYFUNCTION("""COMPUTED_VALUE"""),45824.0)</f>
        <v>45824</v>
      </c>
      <c r="G621" s="131" t="str">
        <f>IFERROR(__xludf.DUMMYFUNCTION("""COMPUTED_VALUE"""),"D40-4L")</f>
        <v>D40-4L</v>
      </c>
      <c r="H621" s="126"/>
      <c r="I621" s="126"/>
      <c r="J621" s="131"/>
      <c r="K621" s="131"/>
      <c r="L621" s="131">
        <f>IFERROR(__xludf.DUMMYFUNCTION("""COMPUTED_VALUE"""),164.0)</f>
        <v>164</v>
      </c>
      <c r="M621" s="131">
        <f>IFERROR(__xludf.DUMMYFUNCTION("""COMPUTED_VALUE"""),198.0)</f>
        <v>198</v>
      </c>
      <c r="N621" s="131">
        <f>IFERROR(__xludf.DUMMYFUNCTION("""COMPUTED_VALUE"""),18.0)</f>
        <v>18</v>
      </c>
      <c r="O621" s="131">
        <f>IFERROR(__xludf.DUMMYFUNCTION("""COMPUTED_VALUE"""),18.0)</f>
        <v>18</v>
      </c>
      <c r="P621" s="131">
        <f>IFERROR(__xludf.DUMMYFUNCTION("""COMPUTED_VALUE"""),350.0)</f>
        <v>350</v>
      </c>
      <c r="Q621" s="131" t="str">
        <f>IFERROR(__xludf.DUMMYFUNCTION("""COMPUTED_VALUE"""),"S45,G48")</f>
        <v>S45,G48</v>
      </c>
      <c r="R621" s="131"/>
      <c r="T621" s="131" t="str">
        <f>IFERROR(__xludf.DUMMYFUNCTION("""COMPUTED_VALUE"""),"Y")</f>
        <v>Y</v>
      </c>
      <c r="U621" s="131" t="str">
        <f>IFERROR(__xludf.DUMMYFUNCTION("""COMPUTED_VALUE"""),"7")</f>
        <v>7</v>
      </c>
      <c r="V621" s="131" t="str">
        <f>IFERROR(__xludf.DUMMYFUNCTION("""COMPUTED_VALUE"""),"415-420")</f>
        <v>415-420</v>
      </c>
      <c r="W621" s="144">
        <f>IFERROR(__xludf.DUMMYFUNCTION("""COMPUTED_VALUE"""),45796.0)</f>
        <v>45796</v>
      </c>
      <c r="X621" s="144">
        <f>IFERROR(__xludf.DUMMYFUNCTION("""COMPUTED_VALUE"""),45803.0)</f>
        <v>45803</v>
      </c>
      <c r="Y621" s="144">
        <f>IFERROR(__xludf.DUMMYFUNCTION("""COMPUTED_VALUE"""),45824.0)</f>
        <v>45824</v>
      </c>
      <c r="Z621" s="131" t="str">
        <f>IFERROR(__xludf.DUMMYFUNCTION("""COMPUTED_VALUE"""),"D40-2L")</f>
        <v>D40-2L</v>
      </c>
      <c r="AA621" s="131">
        <f>IFERROR(__xludf.DUMMYFUNCTION("""COMPUTED_VALUE"""),235.0)</f>
        <v>235</v>
      </c>
      <c r="AB621" s="131">
        <f>IFERROR(__xludf.DUMMYFUNCTION("""COMPUTED_VALUE"""),235.0)</f>
        <v>235</v>
      </c>
      <c r="AC621" s="131">
        <f>IFERROR(__xludf.DUMMYFUNCTION("""COMPUTED_VALUE"""),1.0)</f>
        <v>1</v>
      </c>
      <c r="AD621" s="131">
        <f>IFERROR(__xludf.DUMMYFUNCTION("""COMPUTED_VALUE"""),1.0)</f>
        <v>1</v>
      </c>
      <c r="AE621" s="131"/>
      <c r="AF621" s="131"/>
      <c r="AG621" s="131"/>
      <c r="AH621" s="131"/>
      <c r="AI621" s="131">
        <f>IFERROR(__xludf.DUMMYFUNCTION("""COMPUTED_VALUE"""),350.0)</f>
        <v>350</v>
      </c>
      <c r="AJ621" s="131" t="str">
        <f>IFERROR(__xludf.DUMMYFUNCTION("""COMPUTED_VALUE"""),"S45,G48")</f>
        <v>S45,G48</v>
      </c>
      <c r="AK621" s="131"/>
    </row>
    <row r="622">
      <c r="A622" s="124" t="str">
        <f>IFERROR(__xludf.DUMMYFUNCTION("""COMPUTED_VALUE"""),"Y")</f>
        <v>Y</v>
      </c>
      <c r="B622" s="131" t="str">
        <f>IFERROR(__xludf.DUMMYFUNCTION("""COMPUTED_VALUE"""),"7")</f>
        <v>7</v>
      </c>
      <c r="C622" s="131" t="str">
        <f>IFERROR(__xludf.DUMMYFUNCTION("""COMPUTED_VALUE"""),"415-420")</f>
        <v>415-420</v>
      </c>
      <c r="D622" s="144">
        <f>IFERROR(__xludf.DUMMYFUNCTION("""COMPUTED_VALUE"""),45796.0)</f>
        <v>45796</v>
      </c>
      <c r="E622" s="147">
        <f>IFERROR(__xludf.DUMMYFUNCTION("""COMPUTED_VALUE"""),45803.0)</f>
        <v>45803</v>
      </c>
      <c r="F622" s="147">
        <f>IFERROR(__xludf.DUMMYFUNCTION("""COMPUTED_VALUE"""),45824.0)</f>
        <v>45824</v>
      </c>
      <c r="G622" s="131" t="str">
        <f>IFERROR(__xludf.DUMMYFUNCTION("""COMPUTED_VALUE"""),"D40-2L")</f>
        <v>D40-2L</v>
      </c>
      <c r="H622" s="126">
        <f>IFERROR(__xludf.DUMMYFUNCTION("""COMPUTED_VALUE"""),235.0)</f>
        <v>235</v>
      </c>
      <c r="I622" s="126">
        <f>IFERROR(__xludf.DUMMYFUNCTION("""COMPUTED_VALUE"""),235.0)</f>
        <v>235</v>
      </c>
      <c r="J622" s="131">
        <f>IFERROR(__xludf.DUMMYFUNCTION("""COMPUTED_VALUE"""),1.0)</f>
        <v>1</v>
      </c>
      <c r="K622" s="131">
        <f>IFERROR(__xludf.DUMMYFUNCTION("""COMPUTED_VALUE"""),1.0)</f>
        <v>1</v>
      </c>
      <c r="L622" s="131"/>
      <c r="M622" s="131"/>
      <c r="N622" s="131"/>
      <c r="O622" s="131"/>
      <c r="P622" s="131">
        <f>IFERROR(__xludf.DUMMYFUNCTION("""COMPUTED_VALUE"""),350.0)</f>
        <v>350</v>
      </c>
      <c r="Q622" s="131" t="str">
        <f>IFERROR(__xludf.DUMMYFUNCTION("""COMPUTED_VALUE"""),"S45,G48")</f>
        <v>S45,G48</v>
      </c>
      <c r="R622" s="131"/>
      <c r="T622" s="131" t="str">
        <f>IFERROR(__xludf.DUMMYFUNCTION("""COMPUTED_VALUE"""),"Y")</f>
        <v>Y</v>
      </c>
      <c r="U622" s="131" t="str">
        <f>IFERROR(__xludf.DUMMYFUNCTION("""COMPUTED_VALUE"""),"7")</f>
        <v>7</v>
      </c>
      <c r="V622" s="131" t="str">
        <f>IFERROR(__xludf.DUMMYFUNCTION("""COMPUTED_VALUE"""),"415-420")</f>
        <v>415-420</v>
      </c>
      <c r="W622" s="144">
        <f>IFERROR(__xludf.DUMMYFUNCTION("""COMPUTED_VALUE"""),45796.0)</f>
        <v>45796</v>
      </c>
      <c r="X622" s="144">
        <f>IFERROR(__xludf.DUMMYFUNCTION("""COMPUTED_VALUE"""),45803.0)</f>
        <v>45803</v>
      </c>
      <c r="Y622" s="144">
        <f>IFERROR(__xludf.DUMMYFUNCTION("""COMPUTED_VALUE"""),45824.0)</f>
        <v>45824</v>
      </c>
      <c r="Z622" s="131" t="str">
        <f>IFERROR(__xludf.DUMMYFUNCTION("""COMPUTED_VALUE"""),"D40-2L")</f>
        <v>D40-2L</v>
      </c>
      <c r="AA622" s="131">
        <f>IFERROR(__xludf.DUMMYFUNCTION("""COMPUTED_VALUE"""),239.0)</f>
        <v>239</v>
      </c>
      <c r="AB622" s="131">
        <f>IFERROR(__xludf.DUMMYFUNCTION("""COMPUTED_VALUE"""),283.0)</f>
        <v>283</v>
      </c>
      <c r="AC622" s="131">
        <f>IFERROR(__xludf.DUMMYFUNCTION("""COMPUTED_VALUE"""),23.0)</f>
        <v>23</v>
      </c>
      <c r="AD622" s="131">
        <f>IFERROR(__xludf.DUMMYFUNCTION("""COMPUTED_VALUE"""),23.0)</f>
        <v>23</v>
      </c>
      <c r="AE622" s="131"/>
      <c r="AF622" s="131"/>
      <c r="AG622" s="131"/>
      <c r="AH622" s="131"/>
      <c r="AI622" s="131">
        <f>IFERROR(__xludf.DUMMYFUNCTION("""COMPUTED_VALUE"""),350.0)</f>
        <v>350</v>
      </c>
      <c r="AJ622" s="131" t="str">
        <f>IFERROR(__xludf.DUMMYFUNCTION("""COMPUTED_VALUE"""),"S45,G48")</f>
        <v>S45,G48</v>
      </c>
      <c r="AK622" s="131"/>
    </row>
    <row r="623">
      <c r="A623" s="124" t="str">
        <f>IFERROR(__xludf.DUMMYFUNCTION("""COMPUTED_VALUE"""),"Y")</f>
        <v>Y</v>
      </c>
      <c r="B623" s="131" t="str">
        <f>IFERROR(__xludf.DUMMYFUNCTION("""COMPUTED_VALUE"""),"7")</f>
        <v>7</v>
      </c>
      <c r="C623" s="131" t="str">
        <f>IFERROR(__xludf.DUMMYFUNCTION("""COMPUTED_VALUE"""),"415-420")</f>
        <v>415-420</v>
      </c>
      <c r="D623" s="144">
        <f>IFERROR(__xludf.DUMMYFUNCTION("""COMPUTED_VALUE"""),45796.0)</f>
        <v>45796</v>
      </c>
      <c r="E623" s="147">
        <f>IFERROR(__xludf.DUMMYFUNCTION("""COMPUTED_VALUE"""),45803.0)</f>
        <v>45803</v>
      </c>
      <c r="F623" s="147">
        <f>IFERROR(__xludf.DUMMYFUNCTION("""COMPUTED_VALUE"""),45824.0)</f>
        <v>45824</v>
      </c>
      <c r="G623" s="131" t="str">
        <f>IFERROR(__xludf.DUMMYFUNCTION("""COMPUTED_VALUE"""),"D40-2L")</f>
        <v>D40-2L</v>
      </c>
      <c r="H623" s="126">
        <f>IFERROR(__xludf.DUMMYFUNCTION("""COMPUTED_VALUE"""),239.0)</f>
        <v>239</v>
      </c>
      <c r="I623" s="126">
        <f>IFERROR(__xludf.DUMMYFUNCTION("""COMPUTED_VALUE"""),283.0)</f>
        <v>283</v>
      </c>
      <c r="J623" s="131">
        <f>IFERROR(__xludf.DUMMYFUNCTION("""COMPUTED_VALUE"""),23.0)</f>
        <v>23</v>
      </c>
      <c r="K623" s="131">
        <f>IFERROR(__xludf.DUMMYFUNCTION("""COMPUTED_VALUE"""),23.0)</f>
        <v>23</v>
      </c>
      <c r="L623" s="131"/>
      <c r="M623" s="131"/>
      <c r="N623" s="131"/>
      <c r="O623" s="131"/>
      <c r="P623" s="131">
        <f>IFERROR(__xludf.DUMMYFUNCTION("""COMPUTED_VALUE"""),350.0)</f>
        <v>350</v>
      </c>
      <c r="Q623" s="131" t="str">
        <f>IFERROR(__xludf.DUMMYFUNCTION("""COMPUTED_VALUE"""),"S45,G48")</f>
        <v>S45,G48</v>
      </c>
      <c r="R623" s="131"/>
      <c r="T623" s="131" t="str">
        <f>IFERROR(__xludf.DUMMYFUNCTION("""COMPUTED_VALUE"""),"Y")</f>
        <v>Y</v>
      </c>
      <c r="U623" s="131" t="str">
        <f>IFERROR(__xludf.DUMMYFUNCTION("""COMPUTED_VALUE"""),"7")</f>
        <v>7</v>
      </c>
      <c r="V623" s="131" t="str">
        <f>IFERROR(__xludf.DUMMYFUNCTION("""COMPUTED_VALUE"""),"409-414")</f>
        <v>409-414</v>
      </c>
      <c r="W623" s="144">
        <f>IFERROR(__xludf.DUMMYFUNCTION("""COMPUTED_VALUE"""),45796.0)</f>
        <v>45796</v>
      </c>
      <c r="X623" s="144">
        <f>IFERROR(__xludf.DUMMYFUNCTION("""COMPUTED_VALUE"""),45803.0)</f>
        <v>45803</v>
      </c>
      <c r="Y623" s="144">
        <f>IFERROR(__xludf.DUMMYFUNCTION("""COMPUTED_VALUE"""),45824.0)</f>
        <v>45824</v>
      </c>
      <c r="Z623" s="131" t="str">
        <f>IFERROR(__xludf.DUMMYFUNCTION("""COMPUTED_VALUE"""),"D42-1L")</f>
        <v>D42-1L</v>
      </c>
      <c r="AA623" s="131"/>
      <c r="AB623" s="131"/>
      <c r="AC623" s="131"/>
      <c r="AD623" s="131"/>
      <c r="AE623" s="131">
        <f>IFERROR(__xludf.DUMMYFUNCTION("""COMPUTED_VALUE"""),78.0)</f>
        <v>78</v>
      </c>
      <c r="AF623" s="131">
        <f>IFERROR(__xludf.DUMMYFUNCTION("""COMPUTED_VALUE"""),176.0)</f>
        <v>176</v>
      </c>
      <c r="AG623" s="131">
        <f>IFERROR(__xludf.DUMMYFUNCTION("""COMPUTED_VALUE"""),50.0)</f>
        <v>50</v>
      </c>
      <c r="AH623" s="131">
        <f>IFERROR(__xludf.DUMMYFUNCTION("""COMPUTED_VALUE"""),50.0)</f>
        <v>50</v>
      </c>
      <c r="AI623" s="131">
        <f>IFERROR(__xludf.DUMMYFUNCTION("""COMPUTED_VALUE"""),351.0)</f>
        <v>351</v>
      </c>
      <c r="AJ623" s="131" t="str">
        <f>IFERROR(__xludf.DUMMYFUNCTION("""COMPUTED_VALUE"""),"S45,G48")</f>
        <v>S45,G48</v>
      </c>
      <c r="AK623" s="131">
        <f>IFERROR(__xludf.DUMMYFUNCTION("""COMPUTED_VALUE"""),15.0)</f>
        <v>15</v>
      </c>
    </row>
    <row r="624">
      <c r="A624" s="124" t="str">
        <f>IFERROR(__xludf.DUMMYFUNCTION("""COMPUTED_VALUE"""),"Y")</f>
        <v>Y</v>
      </c>
      <c r="B624" s="131" t="str">
        <f>IFERROR(__xludf.DUMMYFUNCTION("""COMPUTED_VALUE"""),"7")</f>
        <v>7</v>
      </c>
      <c r="C624" s="131" t="str">
        <f>IFERROR(__xludf.DUMMYFUNCTION("""COMPUTED_VALUE"""),"409-414")</f>
        <v>409-414</v>
      </c>
      <c r="D624" s="144">
        <f>IFERROR(__xludf.DUMMYFUNCTION("""COMPUTED_VALUE"""),45796.0)</f>
        <v>45796</v>
      </c>
      <c r="E624" s="147">
        <f>IFERROR(__xludf.DUMMYFUNCTION("""COMPUTED_VALUE"""),45803.0)</f>
        <v>45803</v>
      </c>
      <c r="F624" s="147">
        <f>IFERROR(__xludf.DUMMYFUNCTION("""COMPUTED_VALUE"""),45824.0)</f>
        <v>45824</v>
      </c>
      <c r="G624" s="131" t="str">
        <f>IFERROR(__xludf.DUMMYFUNCTION("""COMPUTED_VALUE"""),"D42-1L")</f>
        <v>D42-1L</v>
      </c>
      <c r="H624" s="126"/>
      <c r="I624" s="126"/>
      <c r="J624" s="131"/>
      <c r="K624" s="131"/>
      <c r="L624" s="131">
        <f>IFERROR(__xludf.DUMMYFUNCTION("""COMPUTED_VALUE"""),78.0)</f>
        <v>78</v>
      </c>
      <c r="M624" s="131">
        <f>IFERROR(__xludf.DUMMYFUNCTION("""COMPUTED_VALUE"""),176.0)</f>
        <v>176</v>
      </c>
      <c r="N624" s="131">
        <f>IFERROR(__xludf.DUMMYFUNCTION("""COMPUTED_VALUE"""),50.0)</f>
        <v>50</v>
      </c>
      <c r="O624" s="131">
        <f>IFERROR(__xludf.DUMMYFUNCTION("""COMPUTED_VALUE"""),50.0)</f>
        <v>50</v>
      </c>
      <c r="P624" s="131">
        <f>IFERROR(__xludf.DUMMYFUNCTION("""COMPUTED_VALUE"""),351.0)</f>
        <v>351</v>
      </c>
      <c r="Q624" s="131" t="str">
        <f>IFERROR(__xludf.DUMMYFUNCTION("""COMPUTED_VALUE"""),"S45,G48")</f>
        <v>S45,G48</v>
      </c>
      <c r="R624" s="131">
        <f>IFERROR(__xludf.DUMMYFUNCTION("""COMPUTED_VALUE"""),15.0)</f>
        <v>15</v>
      </c>
      <c r="T624" s="131" t="str">
        <f>IFERROR(__xludf.DUMMYFUNCTION("""COMPUTED_VALUE"""),"Y")</f>
        <v>Y</v>
      </c>
      <c r="U624" s="131" t="str">
        <f>IFERROR(__xludf.DUMMYFUNCTION("""COMPUTED_VALUE"""),"7")</f>
        <v>7</v>
      </c>
      <c r="V624" s="131" t="str">
        <f>IFERROR(__xludf.DUMMYFUNCTION("""COMPUTED_VALUE"""),"439-444")</f>
        <v>439-444</v>
      </c>
      <c r="W624" s="144">
        <f>IFERROR(__xludf.DUMMYFUNCTION("""COMPUTED_VALUE"""),45797.0)</f>
        <v>45797</v>
      </c>
      <c r="X624" s="144">
        <f>IFERROR(__xludf.DUMMYFUNCTION("""COMPUTED_VALUE"""),45804.0)</f>
        <v>45804</v>
      </c>
      <c r="Y624" s="144">
        <f>IFERROR(__xludf.DUMMYFUNCTION("""COMPUTED_VALUE"""),45825.0)</f>
        <v>45825</v>
      </c>
      <c r="Z624" s="131" t="str">
        <f>IFERROR(__xludf.DUMMYFUNCTION("""COMPUTED_VALUE"""),"D40-2L")</f>
        <v>D40-2L</v>
      </c>
      <c r="AA624" s="131">
        <f>IFERROR(__xludf.DUMMYFUNCTION("""COMPUTED_VALUE"""),225.0)</f>
        <v>225</v>
      </c>
      <c r="AB624" s="131">
        <f>IFERROR(__xludf.DUMMYFUNCTION("""COMPUTED_VALUE"""),225.0)</f>
        <v>225</v>
      </c>
      <c r="AC624" s="131">
        <f>IFERROR(__xludf.DUMMYFUNCTION("""COMPUTED_VALUE"""),1.0)</f>
        <v>1</v>
      </c>
      <c r="AD624" s="131">
        <f>IFERROR(__xludf.DUMMYFUNCTION("""COMPUTED_VALUE"""),1.0)</f>
        <v>1</v>
      </c>
      <c r="AE624" s="131">
        <f>IFERROR(__xludf.DUMMYFUNCTION("""COMPUTED_VALUE"""),236.0)</f>
        <v>236</v>
      </c>
      <c r="AF624" s="131">
        <f>IFERROR(__xludf.DUMMYFUNCTION("""COMPUTED_VALUE"""),236.0)</f>
        <v>236</v>
      </c>
      <c r="AG624" s="131">
        <f>IFERROR(__xludf.DUMMYFUNCTION("""COMPUTED_VALUE"""),1.0)</f>
        <v>1</v>
      </c>
      <c r="AH624" s="131">
        <f>IFERROR(__xludf.DUMMYFUNCTION("""COMPUTED_VALUE"""),1.0)</f>
        <v>1</v>
      </c>
      <c r="AI624" s="131">
        <f>IFERROR(__xludf.DUMMYFUNCTION("""COMPUTED_VALUE"""),352.0)</f>
        <v>352</v>
      </c>
      <c r="AJ624" s="131" t="str">
        <f>IFERROR(__xludf.DUMMYFUNCTION("""COMPUTED_VALUE"""),"S45,G49")</f>
        <v>S45,G49</v>
      </c>
      <c r="AK624" s="131">
        <f>IFERROR(__xludf.DUMMYFUNCTION("""COMPUTED_VALUE"""),7.852)</f>
        <v>7.852</v>
      </c>
    </row>
    <row r="625">
      <c r="A625" s="124" t="str">
        <f>IFERROR(__xludf.DUMMYFUNCTION("""COMPUTED_VALUE"""),"Y")</f>
        <v>Y</v>
      </c>
      <c r="B625" s="131" t="str">
        <f>IFERROR(__xludf.DUMMYFUNCTION("""COMPUTED_VALUE"""),"7")</f>
        <v>7</v>
      </c>
      <c r="C625" s="131" t="str">
        <f>IFERROR(__xludf.DUMMYFUNCTION("""COMPUTED_VALUE"""),"439-444")</f>
        <v>439-444</v>
      </c>
      <c r="D625" s="144">
        <f>IFERROR(__xludf.DUMMYFUNCTION("""COMPUTED_VALUE"""),45797.0)</f>
        <v>45797</v>
      </c>
      <c r="E625" s="147">
        <f>IFERROR(__xludf.DUMMYFUNCTION("""COMPUTED_VALUE"""),45804.0)</f>
        <v>45804</v>
      </c>
      <c r="F625" s="147">
        <f>IFERROR(__xludf.DUMMYFUNCTION("""COMPUTED_VALUE"""),45825.0)</f>
        <v>45825</v>
      </c>
      <c r="G625" s="131" t="str">
        <f>IFERROR(__xludf.DUMMYFUNCTION("""COMPUTED_VALUE"""),"D40-2L")</f>
        <v>D40-2L</v>
      </c>
      <c r="H625" s="126">
        <f>IFERROR(__xludf.DUMMYFUNCTION("""COMPUTED_VALUE"""),225.0)</f>
        <v>225</v>
      </c>
      <c r="I625" s="126">
        <f>IFERROR(__xludf.DUMMYFUNCTION("""COMPUTED_VALUE"""),225.0)</f>
        <v>225</v>
      </c>
      <c r="J625" s="131">
        <f>IFERROR(__xludf.DUMMYFUNCTION("""COMPUTED_VALUE"""),1.0)</f>
        <v>1</v>
      </c>
      <c r="K625" s="131">
        <f>IFERROR(__xludf.DUMMYFUNCTION("""COMPUTED_VALUE"""),1.0)</f>
        <v>1</v>
      </c>
      <c r="L625" s="131">
        <f>IFERROR(__xludf.DUMMYFUNCTION("""COMPUTED_VALUE"""),236.0)</f>
        <v>236</v>
      </c>
      <c r="M625" s="131">
        <f>IFERROR(__xludf.DUMMYFUNCTION("""COMPUTED_VALUE"""),236.0)</f>
        <v>236</v>
      </c>
      <c r="N625" s="131">
        <f>IFERROR(__xludf.DUMMYFUNCTION("""COMPUTED_VALUE"""),1.0)</f>
        <v>1</v>
      </c>
      <c r="O625" s="131">
        <f>IFERROR(__xludf.DUMMYFUNCTION("""COMPUTED_VALUE"""),1.0)</f>
        <v>1</v>
      </c>
      <c r="P625" s="131">
        <f>IFERROR(__xludf.DUMMYFUNCTION("""COMPUTED_VALUE"""),352.0)</f>
        <v>352</v>
      </c>
      <c r="Q625" s="131" t="str">
        <f>IFERROR(__xludf.DUMMYFUNCTION("""COMPUTED_VALUE"""),"S45,G49")</f>
        <v>S45,G49</v>
      </c>
      <c r="R625" s="131">
        <f>IFERROR(__xludf.DUMMYFUNCTION("""COMPUTED_VALUE"""),7.852)</f>
        <v>7.852</v>
      </c>
      <c r="T625" s="131" t="str">
        <f>IFERROR(__xludf.DUMMYFUNCTION("""COMPUTED_VALUE"""),"Y")</f>
        <v>Y</v>
      </c>
      <c r="U625" s="131" t="str">
        <f>IFERROR(__xludf.DUMMYFUNCTION("""COMPUTED_VALUE"""),"7")</f>
        <v>7</v>
      </c>
      <c r="V625" s="131" t="str">
        <f>IFERROR(__xludf.DUMMYFUNCTION("""COMPUTED_VALUE"""),"439-444")</f>
        <v>439-444</v>
      </c>
      <c r="W625" s="144">
        <f>IFERROR(__xludf.DUMMYFUNCTION("""COMPUTED_VALUE"""),45797.0)</f>
        <v>45797</v>
      </c>
      <c r="X625" s="144">
        <f>IFERROR(__xludf.DUMMYFUNCTION("""COMPUTED_VALUE"""),45804.0)</f>
        <v>45804</v>
      </c>
      <c r="Y625" s="144">
        <f>IFERROR(__xludf.DUMMYFUNCTION("""COMPUTED_VALUE"""),45825.0)</f>
        <v>45825</v>
      </c>
      <c r="Z625" s="131" t="str">
        <f>IFERROR(__xludf.DUMMYFUNCTION("""COMPUTED_VALUE"""),"D40-2L")</f>
        <v>D40-2L</v>
      </c>
      <c r="AA625" s="131">
        <f>IFERROR(__xludf.DUMMYFUNCTION("""COMPUTED_VALUE"""),227.0)</f>
        <v>227</v>
      </c>
      <c r="AB625" s="131">
        <f>IFERROR(__xludf.DUMMYFUNCTION("""COMPUTED_VALUE"""),227.0)</f>
        <v>227</v>
      </c>
      <c r="AC625" s="131">
        <f>IFERROR(__xludf.DUMMYFUNCTION("""COMPUTED_VALUE"""),1.0)</f>
        <v>1</v>
      </c>
      <c r="AD625" s="131">
        <f>IFERROR(__xludf.DUMMYFUNCTION("""COMPUTED_VALUE"""),1.0)</f>
        <v>1</v>
      </c>
      <c r="AE625" s="131">
        <f>IFERROR(__xludf.DUMMYFUNCTION("""COMPUTED_VALUE"""),240.0)</f>
        <v>240</v>
      </c>
      <c r="AF625" s="131">
        <f>IFERROR(__xludf.DUMMYFUNCTION("""COMPUTED_VALUE"""),254.0)</f>
        <v>254</v>
      </c>
      <c r="AG625" s="131">
        <f>IFERROR(__xludf.DUMMYFUNCTION("""COMPUTED_VALUE"""),8.0)</f>
        <v>8</v>
      </c>
      <c r="AH625" s="131">
        <f>IFERROR(__xludf.DUMMYFUNCTION("""COMPUTED_VALUE"""),8.0)</f>
        <v>8</v>
      </c>
      <c r="AI625" s="131">
        <f>IFERROR(__xludf.DUMMYFUNCTION("""COMPUTED_VALUE"""),352.0)</f>
        <v>352</v>
      </c>
      <c r="AJ625" s="131" t="str">
        <f>IFERROR(__xludf.DUMMYFUNCTION("""COMPUTED_VALUE"""),"S45,G49")</f>
        <v>S45,G49</v>
      </c>
      <c r="AK625" s="131"/>
    </row>
    <row r="626">
      <c r="A626" s="124" t="str">
        <f>IFERROR(__xludf.DUMMYFUNCTION("""COMPUTED_VALUE"""),"Y")</f>
        <v>Y</v>
      </c>
      <c r="B626" s="131" t="str">
        <f>IFERROR(__xludf.DUMMYFUNCTION("""COMPUTED_VALUE"""),"7")</f>
        <v>7</v>
      </c>
      <c r="C626" s="131" t="str">
        <f>IFERROR(__xludf.DUMMYFUNCTION("""COMPUTED_VALUE"""),"439-444")</f>
        <v>439-444</v>
      </c>
      <c r="D626" s="144">
        <f>IFERROR(__xludf.DUMMYFUNCTION("""COMPUTED_VALUE"""),45797.0)</f>
        <v>45797</v>
      </c>
      <c r="E626" s="147">
        <f>IFERROR(__xludf.DUMMYFUNCTION("""COMPUTED_VALUE"""),45804.0)</f>
        <v>45804</v>
      </c>
      <c r="F626" s="147">
        <f>IFERROR(__xludf.DUMMYFUNCTION("""COMPUTED_VALUE"""),45825.0)</f>
        <v>45825</v>
      </c>
      <c r="G626" s="131" t="str">
        <f>IFERROR(__xludf.DUMMYFUNCTION("""COMPUTED_VALUE"""),"D40-2L")</f>
        <v>D40-2L</v>
      </c>
      <c r="H626" s="126">
        <f>IFERROR(__xludf.DUMMYFUNCTION("""COMPUTED_VALUE"""),227.0)</f>
        <v>227</v>
      </c>
      <c r="I626" s="126">
        <f>IFERROR(__xludf.DUMMYFUNCTION("""COMPUTED_VALUE"""),227.0)</f>
        <v>227</v>
      </c>
      <c r="J626" s="131">
        <f>IFERROR(__xludf.DUMMYFUNCTION("""COMPUTED_VALUE"""),1.0)</f>
        <v>1</v>
      </c>
      <c r="K626" s="131">
        <f>IFERROR(__xludf.DUMMYFUNCTION("""COMPUTED_VALUE"""),1.0)</f>
        <v>1</v>
      </c>
      <c r="L626" s="131">
        <f>IFERROR(__xludf.DUMMYFUNCTION("""COMPUTED_VALUE"""),240.0)</f>
        <v>240</v>
      </c>
      <c r="M626" s="131">
        <f>IFERROR(__xludf.DUMMYFUNCTION("""COMPUTED_VALUE"""),254.0)</f>
        <v>254</v>
      </c>
      <c r="N626" s="131">
        <f>IFERROR(__xludf.DUMMYFUNCTION("""COMPUTED_VALUE"""),8.0)</f>
        <v>8</v>
      </c>
      <c r="O626" s="131">
        <f>IFERROR(__xludf.DUMMYFUNCTION("""COMPUTED_VALUE"""),8.0)</f>
        <v>8</v>
      </c>
      <c r="P626" s="131">
        <f>IFERROR(__xludf.DUMMYFUNCTION("""COMPUTED_VALUE"""),352.0)</f>
        <v>352</v>
      </c>
      <c r="Q626" s="131" t="str">
        <f>IFERROR(__xludf.DUMMYFUNCTION("""COMPUTED_VALUE"""),"S45,G49")</f>
        <v>S45,G49</v>
      </c>
      <c r="R626" s="131"/>
      <c r="T626" s="131" t="str">
        <f>IFERROR(__xludf.DUMMYFUNCTION("""COMPUTED_VALUE"""),"Y")</f>
        <v>Y</v>
      </c>
      <c r="U626" s="131" t="str">
        <f>IFERROR(__xludf.DUMMYFUNCTION("""COMPUTED_VALUE"""),"7")</f>
        <v>7</v>
      </c>
      <c r="V626" s="131" t="str">
        <f>IFERROR(__xludf.DUMMYFUNCTION("""COMPUTED_VALUE"""),"439-444")</f>
        <v>439-444</v>
      </c>
      <c r="W626" s="144">
        <f>IFERROR(__xludf.DUMMYFUNCTION("""COMPUTED_VALUE"""),45797.0)</f>
        <v>45797</v>
      </c>
      <c r="X626" s="144">
        <f>IFERROR(__xludf.DUMMYFUNCTION("""COMPUTED_VALUE"""),45804.0)</f>
        <v>45804</v>
      </c>
      <c r="Y626" s="144">
        <f>IFERROR(__xludf.DUMMYFUNCTION("""COMPUTED_VALUE"""),45825.0)</f>
        <v>45825</v>
      </c>
      <c r="Z626" s="131" t="str">
        <f>IFERROR(__xludf.DUMMYFUNCTION("""COMPUTED_VALUE"""),"D40-2L")</f>
        <v>D40-2L</v>
      </c>
      <c r="AA626" s="131">
        <f>IFERROR(__xludf.DUMMYFUNCTION("""COMPUTED_VALUE"""),285.0)</f>
        <v>285</v>
      </c>
      <c r="AB626" s="131">
        <f>IFERROR(__xludf.DUMMYFUNCTION("""COMPUTED_VALUE"""),287.0)</f>
        <v>287</v>
      </c>
      <c r="AC626" s="131">
        <f>IFERROR(__xludf.DUMMYFUNCTION("""COMPUTED_VALUE"""),2.0)</f>
        <v>2</v>
      </c>
      <c r="AD626" s="131">
        <f>IFERROR(__xludf.DUMMYFUNCTION("""COMPUTED_VALUE"""),2.0)</f>
        <v>2</v>
      </c>
      <c r="AE626" s="131">
        <f>IFERROR(__xludf.DUMMYFUNCTION("""COMPUTED_VALUE"""),258.0)</f>
        <v>258</v>
      </c>
      <c r="AF626" s="131">
        <f>IFERROR(__xludf.DUMMYFUNCTION("""COMPUTED_VALUE"""),282.0)</f>
        <v>282</v>
      </c>
      <c r="AG626" s="131">
        <f>IFERROR(__xludf.DUMMYFUNCTION("""COMPUTED_VALUE"""),13.0)</f>
        <v>13</v>
      </c>
      <c r="AH626" s="131">
        <f>IFERROR(__xludf.DUMMYFUNCTION("""COMPUTED_VALUE"""),13.0)</f>
        <v>13</v>
      </c>
      <c r="AI626" s="131">
        <f>IFERROR(__xludf.DUMMYFUNCTION("""COMPUTED_VALUE"""),352.0)</f>
        <v>352</v>
      </c>
      <c r="AJ626" s="131" t="str">
        <f>IFERROR(__xludf.DUMMYFUNCTION("""COMPUTED_VALUE"""),"S45,G49")</f>
        <v>S45,G49</v>
      </c>
      <c r="AK626" s="131"/>
    </row>
    <row r="627">
      <c r="A627" s="124" t="str">
        <f>IFERROR(__xludf.DUMMYFUNCTION("""COMPUTED_VALUE"""),"Y")</f>
        <v>Y</v>
      </c>
      <c r="B627" s="131" t="str">
        <f>IFERROR(__xludf.DUMMYFUNCTION("""COMPUTED_VALUE"""),"7")</f>
        <v>7</v>
      </c>
      <c r="C627" s="131" t="str">
        <f>IFERROR(__xludf.DUMMYFUNCTION("""COMPUTED_VALUE"""),"439-444")</f>
        <v>439-444</v>
      </c>
      <c r="D627" s="144">
        <f>IFERROR(__xludf.DUMMYFUNCTION("""COMPUTED_VALUE"""),45797.0)</f>
        <v>45797</v>
      </c>
      <c r="E627" s="147">
        <f>IFERROR(__xludf.DUMMYFUNCTION("""COMPUTED_VALUE"""),45804.0)</f>
        <v>45804</v>
      </c>
      <c r="F627" s="147">
        <f>IFERROR(__xludf.DUMMYFUNCTION("""COMPUTED_VALUE"""),45825.0)</f>
        <v>45825</v>
      </c>
      <c r="G627" s="131" t="str">
        <f>IFERROR(__xludf.DUMMYFUNCTION("""COMPUTED_VALUE"""),"D40-2L")</f>
        <v>D40-2L</v>
      </c>
      <c r="H627" s="126">
        <f>IFERROR(__xludf.DUMMYFUNCTION("""COMPUTED_VALUE"""),285.0)</f>
        <v>285</v>
      </c>
      <c r="I627" s="126">
        <f>IFERROR(__xludf.DUMMYFUNCTION("""COMPUTED_VALUE"""),287.0)</f>
        <v>287</v>
      </c>
      <c r="J627" s="131">
        <f>IFERROR(__xludf.DUMMYFUNCTION("""COMPUTED_VALUE"""),2.0)</f>
        <v>2</v>
      </c>
      <c r="K627" s="131">
        <f>IFERROR(__xludf.DUMMYFUNCTION("""COMPUTED_VALUE"""),2.0)</f>
        <v>2</v>
      </c>
      <c r="L627" s="131">
        <f>IFERROR(__xludf.DUMMYFUNCTION("""COMPUTED_VALUE"""),258.0)</f>
        <v>258</v>
      </c>
      <c r="M627" s="131">
        <f>IFERROR(__xludf.DUMMYFUNCTION("""COMPUTED_VALUE"""),282.0)</f>
        <v>282</v>
      </c>
      <c r="N627" s="131">
        <f>IFERROR(__xludf.DUMMYFUNCTION("""COMPUTED_VALUE"""),13.0)</f>
        <v>13</v>
      </c>
      <c r="O627" s="131">
        <f>IFERROR(__xludf.DUMMYFUNCTION("""COMPUTED_VALUE"""),13.0)</f>
        <v>13</v>
      </c>
      <c r="P627" s="131">
        <f>IFERROR(__xludf.DUMMYFUNCTION("""COMPUTED_VALUE"""),352.0)</f>
        <v>352</v>
      </c>
      <c r="Q627" s="131" t="str">
        <f>IFERROR(__xludf.DUMMYFUNCTION("""COMPUTED_VALUE"""),"S45,G49")</f>
        <v>S45,G49</v>
      </c>
      <c r="R627" s="131"/>
      <c r="T627" s="131" t="str">
        <f>IFERROR(__xludf.DUMMYFUNCTION("""COMPUTED_VALUE"""),"Y")</f>
        <v>Y</v>
      </c>
      <c r="U627" s="131" t="str">
        <f>IFERROR(__xludf.DUMMYFUNCTION("""COMPUTED_VALUE"""),"7")</f>
        <v>7</v>
      </c>
      <c r="V627" s="131" t="str">
        <f>IFERROR(__xludf.DUMMYFUNCTION("""COMPUTED_VALUE"""),"445-450")</f>
        <v>445-450</v>
      </c>
      <c r="W627" s="144">
        <f>IFERROR(__xludf.DUMMYFUNCTION("""COMPUTED_VALUE"""),45797.0)</f>
        <v>45797</v>
      </c>
      <c r="X627" s="144">
        <f>IFERROR(__xludf.DUMMYFUNCTION("""COMPUTED_VALUE"""),45804.0)</f>
        <v>45804</v>
      </c>
      <c r="Y627" s="144">
        <f>IFERROR(__xludf.DUMMYFUNCTION("""COMPUTED_VALUE"""),45825.0)</f>
        <v>45825</v>
      </c>
      <c r="Z627" s="131" t="str">
        <f>IFERROR(__xludf.DUMMYFUNCTION("""COMPUTED_VALUE"""),"D42-1L")</f>
        <v>D42-1L</v>
      </c>
      <c r="AA627" s="131">
        <f>IFERROR(__xludf.DUMMYFUNCTION("""COMPUTED_VALUE"""),1.0)</f>
        <v>1</v>
      </c>
      <c r="AB627" s="131">
        <f>IFERROR(__xludf.DUMMYFUNCTION("""COMPUTED_VALUE"""),145.0)</f>
        <v>145</v>
      </c>
      <c r="AC627" s="131">
        <f>IFERROR(__xludf.DUMMYFUNCTION("""COMPUTED_VALUE"""),73.0)</f>
        <v>73</v>
      </c>
      <c r="AD627" s="131">
        <f>IFERROR(__xludf.DUMMYFUNCTION("""COMPUTED_VALUE"""),73.0)</f>
        <v>73</v>
      </c>
      <c r="AE627" s="131">
        <f>IFERROR(__xludf.DUMMYFUNCTION("""COMPUTED_VALUE"""),178.0)</f>
        <v>178</v>
      </c>
      <c r="AF627" s="131">
        <f>IFERROR(__xludf.DUMMYFUNCTION("""COMPUTED_VALUE"""),270.0)</f>
        <v>270</v>
      </c>
      <c r="AG627" s="131">
        <f>IFERROR(__xludf.DUMMYFUNCTION("""COMPUTED_VALUE"""),47.0)</f>
        <v>47</v>
      </c>
      <c r="AH627" s="131">
        <f>IFERROR(__xludf.DUMMYFUNCTION("""COMPUTED_VALUE"""),47.0)</f>
        <v>47</v>
      </c>
      <c r="AI627" s="131">
        <f>IFERROR(__xludf.DUMMYFUNCTION("""COMPUTED_VALUE"""),353.0)</f>
        <v>353</v>
      </c>
      <c r="AJ627" s="131"/>
      <c r="AK627" s="131"/>
    </row>
    <row r="628">
      <c r="A628" s="124" t="str">
        <f>IFERROR(__xludf.DUMMYFUNCTION("""COMPUTED_VALUE"""),"Y")</f>
        <v>Y</v>
      </c>
      <c r="B628" s="131" t="str">
        <f>IFERROR(__xludf.DUMMYFUNCTION("""COMPUTED_VALUE"""),"7")</f>
        <v>7</v>
      </c>
      <c r="C628" s="131" t="str">
        <f>IFERROR(__xludf.DUMMYFUNCTION("""COMPUTED_VALUE"""),"445-450")</f>
        <v>445-450</v>
      </c>
      <c r="D628" s="144">
        <f>IFERROR(__xludf.DUMMYFUNCTION("""COMPUTED_VALUE"""),45797.0)</f>
        <v>45797</v>
      </c>
      <c r="E628" s="147">
        <f>IFERROR(__xludf.DUMMYFUNCTION("""COMPUTED_VALUE"""),45804.0)</f>
        <v>45804</v>
      </c>
      <c r="F628" s="147">
        <f>IFERROR(__xludf.DUMMYFUNCTION("""COMPUTED_VALUE"""),45825.0)</f>
        <v>45825</v>
      </c>
      <c r="G628" s="131" t="str">
        <f>IFERROR(__xludf.DUMMYFUNCTION("""COMPUTED_VALUE"""),"D42-1L")</f>
        <v>D42-1L</v>
      </c>
      <c r="H628" s="126">
        <f>IFERROR(__xludf.DUMMYFUNCTION("""COMPUTED_VALUE"""),1.0)</f>
        <v>1</v>
      </c>
      <c r="I628" s="126">
        <f>IFERROR(__xludf.DUMMYFUNCTION("""COMPUTED_VALUE"""),145.0)</f>
        <v>145</v>
      </c>
      <c r="J628" s="131">
        <f>IFERROR(__xludf.DUMMYFUNCTION("""COMPUTED_VALUE"""),73.0)</f>
        <v>73</v>
      </c>
      <c r="K628" s="131">
        <f>IFERROR(__xludf.DUMMYFUNCTION("""COMPUTED_VALUE"""),73.0)</f>
        <v>73</v>
      </c>
      <c r="L628" s="131">
        <f>IFERROR(__xludf.DUMMYFUNCTION("""COMPUTED_VALUE"""),178.0)</f>
        <v>178</v>
      </c>
      <c r="M628" s="131">
        <f>IFERROR(__xludf.DUMMYFUNCTION("""COMPUTED_VALUE"""),270.0)</f>
        <v>270</v>
      </c>
      <c r="N628" s="131">
        <f>IFERROR(__xludf.DUMMYFUNCTION("""COMPUTED_VALUE"""),47.0)</f>
        <v>47</v>
      </c>
      <c r="O628" s="131">
        <f>IFERROR(__xludf.DUMMYFUNCTION("""COMPUTED_VALUE"""),47.0)</f>
        <v>47</v>
      </c>
      <c r="P628" s="131">
        <f>IFERROR(__xludf.DUMMYFUNCTION("""COMPUTED_VALUE"""),353.0)</f>
        <v>353</v>
      </c>
      <c r="Q628" s="131"/>
      <c r="R628" s="131"/>
      <c r="T628" s="131" t="str">
        <f>IFERROR(__xludf.DUMMYFUNCTION("""COMPUTED_VALUE"""),"Y")</f>
        <v>Y</v>
      </c>
      <c r="U628" s="131" t="str">
        <f>IFERROR(__xludf.DUMMYFUNCTION("""COMPUTED_VALUE"""),"7")</f>
        <v>7</v>
      </c>
      <c r="V628" s="131" t="str">
        <f>IFERROR(__xludf.DUMMYFUNCTION("""COMPUTED_VALUE"""),"451-456")</f>
        <v>451-456</v>
      </c>
      <c r="W628" s="144">
        <f>IFERROR(__xludf.DUMMYFUNCTION("""COMPUTED_VALUE"""),45797.0)</f>
        <v>45797</v>
      </c>
      <c r="X628" s="144">
        <f>IFERROR(__xludf.DUMMYFUNCTION("""COMPUTED_VALUE"""),45804.0)</f>
        <v>45804</v>
      </c>
      <c r="Y628" s="144">
        <f>IFERROR(__xludf.DUMMYFUNCTION("""COMPUTED_VALUE"""),45825.0)</f>
        <v>45825</v>
      </c>
      <c r="Z628" s="131" t="str">
        <f>IFERROR(__xludf.DUMMYFUNCTION("""COMPUTED_VALUE"""),"DC36")</f>
        <v>DC36</v>
      </c>
      <c r="AA628" s="131">
        <f>IFERROR(__xludf.DUMMYFUNCTION("""COMPUTED_VALUE"""),67.0)</f>
        <v>67</v>
      </c>
      <c r="AB628" s="131">
        <f>IFERROR(__xludf.DUMMYFUNCTION("""COMPUTED_VALUE"""),85.0)</f>
        <v>85</v>
      </c>
      <c r="AC628" s="131">
        <f>IFERROR(__xludf.DUMMYFUNCTION("""COMPUTED_VALUE"""),10.0)</f>
        <v>10</v>
      </c>
      <c r="AD628" s="131">
        <f>IFERROR(__xludf.DUMMYFUNCTION("""COMPUTED_VALUE"""),10.0)</f>
        <v>10</v>
      </c>
      <c r="AE628" s="131">
        <f>IFERROR(__xludf.DUMMYFUNCTION("""COMPUTED_VALUE"""),2.0)</f>
        <v>2</v>
      </c>
      <c r="AF628" s="131">
        <f>IFERROR(__xludf.DUMMYFUNCTION("""COMPUTED_VALUE"""),26.0)</f>
        <v>26</v>
      </c>
      <c r="AG628" s="131">
        <f>IFERROR(__xludf.DUMMYFUNCTION("""COMPUTED_VALUE"""),13.0)</f>
        <v>13</v>
      </c>
      <c r="AH628" s="131">
        <f>IFERROR(__xludf.DUMMYFUNCTION("""COMPUTED_VALUE"""),13.0)</f>
        <v>13</v>
      </c>
      <c r="AI628" s="131">
        <f>IFERROR(__xludf.DUMMYFUNCTION("""COMPUTED_VALUE"""),354.0)</f>
        <v>354</v>
      </c>
      <c r="AJ628" s="131" t="str">
        <f>IFERROR(__xludf.DUMMYFUNCTION("""COMPUTED_VALUE"""),"S45,G49")</f>
        <v>S45,G49</v>
      </c>
      <c r="AK628" s="131">
        <f>IFERROR(__xludf.DUMMYFUNCTION("""COMPUTED_VALUE"""),18.6)</f>
        <v>18.6</v>
      </c>
    </row>
    <row r="629">
      <c r="A629" s="124" t="str">
        <f>IFERROR(__xludf.DUMMYFUNCTION("""COMPUTED_VALUE"""),"Y")</f>
        <v>Y</v>
      </c>
      <c r="B629" s="131" t="str">
        <f>IFERROR(__xludf.DUMMYFUNCTION("""COMPUTED_VALUE"""),"7")</f>
        <v>7</v>
      </c>
      <c r="C629" s="131" t="str">
        <f>IFERROR(__xludf.DUMMYFUNCTION("""COMPUTED_VALUE"""),"451-456")</f>
        <v>451-456</v>
      </c>
      <c r="D629" s="144">
        <f>IFERROR(__xludf.DUMMYFUNCTION("""COMPUTED_VALUE"""),45797.0)</f>
        <v>45797</v>
      </c>
      <c r="E629" s="147">
        <f>IFERROR(__xludf.DUMMYFUNCTION("""COMPUTED_VALUE"""),45804.0)</f>
        <v>45804</v>
      </c>
      <c r="F629" s="147">
        <f>IFERROR(__xludf.DUMMYFUNCTION("""COMPUTED_VALUE"""),45825.0)</f>
        <v>45825</v>
      </c>
      <c r="G629" s="131" t="str">
        <f>IFERROR(__xludf.DUMMYFUNCTION("""COMPUTED_VALUE"""),"DC36")</f>
        <v>DC36</v>
      </c>
      <c r="H629" s="126">
        <f>IFERROR(__xludf.DUMMYFUNCTION("""COMPUTED_VALUE"""),67.0)</f>
        <v>67</v>
      </c>
      <c r="I629" s="126">
        <f>IFERROR(__xludf.DUMMYFUNCTION("""COMPUTED_VALUE"""),85.0)</f>
        <v>85</v>
      </c>
      <c r="J629" s="131">
        <f>IFERROR(__xludf.DUMMYFUNCTION("""COMPUTED_VALUE"""),10.0)</f>
        <v>10</v>
      </c>
      <c r="K629" s="131">
        <f>IFERROR(__xludf.DUMMYFUNCTION("""COMPUTED_VALUE"""),10.0)</f>
        <v>10</v>
      </c>
      <c r="L629" s="131">
        <f>IFERROR(__xludf.DUMMYFUNCTION("""COMPUTED_VALUE"""),2.0)</f>
        <v>2</v>
      </c>
      <c r="M629" s="131">
        <f>IFERROR(__xludf.DUMMYFUNCTION("""COMPUTED_VALUE"""),26.0)</f>
        <v>26</v>
      </c>
      <c r="N629" s="131">
        <f>IFERROR(__xludf.DUMMYFUNCTION("""COMPUTED_VALUE"""),13.0)</f>
        <v>13</v>
      </c>
      <c r="O629" s="131">
        <f>IFERROR(__xludf.DUMMYFUNCTION("""COMPUTED_VALUE"""),13.0)</f>
        <v>13</v>
      </c>
      <c r="P629" s="131">
        <f>IFERROR(__xludf.DUMMYFUNCTION("""COMPUTED_VALUE"""),354.0)</f>
        <v>354</v>
      </c>
      <c r="Q629" s="131" t="str">
        <f>IFERROR(__xludf.DUMMYFUNCTION("""COMPUTED_VALUE"""),"S45,G49")</f>
        <v>S45,G49</v>
      </c>
      <c r="R629" s="131">
        <f>IFERROR(__xludf.DUMMYFUNCTION("""COMPUTED_VALUE"""),18.6)</f>
        <v>18.6</v>
      </c>
      <c r="T629" s="131" t="str">
        <f>IFERROR(__xludf.DUMMYFUNCTION("""COMPUTED_VALUE"""),"Y")</f>
        <v>Y</v>
      </c>
      <c r="U629" s="131" t="str">
        <f>IFERROR(__xludf.DUMMYFUNCTION("""COMPUTED_VALUE"""),"7")</f>
        <v>7</v>
      </c>
      <c r="V629" s="131" t="str">
        <f>IFERROR(__xludf.DUMMYFUNCTION("""COMPUTED_VALUE"""),"451-456")</f>
        <v>451-456</v>
      </c>
      <c r="W629" s="144">
        <f>IFERROR(__xludf.DUMMYFUNCTION("""COMPUTED_VALUE"""),45797.0)</f>
        <v>45797</v>
      </c>
      <c r="X629" s="144">
        <f>IFERROR(__xludf.DUMMYFUNCTION("""COMPUTED_VALUE"""),45804.0)</f>
        <v>45804</v>
      </c>
      <c r="Y629" s="144">
        <f>IFERROR(__xludf.DUMMYFUNCTION("""COMPUTED_VALUE"""),45825.0)</f>
        <v>45825</v>
      </c>
      <c r="Z629" s="131" t="str">
        <f>IFERROR(__xludf.DUMMYFUNCTION("""COMPUTED_VALUE"""),"DC36")</f>
        <v>DC36</v>
      </c>
      <c r="AA629" s="131"/>
      <c r="AB629" s="131"/>
      <c r="AC629" s="131"/>
      <c r="AD629" s="131"/>
      <c r="AE629" s="131">
        <f>IFERROR(__xludf.DUMMYFUNCTION("""COMPUTED_VALUE"""),52.0)</f>
        <v>52</v>
      </c>
      <c r="AF629" s="131">
        <f>IFERROR(__xludf.DUMMYFUNCTION("""COMPUTED_VALUE"""),58.0)</f>
        <v>58</v>
      </c>
      <c r="AG629" s="131">
        <f>IFERROR(__xludf.DUMMYFUNCTION("""COMPUTED_VALUE"""),4.0)</f>
        <v>4</v>
      </c>
      <c r="AH629" s="131">
        <f>IFERROR(__xludf.DUMMYFUNCTION("""COMPUTED_VALUE"""),4.0)</f>
        <v>4</v>
      </c>
      <c r="AI629" s="131">
        <f>IFERROR(__xludf.DUMMYFUNCTION("""COMPUTED_VALUE"""),354.0)</f>
        <v>354</v>
      </c>
      <c r="AJ629" s="131" t="str">
        <f>IFERROR(__xludf.DUMMYFUNCTION("""COMPUTED_VALUE"""),"S45,G49")</f>
        <v>S45,G49</v>
      </c>
      <c r="AK629" s="131"/>
    </row>
    <row r="630">
      <c r="A630" s="124" t="str">
        <f>IFERROR(__xludf.DUMMYFUNCTION("""COMPUTED_VALUE"""),"Y")</f>
        <v>Y</v>
      </c>
      <c r="B630" s="131" t="str">
        <f>IFERROR(__xludf.DUMMYFUNCTION("""COMPUTED_VALUE"""),"7")</f>
        <v>7</v>
      </c>
      <c r="C630" s="131" t="str">
        <f>IFERROR(__xludf.DUMMYFUNCTION("""COMPUTED_VALUE"""),"451-456")</f>
        <v>451-456</v>
      </c>
      <c r="D630" s="144">
        <f>IFERROR(__xludf.DUMMYFUNCTION("""COMPUTED_VALUE"""),45797.0)</f>
        <v>45797</v>
      </c>
      <c r="E630" s="147">
        <f>IFERROR(__xludf.DUMMYFUNCTION("""COMPUTED_VALUE"""),45804.0)</f>
        <v>45804</v>
      </c>
      <c r="F630" s="147">
        <f>IFERROR(__xludf.DUMMYFUNCTION("""COMPUTED_VALUE"""),45825.0)</f>
        <v>45825</v>
      </c>
      <c r="G630" s="131" t="str">
        <f>IFERROR(__xludf.DUMMYFUNCTION("""COMPUTED_VALUE"""),"DC36")</f>
        <v>DC36</v>
      </c>
      <c r="H630" s="126"/>
      <c r="I630" s="126"/>
      <c r="J630" s="131"/>
      <c r="K630" s="131"/>
      <c r="L630" s="131">
        <f>IFERROR(__xludf.DUMMYFUNCTION("""COMPUTED_VALUE"""),52.0)</f>
        <v>52</v>
      </c>
      <c r="M630" s="131">
        <f>IFERROR(__xludf.DUMMYFUNCTION("""COMPUTED_VALUE"""),58.0)</f>
        <v>58</v>
      </c>
      <c r="N630" s="131">
        <f>IFERROR(__xludf.DUMMYFUNCTION("""COMPUTED_VALUE"""),4.0)</f>
        <v>4</v>
      </c>
      <c r="O630" s="131">
        <f>IFERROR(__xludf.DUMMYFUNCTION("""COMPUTED_VALUE"""),4.0)</f>
        <v>4</v>
      </c>
      <c r="P630" s="131">
        <f>IFERROR(__xludf.DUMMYFUNCTION("""COMPUTED_VALUE"""),354.0)</f>
        <v>354</v>
      </c>
      <c r="Q630" s="131" t="str">
        <f>IFERROR(__xludf.DUMMYFUNCTION("""COMPUTED_VALUE"""),"S45,G49")</f>
        <v>S45,G49</v>
      </c>
      <c r="R630" s="131"/>
      <c r="T630" s="131" t="str">
        <f>IFERROR(__xludf.DUMMYFUNCTION("""COMPUTED_VALUE"""),"Y")</f>
        <v>Y</v>
      </c>
      <c r="U630" s="131" t="str">
        <f>IFERROR(__xludf.DUMMYFUNCTION("""COMPUTED_VALUE"""),"7")</f>
        <v>7</v>
      </c>
      <c r="V630" s="131" t="str">
        <f>IFERROR(__xludf.DUMMYFUNCTION("""COMPUTED_VALUE"""),"451-456")</f>
        <v>451-456</v>
      </c>
      <c r="W630" s="144">
        <f>IFERROR(__xludf.DUMMYFUNCTION("""COMPUTED_VALUE"""),45797.0)</f>
        <v>45797</v>
      </c>
      <c r="X630" s="144">
        <f>IFERROR(__xludf.DUMMYFUNCTION("""COMPUTED_VALUE"""),45804.0)</f>
        <v>45804</v>
      </c>
      <c r="Y630" s="144">
        <f>IFERROR(__xludf.DUMMYFUNCTION("""COMPUTED_VALUE"""),45825.0)</f>
        <v>45825</v>
      </c>
      <c r="Z630" s="131" t="str">
        <f>IFERROR(__xludf.DUMMYFUNCTION("""COMPUTED_VALUE"""),"DC36")</f>
        <v>DC36</v>
      </c>
      <c r="AA630" s="131"/>
      <c r="AB630" s="131"/>
      <c r="AC630" s="131"/>
      <c r="AD630" s="131"/>
      <c r="AE630" s="131">
        <f>IFERROR(__xludf.DUMMYFUNCTION("""COMPUTED_VALUE"""),88.0)</f>
        <v>88</v>
      </c>
      <c r="AF630" s="131">
        <f>IFERROR(__xludf.DUMMYFUNCTION("""COMPUTED_VALUE"""),96.0)</f>
        <v>96</v>
      </c>
      <c r="AG630" s="131">
        <f>IFERROR(__xludf.DUMMYFUNCTION("""COMPUTED_VALUE"""),5.0)</f>
        <v>5</v>
      </c>
      <c r="AH630" s="131">
        <f>IFERROR(__xludf.DUMMYFUNCTION("""COMPUTED_VALUE"""),5.0)</f>
        <v>5</v>
      </c>
      <c r="AI630" s="131">
        <f>IFERROR(__xludf.DUMMYFUNCTION("""COMPUTED_VALUE"""),354.0)</f>
        <v>354</v>
      </c>
      <c r="AJ630" s="131" t="str">
        <f>IFERROR(__xludf.DUMMYFUNCTION("""COMPUTED_VALUE"""),"S45,G49")</f>
        <v>S45,G49</v>
      </c>
      <c r="AK630" s="131"/>
    </row>
    <row r="631">
      <c r="A631" s="124" t="str">
        <f>IFERROR(__xludf.DUMMYFUNCTION("""COMPUTED_VALUE"""),"Y")</f>
        <v>Y</v>
      </c>
      <c r="B631" s="131" t="str">
        <f>IFERROR(__xludf.DUMMYFUNCTION("""COMPUTED_VALUE"""),"7")</f>
        <v>7</v>
      </c>
      <c r="C631" s="131" t="str">
        <f>IFERROR(__xludf.DUMMYFUNCTION("""COMPUTED_VALUE"""),"451-456")</f>
        <v>451-456</v>
      </c>
      <c r="D631" s="144">
        <f>IFERROR(__xludf.DUMMYFUNCTION("""COMPUTED_VALUE"""),45797.0)</f>
        <v>45797</v>
      </c>
      <c r="E631" s="147">
        <f>IFERROR(__xludf.DUMMYFUNCTION("""COMPUTED_VALUE"""),45804.0)</f>
        <v>45804</v>
      </c>
      <c r="F631" s="147">
        <f>IFERROR(__xludf.DUMMYFUNCTION("""COMPUTED_VALUE"""),45825.0)</f>
        <v>45825</v>
      </c>
      <c r="G631" s="131" t="str">
        <f>IFERROR(__xludf.DUMMYFUNCTION("""COMPUTED_VALUE"""),"DC36")</f>
        <v>DC36</v>
      </c>
      <c r="H631" s="126"/>
      <c r="I631" s="126"/>
      <c r="J631" s="131"/>
      <c r="K631" s="131"/>
      <c r="L631" s="131">
        <f>IFERROR(__xludf.DUMMYFUNCTION("""COMPUTED_VALUE"""),88.0)</f>
        <v>88</v>
      </c>
      <c r="M631" s="131">
        <f>IFERROR(__xludf.DUMMYFUNCTION("""COMPUTED_VALUE"""),96.0)</f>
        <v>96</v>
      </c>
      <c r="N631" s="131">
        <f>IFERROR(__xludf.DUMMYFUNCTION("""COMPUTED_VALUE"""),5.0)</f>
        <v>5</v>
      </c>
      <c r="O631" s="131">
        <f>IFERROR(__xludf.DUMMYFUNCTION("""COMPUTED_VALUE"""),5.0)</f>
        <v>5</v>
      </c>
      <c r="P631" s="131">
        <f>IFERROR(__xludf.DUMMYFUNCTION("""COMPUTED_VALUE"""),354.0)</f>
        <v>354</v>
      </c>
      <c r="Q631" s="131" t="str">
        <f>IFERROR(__xludf.DUMMYFUNCTION("""COMPUTED_VALUE"""),"S45,G49")</f>
        <v>S45,G49</v>
      </c>
      <c r="R631" s="131"/>
      <c r="T631" s="131" t="str">
        <f>IFERROR(__xludf.DUMMYFUNCTION("""COMPUTED_VALUE"""),"Y")</f>
        <v>Y</v>
      </c>
      <c r="U631" s="131" t="str">
        <f>IFERROR(__xludf.DUMMYFUNCTION("""COMPUTED_VALUE"""),"7")</f>
        <v>7</v>
      </c>
      <c r="V631" s="131" t="str">
        <f>IFERROR(__xludf.DUMMYFUNCTION("""COMPUTED_VALUE"""),"457-462")</f>
        <v>457-462</v>
      </c>
      <c r="W631" s="144">
        <f>IFERROR(__xludf.DUMMYFUNCTION("""COMPUTED_VALUE"""),45798.0)</f>
        <v>45798</v>
      </c>
      <c r="X631" s="144">
        <f>IFERROR(__xludf.DUMMYFUNCTION("""COMPUTED_VALUE"""),45805.0)</f>
        <v>45805</v>
      </c>
      <c r="Y631" s="144">
        <f>IFERROR(__xludf.DUMMYFUNCTION("""COMPUTED_VALUE"""),45826.0)</f>
        <v>45826</v>
      </c>
      <c r="Z631" s="131" t="str">
        <f>IFERROR(__xludf.DUMMYFUNCTION("""COMPUTED_VALUE"""),"DC36")</f>
        <v>DC36</v>
      </c>
      <c r="AA631" s="131">
        <f>IFERROR(__xludf.DUMMYFUNCTION("""COMPUTED_VALUE"""),43.0)</f>
        <v>43</v>
      </c>
      <c r="AB631" s="131">
        <f>IFERROR(__xludf.DUMMYFUNCTION("""COMPUTED_VALUE"""),57.0)</f>
        <v>57</v>
      </c>
      <c r="AC631" s="131">
        <f>IFERROR(__xludf.DUMMYFUNCTION("""COMPUTED_VALUE"""),8.0)</f>
        <v>8</v>
      </c>
      <c r="AD631" s="131">
        <f>IFERROR(__xludf.DUMMYFUNCTION("""COMPUTED_VALUE"""),8.0)</f>
        <v>8</v>
      </c>
      <c r="AE631" s="131">
        <f>IFERROR(__xludf.DUMMYFUNCTION("""COMPUTED_VALUE"""),28.0)</f>
        <v>28</v>
      </c>
      <c r="AF631" s="131">
        <f>IFERROR(__xludf.DUMMYFUNCTION("""COMPUTED_VALUE"""),42.0)</f>
        <v>42</v>
      </c>
      <c r="AG631" s="131">
        <f>IFERROR(__xludf.DUMMYFUNCTION("""COMPUTED_VALUE"""),8.0)</f>
        <v>8</v>
      </c>
      <c r="AH631" s="131">
        <f>IFERROR(__xludf.DUMMYFUNCTION("""COMPUTED_VALUE"""),8.0)</f>
        <v>8</v>
      </c>
      <c r="AI631" s="131">
        <f>IFERROR(__xludf.DUMMYFUNCTION("""COMPUTED_VALUE"""),355.0)</f>
        <v>355</v>
      </c>
      <c r="AJ631" s="131" t="str">
        <f>IFERROR(__xludf.DUMMYFUNCTION("""COMPUTED_VALUE"""),"S46,G49")</f>
        <v>S46,G49</v>
      </c>
      <c r="AK631" s="131">
        <f>IFERROR(__xludf.DUMMYFUNCTION("""COMPUTED_VALUE"""),27.962)</f>
        <v>27.962</v>
      </c>
    </row>
    <row r="632">
      <c r="A632" s="124" t="str">
        <f>IFERROR(__xludf.DUMMYFUNCTION("""COMPUTED_VALUE"""),"Y")</f>
        <v>Y</v>
      </c>
      <c r="B632" s="131" t="str">
        <f>IFERROR(__xludf.DUMMYFUNCTION("""COMPUTED_VALUE"""),"7")</f>
        <v>7</v>
      </c>
      <c r="C632" s="131" t="str">
        <f>IFERROR(__xludf.DUMMYFUNCTION("""COMPUTED_VALUE"""),"457-462")</f>
        <v>457-462</v>
      </c>
      <c r="D632" s="144">
        <f>IFERROR(__xludf.DUMMYFUNCTION("""COMPUTED_VALUE"""),45798.0)</f>
        <v>45798</v>
      </c>
      <c r="E632" s="147">
        <f>IFERROR(__xludf.DUMMYFUNCTION("""COMPUTED_VALUE"""),45805.0)</f>
        <v>45805</v>
      </c>
      <c r="F632" s="147">
        <f>IFERROR(__xludf.DUMMYFUNCTION("""COMPUTED_VALUE"""),45826.0)</f>
        <v>45826</v>
      </c>
      <c r="G632" s="131" t="str">
        <f>IFERROR(__xludf.DUMMYFUNCTION("""COMPUTED_VALUE"""),"DC36")</f>
        <v>DC36</v>
      </c>
      <c r="H632" s="126">
        <f>IFERROR(__xludf.DUMMYFUNCTION("""COMPUTED_VALUE"""),43.0)</f>
        <v>43</v>
      </c>
      <c r="I632" s="126">
        <f>IFERROR(__xludf.DUMMYFUNCTION("""COMPUTED_VALUE"""),57.0)</f>
        <v>57</v>
      </c>
      <c r="J632" s="131">
        <f>IFERROR(__xludf.DUMMYFUNCTION("""COMPUTED_VALUE"""),8.0)</f>
        <v>8</v>
      </c>
      <c r="K632" s="131">
        <f>IFERROR(__xludf.DUMMYFUNCTION("""COMPUTED_VALUE"""),8.0)</f>
        <v>8</v>
      </c>
      <c r="L632" s="131">
        <f>IFERROR(__xludf.DUMMYFUNCTION("""COMPUTED_VALUE"""),28.0)</f>
        <v>28</v>
      </c>
      <c r="M632" s="131">
        <f>IFERROR(__xludf.DUMMYFUNCTION("""COMPUTED_VALUE"""),42.0)</f>
        <v>42</v>
      </c>
      <c r="N632" s="131">
        <f>IFERROR(__xludf.DUMMYFUNCTION("""COMPUTED_VALUE"""),8.0)</f>
        <v>8</v>
      </c>
      <c r="O632" s="131">
        <f>IFERROR(__xludf.DUMMYFUNCTION("""COMPUTED_VALUE"""),8.0)</f>
        <v>8</v>
      </c>
      <c r="P632" s="131">
        <f>IFERROR(__xludf.DUMMYFUNCTION("""COMPUTED_VALUE"""),355.0)</f>
        <v>355</v>
      </c>
      <c r="Q632" s="131" t="str">
        <f>IFERROR(__xludf.DUMMYFUNCTION("""COMPUTED_VALUE"""),"S46,G49")</f>
        <v>S46,G49</v>
      </c>
      <c r="R632" s="131">
        <f>IFERROR(__xludf.DUMMYFUNCTION("""COMPUTED_VALUE"""),27.962)</f>
        <v>27.962</v>
      </c>
      <c r="T632" s="131" t="str">
        <f>IFERROR(__xludf.DUMMYFUNCTION("""COMPUTED_VALUE"""),"Y")</f>
        <v>Y</v>
      </c>
      <c r="U632" s="131" t="str">
        <f>IFERROR(__xludf.DUMMYFUNCTION("""COMPUTED_VALUE"""),"7")</f>
        <v>7</v>
      </c>
      <c r="V632" s="131" t="str">
        <f>IFERROR(__xludf.DUMMYFUNCTION("""COMPUTED_VALUE"""),"457-462")</f>
        <v>457-462</v>
      </c>
      <c r="W632" s="144">
        <f>IFERROR(__xludf.DUMMYFUNCTION("""COMPUTED_VALUE"""),45798.0)</f>
        <v>45798</v>
      </c>
      <c r="X632" s="144">
        <f>IFERROR(__xludf.DUMMYFUNCTION("""COMPUTED_VALUE"""),45805.0)</f>
        <v>45805</v>
      </c>
      <c r="Y632" s="144">
        <f>IFERROR(__xludf.DUMMYFUNCTION("""COMPUTED_VALUE"""),45826.0)</f>
        <v>45826</v>
      </c>
      <c r="Z632" s="131" t="str">
        <f>IFERROR(__xludf.DUMMYFUNCTION("""COMPUTED_VALUE"""),"DC36")</f>
        <v>DC36</v>
      </c>
      <c r="AA632" s="131">
        <f>IFERROR(__xludf.DUMMYFUNCTION("""COMPUTED_VALUE"""),87.0)</f>
        <v>87</v>
      </c>
      <c r="AB632" s="131">
        <f>IFERROR(__xludf.DUMMYFUNCTION("""COMPUTED_VALUE"""),97.0)</f>
        <v>97</v>
      </c>
      <c r="AC632" s="131">
        <f>IFERROR(__xludf.DUMMYFUNCTION("""COMPUTED_VALUE"""),6.0)</f>
        <v>6</v>
      </c>
      <c r="AD632" s="131">
        <f>IFERROR(__xludf.DUMMYFUNCTION("""COMPUTED_VALUE"""),6.0)</f>
        <v>6</v>
      </c>
      <c r="AE632" s="131">
        <f>IFERROR(__xludf.DUMMYFUNCTION("""COMPUTED_VALUE"""),98.0)</f>
        <v>98</v>
      </c>
      <c r="AF632" s="131">
        <f>IFERROR(__xludf.DUMMYFUNCTION("""COMPUTED_VALUE"""),122.0)</f>
        <v>122</v>
      </c>
      <c r="AG632" s="131">
        <f>IFERROR(__xludf.DUMMYFUNCTION("""COMPUTED_VALUE"""),13.0)</f>
        <v>13</v>
      </c>
      <c r="AH632" s="131">
        <f>IFERROR(__xludf.DUMMYFUNCTION("""COMPUTED_VALUE"""),13.0)</f>
        <v>13</v>
      </c>
      <c r="AI632" s="131">
        <f>IFERROR(__xludf.DUMMYFUNCTION("""COMPUTED_VALUE"""),355.0)</f>
        <v>355</v>
      </c>
      <c r="AJ632" s="131" t="str">
        <f>IFERROR(__xludf.DUMMYFUNCTION("""COMPUTED_VALUE"""),"S46,G49")</f>
        <v>S46,G49</v>
      </c>
      <c r="AK632" s="131"/>
    </row>
    <row r="633">
      <c r="A633" s="124" t="str">
        <f>IFERROR(__xludf.DUMMYFUNCTION("""COMPUTED_VALUE"""),"Y")</f>
        <v>Y</v>
      </c>
      <c r="B633" s="131" t="str">
        <f>IFERROR(__xludf.DUMMYFUNCTION("""COMPUTED_VALUE"""),"7")</f>
        <v>7</v>
      </c>
      <c r="C633" s="131" t="str">
        <f>IFERROR(__xludf.DUMMYFUNCTION("""COMPUTED_VALUE"""),"457-462")</f>
        <v>457-462</v>
      </c>
      <c r="D633" s="144">
        <f>IFERROR(__xludf.DUMMYFUNCTION("""COMPUTED_VALUE"""),45798.0)</f>
        <v>45798</v>
      </c>
      <c r="E633" s="147">
        <f>IFERROR(__xludf.DUMMYFUNCTION("""COMPUTED_VALUE"""),45805.0)</f>
        <v>45805</v>
      </c>
      <c r="F633" s="147">
        <f>IFERROR(__xludf.DUMMYFUNCTION("""COMPUTED_VALUE"""),45826.0)</f>
        <v>45826</v>
      </c>
      <c r="G633" s="131" t="str">
        <f>IFERROR(__xludf.DUMMYFUNCTION("""COMPUTED_VALUE"""),"DC36")</f>
        <v>DC36</v>
      </c>
      <c r="H633" s="126">
        <f>IFERROR(__xludf.DUMMYFUNCTION("""COMPUTED_VALUE"""),87.0)</f>
        <v>87</v>
      </c>
      <c r="I633" s="126">
        <f>IFERROR(__xludf.DUMMYFUNCTION("""COMPUTED_VALUE"""),97.0)</f>
        <v>97</v>
      </c>
      <c r="J633" s="131">
        <f>IFERROR(__xludf.DUMMYFUNCTION("""COMPUTED_VALUE"""),6.0)</f>
        <v>6</v>
      </c>
      <c r="K633" s="131">
        <f>IFERROR(__xludf.DUMMYFUNCTION("""COMPUTED_VALUE"""),6.0)</f>
        <v>6</v>
      </c>
      <c r="L633" s="131">
        <f>IFERROR(__xludf.DUMMYFUNCTION("""COMPUTED_VALUE"""),98.0)</f>
        <v>98</v>
      </c>
      <c r="M633" s="131">
        <f>IFERROR(__xludf.DUMMYFUNCTION("""COMPUTED_VALUE"""),122.0)</f>
        <v>122</v>
      </c>
      <c r="N633" s="131">
        <f>IFERROR(__xludf.DUMMYFUNCTION("""COMPUTED_VALUE"""),13.0)</f>
        <v>13</v>
      </c>
      <c r="O633" s="131">
        <f>IFERROR(__xludf.DUMMYFUNCTION("""COMPUTED_VALUE"""),13.0)</f>
        <v>13</v>
      </c>
      <c r="P633" s="131">
        <f>IFERROR(__xludf.DUMMYFUNCTION("""COMPUTED_VALUE"""),355.0)</f>
        <v>355</v>
      </c>
      <c r="Q633" s="131" t="str">
        <f>IFERROR(__xludf.DUMMYFUNCTION("""COMPUTED_VALUE"""),"S46,G49")</f>
        <v>S46,G49</v>
      </c>
      <c r="R633" s="131"/>
      <c r="T633" s="131" t="str">
        <f>IFERROR(__xludf.DUMMYFUNCTION("""COMPUTED_VALUE"""),"Y")</f>
        <v>Y</v>
      </c>
      <c r="U633" s="131" t="str">
        <f>IFERROR(__xludf.DUMMYFUNCTION("""COMPUTED_VALUE"""),"7")</f>
        <v>7</v>
      </c>
      <c r="V633" s="131" t="str">
        <f>IFERROR(__xludf.DUMMYFUNCTION("""COMPUTED_VALUE"""),"457-462")</f>
        <v>457-462</v>
      </c>
      <c r="W633" s="144">
        <f>IFERROR(__xludf.DUMMYFUNCTION("""COMPUTED_VALUE"""),45798.0)</f>
        <v>45798</v>
      </c>
      <c r="X633" s="144">
        <f>IFERROR(__xludf.DUMMYFUNCTION("""COMPUTED_VALUE"""),45805.0)</f>
        <v>45805</v>
      </c>
      <c r="Y633" s="144">
        <f>IFERROR(__xludf.DUMMYFUNCTION("""COMPUTED_VALUE"""),45826.0)</f>
        <v>45826</v>
      </c>
      <c r="Z633" s="131" t="str">
        <f>IFERROR(__xludf.DUMMYFUNCTION("""COMPUTED_VALUE"""),"DC36")</f>
        <v>DC36</v>
      </c>
      <c r="AA633" s="131"/>
      <c r="AB633" s="131"/>
      <c r="AC633" s="131"/>
      <c r="AD633" s="131"/>
      <c r="AE633" s="131">
        <f>IFERROR(__xludf.DUMMYFUNCTION("""COMPUTED_VALUE"""),68.0)</f>
        <v>68</v>
      </c>
      <c r="AF633" s="131">
        <f>IFERROR(__xludf.DUMMYFUNCTION("""COMPUTED_VALUE"""),86.0)</f>
        <v>86</v>
      </c>
      <c r="AG633" s="131">
        <f>IFERROR(__xludf.DUMMYFUNCTION("""COMPUTED_VALUE"""),10.0)</f>
        <v>10</v>
      </c>
      <c r="AH633" s="131">
        <f>IFERROR(__xludf.DUMMYFUNCTION("""COMPUTED_VALUE"""),10.0)</f>
        <v>10</v>
      </c>
      <c r="AI633" s="131">
        <f>IFERROR(__xludf.DUMMYFUNCTION("""COMPUTED_VALUE"""),355.0)</f>
        <v>355</v>
      </c>
      <c r="AJ633" s="131" t="str">
        <f>IFERROR(__xludf.DUMMYFUNCTION("""COMPUTED_VALUE"""),"S46,G49")</f>
        <v>S46,G49</v>
      </c>
      <c r="AK633" s="131"/>
    </row>
    <row r="634">
      <c r="A634" s="124" t="str">
        <f>IFERROR(__xludf.DUMMYFUNCTION("""COMPUTED_VALUE"""),"Y")</f>
        <v>Y</v>
      </c>
      <c r="B634" s="131" t="str">
        <f>IFERROR(__xludf.DUMMYFUNCTION("""COMPUTED_VALUE"""),"7")</f>
        <v>7</v>
      </c>
      <c r="C634" s="131" t="str">
        <f>IFERROR(__xludf.DUMMYFUNCTION("""COMPUTED_VALUE"""),"457-462")</f>
        <v>457-462</v>
      </c>
      <c r="D634" s="144">
        <f>IFERROR(__xludf.DUMMYFUNCTION("""COMPUTED_VALUE"""),45798.0)</f>
        <v>45798</v>
      </c>
      <c r="E634" s="147">
        <f>IFERROR(__xludf.DUMMYFUNCTION("""COMPUTED_VALUE"""),45805.0)</f>
        <v>45805</v>
      </c>
      <c r="F634" s="147">
        <f>IFERROR(__xludf.DUMMYFUNCTION("""COMPUTED_VALUE"""),45826.0)</f>
        <v>45826</v>
      </c>
      <c r="G634" s="131" t="str">
        <f>IFERROR(__xludf.DUMMYFUNCTION("""COMPUTED_VALUE"""),"DC36")</f>
        <v>DC36</v>
      </c>
      <c r="H634" s="126"/>
      <c r="I634" s="126"/>
      <c r="J634" s="131"/>
      <c r="K634" s="131"/>
      <c r="L634" s="131">
        <f>IFERROR(__xludf.DUMMYFUNCTION("""COMPUTED_VALUE"""),68.0)</f>
        <v>68</v>
      </c>
      <c r="M634" s="131">
        <f>IFERROR(__xludf.DUMMYFUNCTION("""COMPUTED_VALUE"""),86.0)</f>
        <v>86</v>
      </c>
      <c r="N634" s="131">
        <f>IFERROR(__xludf.DUMMYFUNCTION("""COMPUTED_VALUE"""),10.0)</f>
        <v>10</v>
      </c>
      <c r="O634" s="131">
        <f>IFERROR(__xludf.DUMMYFUNCTION("""COMPUTED_VALUE"""),10.0)</f>
        <v>10</v>
      </c>
      <c r="P634" s="131">
        <f>IFERROR(__xludf.DUMMYFUNCTION("""COMPUTED_VALUE"""),355.0)</f>
        <v>355</v>
      </c>
      <c r="Q634" s="131" t="str">
        <f>IFERROR(__xludf.DUMMYFUNCTION("""COMPUTED_VALUE"""),"S46,G49")</f>
        <v>S46,G49</v>
      </c>
      <c r="R634" s="131"/>
      <c r="T634" s="131" t="str">
        <f>IFERROR(__xludf.DUMMYFUNCTION("""COMPUTED_VALUE"""),"Y")</f>
        <v>Y</v>
      </c>
      <c r="U634" s="131" t="str">
        <f>IFERROR(__xludf.DUMMYFUNCTION("""COMPUTED_VALUE"""),"7")</f>
        <v>7</v>
      </c>
      <c r="V634" s="131" t="str">
        <f>IFERROR(__xludf.DUMMYFUNCTION("""COMPUTED_VALUE"""),"457-462")</f>
        <v>457-462</v>
      </c>
      <c r="W634" s="144">
        <f>IFERROR(__xludf.DUMMYFUNCTION("""COMPUTED_VALUE"""),45798.0)</f>
        <v>45798</v>
      </c>
      <c r="X634" s="144">
        <f>IFERROR(__xludf.DUMMYFUNCTION("""COMPUTED_VALUE"""),45805.0)</f>
        <v>45805</v>
      </c>
      <c r="Y634" s="144">
        <f>IFERROR(__xludf.DUMMYFUNCTION("""COMPUTED_VALUE"""),45826.0)</f>
        <v>45826</v>
      </c>
      <c r="Z634" s="131" t="str">
        <f>IFERROR(__xludf.DUMMYFUNCTION("""COMPUTED_VALUE"""),"D40-2L")</f>
        <v>D40-2L</v>
      </c>
      <c r="AA634" s="131">
        <f>IFERROR(__xludf.DUMMYFUNCTION("""COMPUTED_VALUE"""),289.0)</f>
        <v>289</v>
      </c>
      <c r="AB634" s="131">
        <f>IFERROR(__xludf.DUMMYFUNCTION("""COMPUTED_VALUE"""),289.0)</f>
        <v>289</v>
      </c>
      <c r="AC634" s="131">
        <f>IFERROR(__xludf.DUMMYFUNCTION("""COMPUTED_VALUE"""),1.0)</f>
        <v>1</v>
      </c>
      <c r="AD634" s="131">
        <f>IFERROR(__xludf.DUMMYFUNCTION("""COMPUTED_VALUE"""),1.0)</f>
        <v>1</v>
      </c>
      <c r="AE634" s="131">
        <f>IFERROR(__xludf.DUMMYFUNCTION("""COMPUTED_VALUE"""),224.0)</f>
        <v>224</v>
      </c>
      <c r="AF634" s="131">
        <f>IFERROR(__xludf.DUMMYFUNCTION("""COMPUTED_VALUE"""),226.0)</f>
        <v>226</v>
      </c>
      <c r="AG634" s="131">
        <f>IFERROR(__xludf.DUMMYFUNCTION("""COMPUTED_VALUE"""),2.0)</f>
        <v>2</v>
      </c>
      <c r="AH634" s="131">
        <f>IFERROR(__xludf.DUMMYFUNCTION("""COMPUTED_VALUE"""),2.0)</f>
        <v>2</v>
      </c>
      <c r="AI634" s="131">
        <f>IFERROR(__xludf.DUMMYFUNCTION("""COMPUTED_VALUE"""),355.0)</f>
        <v>355</v>
      </c>
      <c r="AJ634" s="131" t="str">
        <f>IFERROR(__xludf.DUMMYFUNCTION("""COMPUTED_VALUE"""),"S46,G49")</f>
        <v>S46,G49</v>
      </c>
      <c r="AK634" s="131"/>
    </row>
    <row r="635">
      <c r="A635" s="124" t="str">
        <f>IFERROR(__xludf.DUMMYFUNCTION("""COMPUTED_VALUE"""),"Y")</f>
        <v>Y</v>
      </c>
      <c r="B635" s="131" t="str">
        <f>IFERROR(__xludf.DUMMYFUNCTION("""COMPUTED_VALUE"""),"7")</f>
        <v>7</v>
      </c>
      <c r="C635" s="131" t="str">
        <f>IFERROR(__xludf.DUMMYFUNCTION("""COMPUTED_VALUE"""),"457-462")</f>
        <v>457-462</v>
      </c>
      <c r="D635" s="144">
        <f>IFERROR(__xludf.DUMMYFUNCTION("""COMPUTED_VALUE"""),45798.0)</f>
        <v>45798</v>
      </c>
      <c r="E635" s="147">
        <f>IFERROR(__xludf.DUMMYFUNCTION("""COMPUTED_VALUE"""),45805.0)</f>
        <v>45805</v>
      </c>
      <c r="F635" s="147">
        <f>IFERROR(__xludf.DUMMYFUNCTION("""COMPUTED_VALUE"""),45826.0)</f>
        <v>45826</v>
      </c>
      <c r="G635" s="131" t="str">
        <f>IFERROR(__xludf.DUMMYFUNCTION("""COMPUTED_VALUE"""),"D40-2L")</f>
        <v>D40-2L</v>
      </c>
      <c r="H635" s="126">
        <f>IFERROR(__xludf.DUMMYFUNCTION("""COMPUTED_VALUE"""),289.0)</f>
        <v>289</v>
      </c>
      <c r="I635" s="126">
        <f>IFERROR(__xludf.DUMMYFUNCTION("""COMPUTED_VALUE"""),289.0)</f>
        <v>289</v>
      </c>
      <c r="J635" s="131">
        <f>IFERROR(__xludf.DUMMYFUNCTION("""COMPUTED_VALUE"""),1.0)</f>
        <v>1</v>
      </c>
      <c r="K635" s="131">
        <f>IFERROR(__xludf.DUMMYFUNCTION("""COMPUTED_VALUE"""),1.0)</f>
        <v>1</v>
      </c>
      <c r="L635" s="131">
        <f>IFERROR(__xludf.DUMMYFUNCTION("""COMPUTED_VALUE"""),224.0)</f>
        <v>224</v>
      </c>
      <c r="M635" s="131">
        <f>IFERROR(__xludf.DUMMYFUNCTION("""COMPUTED_VALUE"""),226.0)</f>
        <v>226</v>
      </c>
      <c r="N635" s="131">
        <f>IFERROR(__xludf.DUMMYFUNCTION("""COMPUTED_VALUE"""),2.0)</f>
        <v>2</v>
      </c>
      <c r="O635" s="131">
        <f>IFERROR(__xludf.DUMMYFUNCTION("""COMPUTED_VALUE"""),2.0)</f>
        <v>2</v>
      </c>
      <c r="P635" s="131">
        <f>IFERROR(__xludf.DUMMYFUNCTION("""COMPUTED_VALUE"""),355.0)</f>
        <v>355</v>
      </c>
      <c r="Q635" s="131" t="str">
        <f>IFERROR(__xludf.DUMMYFUNCTION("""COMPUTED_VALUE"""),"S46,G49")</f>
        <v>S46,G49</v>
      </c>
      <c r="R635" s="131"/>
      <c r="T635" s="131" t="str">
        <f>IFERROR(__xludf.DUMMYFUNCTION("""COMPUTED_VALUE"""),"Y")</f>
        <v>Y</v>
      </c>
      <c r="U635" s="131" t="str">
        <f>IFERROR(__xludf.DUMMYFUNCTION("""COMPUTED_VALUE"""),"7")</f>
        <v>7</v>
      </c>
      <c r="V635" s="131" t="str">
        <f>IFERROR(__xludf.DUMMYFUNCTION("""COMPUTED_VALUE"""),"457-462")</f>
        <v>457-462</v>
      </c>
      <c r="W635" s="144">
        <f>IFERROR(__xludf.DUMMYFUNCTION("""COMPUTED_VALUE"""),45798.0)</f>
        <v>45798</v>
      </c>
      <c r="X635" s="144">
        <f>IFERROR(__xludf.DUMMYFUNCTION("""COMPUTED_VALUE"""),45805.0)</f>
        <v>45805</v>
      </c>
      <c r="Y635" s="144">
        <f>IFERROR(__xludf.DUMMYFUNCTION("""COMPUTED_VALUE"""),45826.0)</f>
        <v>45826</v>
      </c>
      <c r="Z635" s="131" t="str">
        <f>IFERROR(__xludf.DUMMYFUNCTION("""COMPUTED_VALUE"""),"D40-2L")</f>
        <v>D40-2L</v>
      </c>
      <c r="AA635" s="131"/>
      <c r="AB635" s="131"/>
      <c r="AC635" s="131"/>
      <c r="AD635" s="131"/>
      <c r="AE635" s="131">
        <f>IFERROR(__xludf.DUMMYFUNCTION("""COMPUTED_VALUE"""),284.0)</f>
        <v>284</v>
      </c>
      <c r="AF635" s="131">
        <f>IFERROR(__xludf.DUMMYFUNCTION("""COMPUTED_VALUE"""),288.0)</f>
        <v>288</v>
      </c>
      <c r="AG635" s="131">
        <f>IFERROR(__xludf.DUMMYFUNCTION("""COMPUTED_VALUE"""),3.0)</f>
        <v>3</v>
      </c>
      <c r="AH635" s="131">
        <f>IFERROR(__xludf.DUMMYFUNCTION("""COMPUTED_VALUE"""),3.0)</f>
        <v>3</v>
      </c>
      <c r="AI635" s="131">
        <f>IFERROR(__xludf.DUMMYFUNCTION("""COMPUTED_VALUE"""),355.0)</f>
        <v>355</v>
      </c>
      <c r="AJ635" s="131" t="str">
        <f>IFERROR(__xludf.DUMMYFUNCTION("""COMPUTED_VALUE"""),"S46,G49")</f>
        <v>S46,G49</v>
      </c>
      <c r="AK635" s="131"/>
    </row>
    <row r="636">
      <c r="A636" s="124" t="str">
        <f>IFERROR(__xludf.DUMMYFUNCTION("""COMPUTED_VALUE"""),"Y")</f>
        <v>Y</v>
      </c>
      <c r="B636" s="131" t="str">
        <f>IFERROR(__xludf.DUMMYFUNCTION("""COMPUTED_VALUE"""),"7")</f>
        <v>7</v>
      </c>
      <c r="C636" s="131" t="str">
        <f>IFERROR(__xludf.DUMMYFUNCTION("""COMPUTED_VALUE"""),"457-462")</f>
        <v>457-462</v>
      </c>
      <c r="D636" s="144">
        <f>IFERROR(__xludf.DUMMYFUNCTION("""COMPUTED_VALUE"""),45798.0)</f>
        <v>45798</v>
      </c>
      <c r="E636" s="147">
        <f>IFERROR(__xludf.DUMMYFUNCTION("""COMPUTED_VALUE"""),45805.0)</f>
        <v>45805</v>
      </c>
      <c r="F636" s="147">
        <f>IFERROR(__xludf.DUMMYFUNCTION("""COMPUTED_VALUE"""),45826.0)</f>
        <v>45826</v>
      </c>
      <c r="G636" s="131" t="str">
        <f>IFERROR(__xludf.DUMMYFUNCTION("""COMPUTED_VALUE"""),"D40-2L")</f>
        <v>D40-2L</v>
      </c>
      <c r="H636" s="126"/>
      <c r="I636" s="126"/>
      <c r="J636" s="131"/>
      <c r="K636" s="131"/>
      <c r="L636" s="131">
        <f>IFERROR(__xludf.DUMMYFUNCTION("""COMPUTED_VALUE"""),284.0)</f>
        <v>284</v>
      </c>
      <c r="M636" s="131">
        <f>IFERROR(__xludf.DUMMYFUNCTION("""COMPUTED_VALUE"""),288.0)</f>
        <v>288</v>
      </c>
      <c r="N636" s="131">
        <f>IFERROR(__xludf.DUMMYFUNCTION("""COMPUTED_VALUE"""),3.0)</f>
        <v>3</v>
      </c>
      <c r="O636" s="131">
        <f>IFERROR(__xludf.DUMMYFUNCTION("""COMPUTED_VALUE"""),3.0)</f>
        <v>3</v>
      </c>
      <c r="P636" s="131">
        <f>IFERROR(__xludf.DUMMYFUNCTION("""COMPUTED_VALUE"""),355.0)</f>
        <v>355</v>
      </c>
      <c r="Q636" s="131" t="str">
        <f>IFERROR(__xludf.DUMMYFUNCTION("""COMPUTED_VALUE"""),"S46,G49")</f>
        <v>S46,G49</v>
      </c>
      <c r="R636" s="131"/>
      <c r="T636" s="131" t="str">
        <f>IFERROR(__xludf.DUMMYFUNCTION("""COMPUTED_VALUE"""),"Y")</f>
        <v>Y</v>
      </c>
      <c r="U636" s="131" t="str">
        <f>IFERROR(__xludf.DUMMYFUNCTION("""COMPUTED_VALUE"""),"7")</f>
        <v>7</v>
      </c>
      <c r="V636" s="131" t="str">
        <f>IFERROR(__xludf.DUMMYFUNCTION("""COMPUTED_VALUE"""),"463-468")</f>
        <v>463-468</v>
      </c>
      <c r="W636" s="144">
        <f>IFERROR(__xludf.DUMMYFUNCTION("""COMPUTED_VALUE"""),45798.0)</f>
        <v>45798</v>
      </c>
      <c r="X636" s="144">
        <f>IFERROR(__xludf.DUMMYFUNCTION("""COMPUTED_VALUE"""),45805.0)</f>
        <v>45805</v>
      </c>
      <c r="Y636" s="144">
        <f>IFERROR(__xludf.DUMMYFUNCTION("""COMPUTED_VALUE"""),45826.0)</f>
        <v>45826</v>
      </c>
      <c r="Z636" s="131" t="str">
        <f>IFERROR(__xludf.DUMMYFUNCTION("""COMPUTED_VALUE"""),"D42-1L")</f>
        <v>D42-1L</v>
      </c>
      <c r="AA636" s="131">
        <f>IFERROR(__xludf.DUMMYFUNCTION("""COMPUTED_VALUE"""),147.0)</f>
        <v>147</v>
      </c>
      <c r="AB636" s="131">
        <f>IFERROR(__xludf.DUMMYFUNCTION("""COMPUTED_VALUE"""),269.0)</f>
        <v>269</v>
      </c>
      <c r="AC636" s="131">
        <f>IFERROR(__xludf.DUMMYFUNCTION("""COMPUTED_VALUE"""),62.0)</f>
        <v>62</v>
      </c>
      <c r="AD636" s="131">
        <f>IFERROR(__xludf.DUMMYFUNCTION("""COMPUTED_VALUE"""),62.0)</f>
        <v>62</v>
      </c>
      <c r="AE636" s="131"/>
      <c r="AF636" s="131"/>
      <c r="AG636" s="131"/>
      <c r="AH636" s="131"/>
      <c r="AI636" s="131">
        <f>IFERROR(__xludf.DUMMYFUNCTION("""COMPUTED_VALUE"""),356.0)</f>
        <v>356</v>
      </c>
      <c r="AJ636" s="131" t="str">
        <f>IFERROR(__xludf.DUMMYFUNCTION("""COMPUTED_VALUE"""),"S46,G49")</f>
        <v>S46,G49</v>
      </c>
      <c r="AK636" s="131">
        <f>IFERROR(__xludf.DUMMYFUNCTION("""COMPUTED_VALUE"""),32.0)</f>
        <v>32</v>
      </c>
    </row>
    <row r="637">
      <c r="A637" s="124" t="str">
        <f>IFERROR(__xludf.DUMMYFUNCTION("""COMPUTED_VALUE"""),"Y")</f>
        <v>Y</v>
      </c>
      <c r="B637" s="131" t="str">
        <f>IFERROR(__xludf.DUMMYFUNCTION("""COMPUTED_VALUE"""),"7")</f>
        <v>7</v>
      </c>
      <c r="C637" s="131" t="str">
        <f>IFERROR(__xludf.DUMMYFUNCTION("""COMPUTED_VALUE"""),"463-468")</f>
        <v>463-468</v>
      </c>
      <c r="D637" s="144">
        <f>IFERROR(__xludf.DUMMYFUNCTION("""COMPUTED_VALUE"""),45798.0)</f>
        <v>45798</v>
      </c>
      <c r="E637" s="147">
        <f>IFERROR(__xludf.DUMMYFUNCTION("""COMPUTED_VALUE"""),45805.0)</f>
        <v>45805</v>
      </c>
      <c r="F637" s="147">
        <f>IFERROR(__xludf.DUMMYFUNCTION("""COMPUTED_VALUE"""),45826.0)</f>
        <v>45826</v>
      </c>
      <c r="G637" s="131" t="str">
        <f>IFERROR(__xludf.DUMMYFUNCTION("""COMPUTED_VALUE"""),"D42-1L")</f>
        <v>D42-1L</v>
      </c>
      <c r="H637" s="126">
        <f>IFERROR(__xludf.DUMMYFUNCTION("""COMPUTED_VALUE"""),147.0)</f>
        <v>147</v>
      </c>
      <c r="I637" s="126">
        <f>IFERROR(__xludf.DUMMYFUNCTION("""COMPUTED_VALUE"""),269.0)</f>
        <v>269</v>
      </c>
      <c r="J637" s="131">
        <f>IFERROR(__xludf.DUMMYFUNCTION("""COMPUTED_VALUE"""),62.0)</f>
        <v>62</v>
      </c>
      <c r="K637" s="131">
        <f>IFERROR(__xludf.DUMMYFUNCTION("""COMPUTED_VALUE"""),62.0)</f>
        <v>62</v>
      </c>
      <c r="L637" s="131"/>
      <c r="M637" s="131"/>
      <c r="N637" s="131"/>
      <c r="O637" s="131"/>
      <c r="P637" s="131">
        <f>IFERROR(__xludf.DUMMYFUNCTION("""COMPUTED_VALUE"""),356.0)</f>
        <v>356</v>
      </c>
      <c r="Q637" s="131" t="str">
        <f>IFERROR(__xludf.DUMMYFUNCTION("""COMPUTED_VALUE"""),"S46,G49")</f>
        <v>S46,G49</v>
      </c>
      <c r="R637" s="131">
        <f>IFERROR(__xludf.DUMMYFUNCTION("""COMPUTED_VALUE"""),32.0)</f>
        <v>32</v>
      </c>
      <c r="T637" s="131" t="str">
        <f>IFERROR(__xludf.DUMMYFUNCTION("""COMPUTED_VALUE"""),"Y")</f>
        <v>Y</v>
      </c>
      <c r="U637" s="131" t="str">
        <f>IFERROR(__xludf.DUMMYFUNCTION("""COMPUTED_VALUE"""),"7")</f>
        <v>7</v>
      </c>
      <c r="V637" s="131" t="str">
        <f>IFERROR(__xludf.DUMMYFUNCTION("""COMPUTED_VALUE"""),"463-468")</f>
        <v>463-468</v>
      </c>
      <c r="W637" s="144">
        <f>IFERROR(__xludf.DUMMYFUNCTION("""COMPUTED_VALUE"""),45798.0)</f>
        <v>45798</v>
      </c>
      <c r="X637" s="144">
        <f>IFERROR(__xludf.DUMMYFUNCTION("""COMPUTED_VALUE"""),45805.0)</f>
        <v>45805</v>
      </c>
      <c r="Y637" s="144">
        <f>IFERROR(__xludf.DUMMYFUNCTION("""COMPUTED_VALUE"""),45826.0)</f>
        <v>45826</v>
      </c>
      <c r="Z637" s="131" t="str">
        <f>IFERROR(__xludf.DUMMYFUNCTION("""COMPUTED_VALUE"""),"D42-4L")</f>
        <v>D42-4L</v>
      </c>
      <c r="AA637" s="131">
        <f>IFERROR(__xludf.DUMMYFUNCTION("""COMPUTED_VALUE"""),19.0)</f>
        <v>19</v>
      </c>
      <c r="AB637" s="131">
        <f>IFERROR(__xludf.DUMMYFUNCTION("""COMPUTED_VALUE"""),67.0)</f>
        <v>67</v>
      </c>
      <c r="AC637" s="131">
        <f>IFERROR(__xludf.DUMMYFUNCTION("""COMPUTED_VALUE"""),25.0)</f>
        <v>25</v>
      </c>
      <c r="AD637" s="131">
        <f>IFERROR(__xludf.DUMMYFUNCTION("""COMPUTED_VALUE"""),25.0)</f>
        <v>25</v>
      </c>
      <c r="AE637" s="131"/>
      <c r="AF637" s="131"/>
      <c r="AG637" s="131"/>
      <c r="AH637" s="131"/>
      <c r="AI637" s="131">
        <f>IFERROR(__xludf.DUMMYFUNCTION("""COMPUTED_VALUE"""),356.0)</f>
        <v>356</v>
      </c>
      <c r="AJ637" s="131" t="str">
        <f>IFERROR(__xludf.DUMMYFUNCTION("""COMPUTED_VALUE"""),"S46,G49")</f>
        <v>S46,G49</v>
      </c>
      <c r="AK637" s="131"/>
    </row>
    <row r="638">
      <c r="A638" s="124" t="str">
        <f>IFERROR(__xludf.DUMMYFUNCTION("""COMPUTED_VALUE"""),"Y")</f>
        <v>Y</v>
      </c>
      <c r="B638" s="131" t="str">
        <f>IFERROR(__xludf.DUMMYFUNCTION("""COMPUTED_VALUE"""),"7")</f>
        <v>7</v>
      </c>
      <c r="C638" s="131" t="str">
        <f>IFERROR(__xludf.DUMMYFUNCTION("""COMPUTED_VALUE"""),"463-468")</f>
        <v>463-468</v>
      </c>
      <c r="D638" s="144">
        <f>IFERROR(__xludf.DUMMYFUNCTION("""COMPUTED_VALUE"""),45798.0)</f>
        <v>45798</v>
      </c>
      <c r="E638" s="147">
        <f>IFERROR(__xludf.DUMMYFUNCTION("""COMPUTED_VALUE"""),45805.0)</f>
        <v>45805</v>
      </c>
      <c r="F638" s="147">
        <f>IFERROR(__xludf.DUMMYFUNCTION("""COMPUTED_VALUE"""),45826.0)</f>
        <v>45826</v>
      </c>
      <c r="G638" s="131" t="str">
        <f>IFERROR(__xludf.DUMMYFUNCTION("""COMPUTED_VALUE"""),"D42-4L")</f>
        <v>D42-4L</v>
      </c>
      <c r="H638" s="126">
        <f>IFERROR(__xludf.DUMMYFUNCTION("""COMPUTED_VALUE"""),19.0)</f>
        <v>19</v>
      </c>
      <c r="I638" s="126">
        <f>IFERROR(__xludf.DUMMYFUNCTION("""COMPUTED_VALUE"""),67.0)</f>
        <v>67</v>
      </c>
      <c r="J638" s="131">
        <f>IFERROR(__xludf.DUMMYFUNCTION("""COMPUTED_VALUE"""),25.0)</f>
        <v>25</v>
      </c>
      <c r="K638" s="131">
        <f>IFERROR(__xludf.DUMMYFUNCTION("""COMPUTED_VALUE"""),25.0)</f>
        <v>25</v>
      </c>
      <c r="L638" s="131"/>
      <c r="M638" s="131"/>
      <c r="N638" s="131"/>
      <c r="O638" s="131"/>
      <c r="P638" s="131">
        <f>IFERROR(__xludf.DUMMYFUNCTION("""COMPUTED_VALUE"""),356.0)</f>
        <v>356</v>
      </c>
      <c r="Q638" s="131" t="str">
        <f>IFERROR(__xludf.DUMMYFUNCTION("""COMPUTED_VALUE"""),"S46,G49")</f>
        <v>S46,G49</v>
      </c>
      <c r="R638" s="131"/>
      <c r="T638" s="131" t="str">
        <f>IFERROR(__xludf.DUMMYFUNCTION("""COMPUTED_VALUE"""),"Y")</f>
        <v>Y</v>
      </c>
      <c r="U638" s="131" t="str">
        <f>IFERROR(__xludf.DUMMYFUNCTION("""COMPUTED_VALUE"""),"7")</f>
        <v>7</v>
      </c>
      <c r="V638" s="131" t="str">
        <f>IFERROR(__xludf.DUMMYFUNCTION("""COMPUTED_VALUE"""),"463-468")</f>
        <v>463-468</v>
      </c>
      <c r="W638" s="144">
        <f>IFERROR(__xludf.DUMMYFUNCTION("""COMPUTED_VALUE"""),45798.0)</f>
        <v>45798</v>
      </c>
      <c r="X638" s="144">
        <f>IFERROR(__xludf.DUMMYFUNCTION("""COMPUTED_VALUE"""),45805.0)</f>
        <v>45805</v>
      </c>
      <c r="Y638" s="144">
        <f>IFERROR(__xludf.DUMMYFUNCTION("""COMPUTED_VALUE"""),45826.0)</f>
        <v>45826</v>
      </c>
      <c r="Z638" s="131" t="str">
        <f>IFERROR(__xludf.DUMMYFUNCTION("""COMPUTED_VALUE"""),"D42-5L")</f>
        <v>D42-5L</v>
      </c>
      <c r="AA638" s="131"/>
      <c r="AB638" s="131"/>
      <c r="AC638" s="131"/>
      <c r="AD638" s="131"/>
      <c r="AE638" s="131">
        <f>IFERROR(__xludf.DUMMYFUNCTION("""COMPUTED_VALUE"""),268.0)</f>
        <v>268</v>
      </c>
      <c r="AF638" s="131">
        <f>IFERROR(__xludf.DUMMYFUNCTION("""COMPUTED_VALUE"""),304.0)</f>
        <v>304</v>
      </c>
      <c r="AG638" s="131">
        <f>IFERROR(__xludf.DUMMYFUNCTION("""COMPUTED_VALUE"""),19.0)</f>
        <v>19</v>
      </c>
      <c r="AH638" s="131">
        <f>IFERROR(__xludf.DUMMYFUNCTION("""COMPUTED_VALUE"""),19.0)</f>
        <v>19</v>
      </c>
      <c r="AI638" s="131">
        <f>IFERROR(__xludf.DUMMYFUNCTION("""COMPUTED_VALUE"""),356.0)</f>
        <v>356</v>
      </c>
      <c r="AJ638" s="131" t="str">
        <f>IFERROR(__xludf.DUMMYFUNCTION("""COMPUTED_VALUE"""),"S46,G49")</f>
        <v>S46,G49</v>
      </c>
      <c r="AK638" s="131"/>
    </row>
    <row r="639">
      <c r="A639" s="124" t="str">
        <f>IFERROR(__xludf.DUMMYFUNCTION("""COMPUTED_VALUE"""),"Y")</f>
        <v>Y</v>
      </c>
      <c r="B639" s="131" t="str">
        <f>IFERROR(__xludf.DUMMYFUNCTION("""COMPUTED_VALUE"""),"7")</f>
        <v>7</v>
      </c>
      <c r="C639" s="131" t="str">
        <f>IFERROR(__xludf.DUMMYFUNCTION("""COMPUTED_VALUE"""),"463-468")</f>
        <v>463-468</v>
      </c>
      <c r="D639" s="144">
        <f>IFERROR(__xludf.DUMMYFUNCTION("""COMPUTED_VALUE"""),45798.0)</f>
        <v>45798</v>
      </c>
      <c r="E639" s="147">
        <f>IFERROR(__xludf.DUMMYFUNCTION("""COMPUTED_VALUE"""),45805.0)</f>
        <v>45805</v>
      </c>
      <c r="F639" s="147">
        <f>IFERROR(__xludf.DUMMYFUNCTION("""COMPUTED_VALUE"""),45826.0)</f>
        <v>45826</v>
      </c>
      <c r="G639" s="131" t="str">
        <f>IFERROR(__xludf.DUMMYFUNCTION("""COMPUTED_VALUE"""),"D42-5L")</f>
        <v>D42-5L</v>
      </c>
      <c r="H639" s="126"/>
      <c r="I639" s="126"/>
      <c r="J639" s="131"/>
      <c r="K639" s="131"/>
      <c r="L639" s="131">
        <f>IFERROR(__xludf.DUMMYFUNCTION("""COMPUTED_VALUE"""),268.0)</f>
        <v>268</v>
      </c>
      <c r="M639" s="131">
        <f>IFERROR(__xludf.DUMMYFUNCTION("""COMPUTED_VALUE"""),304.0)</f>
        <v>304</v>
      </c>
      <c r="N639" s="131">
        <f>IFERROR(__xludf.DUMMYFUNCTION("""COMPUTED_VALUE"""),19.0)</f>
        <v>19</v>
      </c>
      <c r="O639" s="131">
        <f>IFERROR(__xludf.DUMMYFUNCTION("""COMPUTED_VALUE"""),19.0)</f>
        <v>19</v>
      </c>
      <c r="P639" s="131">
        <f>IFERROR(__xludf.DUMMYFUNCTION("""COMPUTED_VALUE"""),356.0)</f>
        <v>356</v>
      </c>
      <c r="Q639" s="131" t="str">
        <f>IFERROR(__xludf.DUMMYFUNCTION("""COMPUTED_VALUE"""),"S46,G49")</f>
        <v>S46,G49</v>
      </c>
      <c r="R639" s="131"/>
      <c r="T639" s="131" t="str">
        <f>IFERROR(__xludf.DUMMYFUNCTION("""COMPUTED_VALUE"""),"Y")</f>
        <v>Y</v>
      </c>
      <c r="U639" s="131" t="str">
        <f>IFERROR(__xludf.DUMMYFUNCTION("""COMPUTED_VALUE"""),"7")</f>
        <v>7</v>
      </c>
      <c r="V639" s="131" t="str">
        <f>IFERROR(__xludf.DUMMYFUNCTION("""COMPUTED_VALUE"""),"469-474")</f>
        <v>469-474</v>
      </c>
      <c r="W639" s="144">
        <f>IFERROR(__xludf.DUMMYFUNCTION("""COMPUTED_VALUE"""),45799.0)</f>
        <v>45799</v>
      </c>
      <c r="X639" s="144">
        <f>IFERROR(__xludf.DUMMYFUNCTION("""COMPUTED_VALUE"""),45806.0)</f>
        <v>45806</v>
      </c>
      <c r="Y639" s="144">
        <f>IFERROR(__xludf.DUMMYFUNCTION("""COMPUTED_VALUE"""),45827.0)</f>
        <v>45827</v>
      </c>
      <c r="Z639" s="131" t="str">
        <f>IFERROR(__xludf.DUMMYFUNCTION("""COMPUTED_VALUE"""),"D42-4L")</f>
        <v>D42-4L</v>
      </c>
      <c r="AA639" s="131">
        <f>IFERROR(__xludf.DUMMYFUNCTION("""COMPUTED_VALUE"""),69.0)</f>
        <v>69</v>
      </c>
      <c r="AB639" s="131">
        <f>IFERROR(__xludf.DUMMYFUNCTION("""COMPUTED_VALUE"""),259.0)</f>
        <v>259</v>
      </c>
      <c r="AC639" s="131">
        <f>IFERROR(__xludf.DUMMYFUNCTION("""COMPUTED_VALUE"""),96.0)</f>
        <v>96</v>
      </c>
      <c r="AD639" s="131">
        <f>IFERROR(__xludf.DUMMYFUNCTION("""COMPUTED_VALUE"""),96.0)</f>
        <v>96</v>
      </c>
      <c r="AE639" s="131">
        <f>IFERROR(__xludf.DUMMYFUNCTION("""COMPUTED_VALUE"""),20.0)</f>
        <v>20</v>
      </c>
      <c r="AF639" s="131">
        <f>IFERROR(__xludf.DUMMYFUNCTION("""COMPUTED_VALUE"""),66.0)</f>
        <v>66</v>
      </c>
      <c r="AG639" s="131">
        <f>IFERROR(__xludf.DUMMYFUNCTION("""COMPUTED_VALUE"""),24.0)</f>
        <v>24</v>
      </c>
      <c r="AH639" s="131">
        <f>IFERROR(__xludf.DUMMYFUNCTION("""COMPUTED_VALUE"""),24.0)</f>
        <v>24</v>
      </c>
      <c r="AI639" s="131">
        <f>IFERROR(__xludf.DUMMYFUNCTION("""COMPUTED_VALUE"""),357.0)</f>
        <v>357</v>
      </c>
      <c r="AJ639" s="131" t="str">
        <f>IFERROR(__xludf.DUMMYFUNCTION("""COMPUTED_VALUE"""),"S46,G49")</f>
        <v>S46,G49</v>
      </c>
      <c r="AK639" s="131">
        <f>IFERROR(__xludf.DUMMYFUNCTION("""COMPUTED_VALUE"""),36.0)</f>
        <v>36</v>
      </c>
    </row>
    <row r="640">
      <c r="A640" s="124" t="str">
        <f>IFERROR(__xludf.DUMMYFUNCTION("""COMPUTED_VALUE"""),"Y")</f>
        <v>Y</v>
      </c>
      <c r="B640" s="131" t="str">
        <f>IFERROR(__xludf.DUMMYFUNCTION("""COMPUTED_VALUE"""),"7")</f>
        <v>7</v>
      </c>
      <c r="C640" s="131" t="str">
        <f>IFERROR(__xludf.DUMMYFUNCTION("""COMPUTED_VALUE"""),"469-474")</f>
        <v>469-474</v>
      </c>
      <c r="D640" s="144">
        <f>IFERROR(__xludf.DUMMYFUNCTION("""COMPUTED_VALUE"""),45799.0)</f>
        <v>45799</v>
      </c>
      <c r="E640" s="147">
        <f>IFERROR(__xludf.DUMMYFUNCTION("""COMPUTED_VALUE"""),45806.0)</f>
        <v>45806</v>
      </c>
      <c r="F640" s="147">
        <f>IFERROR(__xludf.DUMMYFUNCTION("""COMPUTED_VALUE"""),45827.0)</f>
        <v>45827</v>
      </c>
      <c r="G640" s="131" t="str">
        <f>IFERROR(__xludf.DUMMYFUNCTION("""COMPUTED_VALUE"""),"D42-4L")</f>
        <v>D42-4L</v>
      </c>
      <c r="H640" s="126">
        <f>IFERROR(__xludf.DUMMYFUNCTION("""COMPUTED_VALUE"""),69.0)</f>
        <v>69</v>
      </c>
      <c r="I640" s="126">
        <f>IFERROR(__xludf.DUMMYFUNCTION("""COMPUTED_VALUE"""),259.0)</f>
        <v>259</v>
      </c>
      <c r="J640" s="131">
        <f>IFERROR(__xludf.DUMMYFUNCTION("""COMPUTED_VALUE"""),96.0)</f>
        <v>96</v>
      </c>
      <c r="K640" s="131">
        <f>IFERROR(__xludf.DUMMYFUNCTION("""COMPUTED_VALUE"""),96.0)</f>
        <v>96</v>
      </c>
      <c r="L640" s="131">
        <f>IFERROR(__xludf.DUMMYFUNCTION("""COMPUTED_VALUE"""),20.0)</f>
        <v>20</v>
      </c>
      <c r="M640" s="131">
        <f>IFERROR(__xludf.DUMMYFUNCTION("""COMPUTED_VALUE"""),66.0)</f>
        <v>66</v>
      </c>
      <c r="N640" s="131">
        <f>IFERROR(__xludf.DUMMYFUNCTION("""COMPUTED_VALUE"""),24.0)</f>
        <v>24</v>
      </c>
      <c r="O640" s="131">
        <f>IFERROR(__xludf.DUMMYFUNCTION("""COMPUTED_VALUE"""),24.0)</f>
        <v>24</v>
      </c>
      <c r="P640" s="131">
        <f>IFERROR(__xludf.DUMMYFUNCTION("""COMPUTED_VALUE"""),357.0)</f>
        <v>357</v>
      </c>
      <c r="Q640" s="131" t="str">
        <f>IFERROR(__xludf.DUMMYFUNCTION("""COMPUTED_VALUE"""),"S46,G49")</f>
        <v>S46,G49</v>
      </c>
      <c r="R640" s="131">
        <f>IFERROR(__xludf.DUMMYFUNCTION("""COMPUTED_VALUE"""),36.0)</f>
        <v>36</v>
      </c>
      <c r="T640" s="131" t="str">
        <f>IFERROR(__xludf.DUMMYFUNCTION("""COMPUTED_VALUE"""),"Y")</f>
        <v>Y</v>
      </c>
      <c r="U640" s="131" t="str">
        <f>IFERROR(__xludf.DUMMYFUNCTION("""COMPUTED_VALUE"""),"7")</f>
        <v>7</v>
      </c>
      <c r="V640" s="131" t="str">
        <f>IFERROR(__xludf.DUMMYFUNCTION("""COMPUTED_VALUE"""),"475-480")</f>
        <v>475-480</v>
      </c>
      <c r="W640" s="144">
        <f>IFERROR(__xludf.DUMMYFUNCTION("""COMPUTED_VALUE"""),45799.0)</f>
        <v>45799</v>
      </c>
      <c r="X640" s="144">
        <f>IFERROR(__xludf.DUMMYFUNCTION("""COMPUTED_VALUE"""),45806.0)</f>
        <v>45806</v>
      </c>
      <c r="Y640" s="144">
        <f>IFERROR(__xludf.DUMMYFUNCTION("""COMPUTED_VALUE"""),45827.0)</f>
        <v>45827</v>
      </c>
      <c r="Z640" s="131" t="str">
        <f>IFERROR(__xludf.DUMMYFUNCTION("""COMPUTED_VALUE"""),"DC36")</f>
        <v>DC36</v>
      </c>
      <c r="AA640" s="131">
        <f>IFERROR(__xludf.DUMMYFUNCTION("""COMPUTED_VALUE"""),99.0)</f>
        <v>99</v>
      </c>
      <c r="AB640" s="131">
        <f>IFERROR(__xludf.DUMMYFUNCTION("""COMPUTED_VALUE"""),121.0)</f>
        <v>121</v>
      </c>
      <c r="AC640" s="131">
        <f>IFERROR(__xludf.DUMMYFUNCTION("""COMPUTED_VALUE"""),12.0)</f>
        <v>12</v>
      </c>
      <c r="AD640" s="131">
        <f>IFERROR(__xludf.DUMMYFUNCTION("""COMPUTED_VALUE"""),12.0)</f>
        <v>12</v>
      </c>
      <c r="AE640" s="131"/>
      <c r="AF640" s="131"/>
      <c r="AG640" s="131"/>
      <c r="AH640" s="131"/>
      <c r="AI640" s="131">
        <f>IFERROR(__xludf.DUMMYFUNCTION("""COMPUTED_VALUE"""),358.0)</f>
        <v>358</v>
      </c>
      <c r="AJ640" s="131" t="str">
        <f>IFERROR(__xludf.DUMMYFUNCTION("""COMPUTED_VALUE"""),"S46,G49")</f>
        <v>S46,G49</v>
      </c>
      <c r="AK640" s="131">
        <f>IFERROR(__xludf.DUMMYFUNCTION("""COMPUTED_VALUE"""),20.44)</f>
        <v>20.44</v>
      </c>
    </row>
    <row r="641">
      <c r="A641" s="124" t="str">
        <f>IFERROR(__xludf.DUMMYFUNCTION("""COMPUTED_VALUE"""),"Y")</f>
        <v>Y</v>
      </c>
      <c r="B641" s="131" t="str">
        <f>IFERROR(__xludf.DUMMYFUNCTION("""COMPUTED_VALUE"""),"7")</f>
        <v>7</v>
      </c>
      <c r="C641" s="131" t="str">
        <f>IFERROR(__xludf.DUMMYFUNCTION("""COMPUTED_VALUE"""),"475-480")</f>
        <v>475-480</v>
      </c>
      <c r="D641" s="144">
        <f>IFERROR(__xludf.DUMMYFUNCTION("""COMPUTED_VALUE"""),45799.0)</f>
        <v>45799</v>
      </c>
      <c r="E641" s="147">
        <f>IFERROR(__xludf.DUMMYFUNCTION("""COMPUTED_VALUE"""),45806.0)</f>
        <v>45806</v>
      </c>
      <c r="F641" s="147">
        <f>IFERROR(__xludf.DUMMYFUNCTION("""COMPUTED_VALUE"""),45827.0)</f>
        <v>45827</v>
      </c>
      <c r="G641" s="131" t="str">
        <f>IFERROR(__xludf.DUMMYFUNCTION("""COMPUTED_VALUE"""),"DC36")</f>
        <v>DC36</v>
      </c>
      <c r="H641" s="126">
        <f>IFERROR(__xludf.DUMMYFUNCTION("""COMPUTED_VALUE"""),99.0)</f>
        <v>99</v>
      </c>
      <c r="I641" s="126">
        <f>IFERROR(__xludf.DUMMYFUNCTION("""COMPUTED_VALUE"""),121.0)</f>
        <v>121</v>
      </c>
      <c r="J641" s="131">
        <f>IFERROR(__xludf.DUMMYFUNCTION("""COMPUTED_VALUE"""),12.0)</f>
        <v>12</v>
      </c>
      <c r="K641" s="131">
        <f>IFERROR(__xludf.DUMMYFUNCTION("""COMPUTED_VALUE"""),12.0)</f>
        <v>12</v>
      </c>
      <c r="L641" s="131"/>
      <c r="M641" s="131"/>
      <c r="N641" s="131"/>
      <c r="O641" s="131"/>
      <c r="P641" s="131">
        <f>IFERROR(__xludf.DUMMYFUNCTION("""COMPUTED_VALUE"""),358.0)</f>
        <v>358</v>
      </c>
      <c r="Q641" s="131" t="str">
        <f>IFERROR(__xludf.DUMMYFUNCTION("""COMPUTED_VALUE"""),"S46,G49")</f>
        <v>S46,G49</v>
      </c>
      <c r="R641" s="131">
        <f>IFERROR(__xludf.DUMMYFUNCTION("""COMPUTED_VALUE"""),20.44)</f>
        <v>20.44</v>
      </c>
      <c r="T641" s="131" t="str">
        <f>IFERROR(__xludf.DUMMYFUNCTION("""COMPUTED_VALUE"""),"Y")</f>
        <v>Y</v>
      </c>
      <c r="U641" s="131" t="str">
        <f>IFERROR(__xludf.DUMMYFUNCTION("""COMPUTED_VALUE"""),"7")</f>
        <v>7</v>
      </c>
      <c r="V641" s="131" t="str">
        <f>IFERROR(__xludf.DUMMYFUNCTION("""COMPUTED_VALUE"""),"475-480")</f>
        <v>475-480</v>
      </c>
      <c r="W641" s="144">
        <f>IFERROR(__xludf.DUMMYFUNCTION("""COMPUTED_VALUE"""),45799.0)</f>
        <v>45799</v>
      </c>
      <c r="X641" s="144">
        <f>IFERROR(__xludf.DUMMYFUNCTION("""COMPUTED_VALUE"""),45806.0)</f>
        <v>45806</v>
      </c>
      <c r="Y641" s="144">
        <f>IFERROR(__xludf.DUMMYFUNCTION("""COMPUTED_VALUE"""),45827.0)</f>
        <v>45827</v>
      </c>
      <c r="Z641" s="131" t="str">
        <f>IFERROR(__xludf.DUMMYFUNCTION("""COMPUTED_VALUE"""),"D40-2L")</f>
        <v>D40-2L</v>
      </c>
      <c r="AA641" s="131">
        <f>IFERROR(__xludf.DUMMYFUNCTION("""COMPUTED_VALUE"""),237.0)</f>
        <v>237</v>
      </c>
      <c r="AB641" s="131">
        <f>IFERROR(__xludf.DUMMYFUNCTION("""COMPUTED_VALUE"""),237.0)</f>
        <v>237</v>
      </c>
      <c r="AC641" s="131">
        <f>IFERROR(__xludf.DUMMYFUNCTION("""COMPUTED_VALUE"""),1.0)</f>
        <v>1</v>
      </c>
      <c r="AD641" s="131">
        <f>IFERROR(__xludf.DUMMYFUNCTION("""COMPUTED_VALUE"""),1.0)</f>
        <v>1</v>
      </c>
      <c r="AE641" s="131">
        <f>IFERROR(__xludf.DUMMYFUNCTION("""COMPUTED_VALUE"""),238.0)</f>
        <v>238</v>
      </c>
      <c r="AF641" s="131">
        <f>IFERROR(__xludf.DUMMYFUNCTION("""COMPUTED_VALUE"""),238.0)</f>
        <v>238</v>
      </c>
      <c r="AG641" s="131">
        <f>IFERROR(__xludf.DUMMYFUNCTION("""COMPUTED_VALUE"""),1.0)</f>
        <v>1</v>
      </c>
      <c r="AH641" s="131">
        <f>IFERROR(__xludf.DUMMYFUNCTION("""COMPUTED_VALUE"""),1.0)</f>
        <v>1</v>
      </c>
      <c r="AI641" s="131">
        <f>IFERROR(__xludf.DUMMYFUNCTION("""COMPUTED_VALUE"""),358.0)</f>
        <v>358</v>
      </c>
      <c r="AJ641" s="131" t="str">
        <f>IFERROR(__xludf.DUMMYFUNCTION("""COMPUTED_VALUE"""),"S46,G49")</f>
        <v>S46,G49</v>
      </c>
      <c r="AK641" s="131"/>
    </row>
    <row r="642">
      <c r="A642" s="124" t="str">
        <f>IFERROR(__xludf.DUMMYFUNCTION("""COMPUTED_VALUE"""),"Y")</f>
        <v>Y</v>
      </c>
      <c r="B642" s="131" t="str">
        <f>IFERROR(__xludf.DUMMYFUNCTION("""COMPUTED_VALUE"""),"7")</f>
        <v>7</v>
      </c>
      <c r="C642" s="131" t="str">
        <f>IFERROR(__xludf.DUMMYFUNCTION("""COMPUTED_VALUE"""),"475-480")</f>
        <v>475-480</v>
      </c>
      <c r="D642" s="144">
        <f>IFERROR(__xludf.DUMMYFUNCTION("""COMPUTED_VALUE"""),45799.0)</f>
        <v>45799</v>
      </c>
      <c r="E642" s="147">
        <f>IFERROR(__xludf.DUMMYFUNCTION("""COMPUTED_VALUE"""),45806.0)</f>
        <v>45806</v>
      </c>
      <c r="F642" s="147">
        <f>IFERROR(__xludf.DUMMYFUNCTION("""COMPUTED_VALUE"""),45827.0)</f>
        <v>45827</v>
      </c>
      <c r="G642" s="131" t="str">
        <f>IFERROR(__xludf.DUMMYFUNCTION("""COMPUTED_VALUE"""),"D40-2L")</f>
        <v>D40-2L</v>
      </c>
      <c r="H642" s="126">
        <f>IFERROR(__xludf.DUMMYFUNCTION("""COMPUTED_VALUE"""),237.0)</f>
        <v>237</v>
      </c>
      <c r="I642" s="126">
        <f>IFERROR(__xludf.DUMMYFUNCTION("""COMPUTED_VALUE"""),237.0)</f>
        <v>237</v>
      </c>
      <c r="J642" s="131">
        <f>IFERROR(__xludf.DUMMYFUNCTION("""COMPUTED_VALUE"""),1.0)</f>
        <v>1</v>
      </c>
      <c r="K642" s="131">
        <f>IFERROR(__xludf.DUMMYFUNCTION("""COMPUTED_VALUE"""),1.0)</f>
        <v>1</v>
      </c>
      <c r="L642" s="131">
        <f>IFERROR(__xludf.DUMMYFUNCTION("""COMPUTED_VALUE"""),238.0)</f>
        <v>238</v>
      </c>
      <c r="M642" s="131">
        <f>IFERROR(__xludf.DUMMYFUNCTION("""COMPUTED_VALUE"""),238.0)</f>
        <v>238</v>
      </c>
      <c r="N642" s="131">
        <f>IFERROR(__xludf.DUMMYFUNCTION("""COMPUTED_VALUE"""),1.0)</f>
        <v>1</v>
      </c>
      <c r="O642" s="131">
        <f>IFERROR(__xludf.DUMMYFUNCTION("""COMPUTED_VALUE"""),1.0)</f>
        <v>1</v>
      </c>
      <c r="P642" s="131">
        <f>IFERROR(__xludf.DUMMYFUNCTION("""COMPUTED_VALUE"""),358.0)</f>
        <v>358</v>
      </c>
      <c r="Q642" s="131" t="str">
        <f>IFERROR(__xludf.DUMMYFUNCTION("""COMPUTED_VALUE"""),"S46,G49")</f>
        <v>S46,G49</v>
      </c>
      <c r="R642" s="131"/>
      <c r="T642" s="131" t="str">
        <f>IFERROR(__xludf.DUMMYFUNCTION("""COMPUTED_VALUE"""),"Y")</f>
        <v>Y</v>
      </c>
      <c r="U642" s="131" t="str">
        <f>IFERROR(__xludf.DUMMYFUNCTION("""COMPUTED_VALUE"""),"7")</f>
        <v>7</v>
      </c>
      <c r="V642" s="131" t="str">
        <f>IFERROR(__xludf.DUMMYFUNCTION("""COMPUTED_VALUE"""),"475-480")</f>
        <v>475-480</v>
      </c>
      <c r="W642" s="144">
        <f>IFERROR(__xludf.DUMMYFUNCTION("""COMPUTED_VALUE"""),45799.0)</f>
        <v>45799</v>
      </c>
      <c r="X642" s="144">
        <f>IFERROR(__xludf.DUMMYFUNCTION("""COMPUTED_VALUE"""),45806.0)</f>
        <v>45806</v>
      </c>
      <c r="Y642" s="144">
        <f>IFERROR(__xludf.DUMMYFUNCTION("""COMPUTED_VALUE"""),45827.0)</f>
        <v>45827</v>
      </c>
      <c r="Z642" s="131" t="str">
        <f>IFERROR(__xludf.DUMMYFUNCTION("""COMPUTED_VALUE"""),"D40-4L")</f>
        <v>D40-4L</v>
      </c>
      <c r="AA642" s="131">
        <f>IFERROR(__xludf.DUMMYFUNCTION("""COMPUTED_VALUE"""),93.0)</f>
        <v>93</v>
      </c>
      <c r="AB642" s="131">
        <f>IFERROR(__xludf.DUMMYFUNCTION("""COMPUTED_VALUE"""),93.0)</f>
        <v>93</v>
      </c>
      <c r="AC642" s="131">
        <f>IFERROR(__xludf.DUMMYFUNCTION("""COMPUTED_VALUE"""),1.0)</f>
        <v>1</v>
      </c>
      <c r="AD642" s="131">
        <f>IFERROR(__xludf.DUMMYFUNCTION("""COMPUTED_VALUE"""),1.0)</f>
        <v>1</v>
      </c>
      <c r="AE642" s="131">
        <f>IFERROR(__xludf.DUMMYFUNCTION("""COMPUTED_VALUE"""),92.0)</f>
        <v>92</v>
      </c>
      <c r="AF642" s="131">
        <f>IFERROR(__xludf.DUMMYFUNCTION("""COMPUTED_VALUE"""),92.0)</f>
        <v>92</v>
      </c>
      <c r="AG642" s="131">
        <f>IFERROR(__xludf.DUMMYFUNCTION("""COMPUTED_VALUE"""),1.0)</f>
        <v>1</v>
      </c>
      <c r="AH642" s="131">
        <f>IFERROR(__xludf.DUMMYFUNCTION("""COMPUTED_VALUE"""),1.0)</f>
        <v>1</v>
      </c>
      <c r="AI642" s="131">
        <f>IFERROR(__xludf.DUMMYFUNCTION("""COMPUTED_VALUE"""),358.0)</f>
        <v>358</v>
      </c>
      <c r="AJ642" s="131" t="str">
        <f>IFERROR(__xludf.DUMMYFUNCTION("""COMPUTED_VALUE"""),"S46,G49")</f>
        <v>S46,G49</v>
      </c>
      <c r="AK642" s="131"/>
    </row>
    <row r="643">
      <c r="A643" s="124" t="str">
        <f>IFERROR(__xludf.DUMMYFUNCTION("""COMPUTED_VALUE"""),"Y")</f>
        <v>Y</v>
      </c>
      <c r="B643" s="131" t="str">
        <f>IFERROR(__xludf.DUMMYFUNCTION("""COMPUTED_VALUE"""),"7")</f>
        <v>7</v>
      </c>
      <c r="C643" s="131" t="str">
        <f>IFERROR(__xludf.DUMMYFUNCTION("""COMPUTED_VALUE"""),"475-480")</f>
        <v>475-480</v>
      </c>
      <c r="D643" s="144">
        <f>IFERROR(__xludf.DUMMYFUNCTION("""COMPUTED_VALUE"""),45799.0)</f>
        <v>45799</v>
      </c>
      <c r="E643" s="147">
        <f>IFERROR(__xludf.DUMMYFUNCTION("""COMPUTED_VALUE"""),45806.0)</f>
        <v>45806</v>
      </c>
      <c r="F643" s="147">
        <f>IFERROR(__xludf.DUMMYFUNCTION("""COMPUTED_VALUE"""),45827.0)</f>
        <v>45827</v>
      </c>
      <c r="G643" s="131" t="str">
        <f>IFERROR(__xludf.DUMMYFUNCTION("""COMPUTED_VALUE"""),"D40-4L")</f>
        <v>D40-4L</v>
      </c>
      <c r="H643" s="126">
        <f>IFERROR(__xludf.DUMMYFUNCTION("""COMPUTED_VALUE"""),93.0)</f>
        <v>93</v>
      </c>
      <c r="I643" s="126">
        <f>IFERROR(__xludf.DUMMYFUNCTION("""COMPUTED_VALUE"""),93.0)</f>
        <v>93</v>
      </c>
      <c r="J643" s="131">
        <f>IFERROR(__xludf.DUMMYFUNCTION("""COMPUTED_VALUE"""),1.0)</f>
        <v>1</v>
      </c>
      <c r="K643" s="131">
        <f>IFERROR(__xludf.DUMMYFUNCTION("""COMPUTED_VALUE"""),1.0)</f>
        <v>1</v>
      </c>
      <c r="L643" s="131">
        <f>IFERROR(__xludf.DUMMYFUNCTION("""COMPUTED_VALUE"""),92.0)</f>
        <v>92</v>
      </c>
      <c r="M643" s="131">
        <f>IFERROR(__xludf.DUMMYFUNCTION("""COMPUTED_VALUE"""),92.0)</f>
        <v>92</v>
      </c>
      <c r="N643" s="131">
        <f>IFERROR(__xludf.DUMMYFUNCTION("""COMPUTED_VALUE"""),1.0)</f>
        <v>1</v>
      </c>
      <c r="O643" s="131">
        <f>IFERROR(__xludf.DUMMYFUNCTION("""COMPUTED_VALUE"""),1.0)</f>
        <v>1</v>
      </c>
      <c r="P643" s="131">
        <f>IFERROR(__xludf.DUMMYFUNCTION("""COMPUTED_VALUE"""),358.0)</f>
        <v>358</v>
      </c>
      <c r="Q643" s="131" t="str">
        <f>IFERROR(__xludf.DUMMYFUNCTION("""COMPUTED_VALUE"""),"S46,G49")</f>
        <v>S46,G49</v>
      </c>
      <c r="R643" s="131"/>
      <c r="T643" s="131" t="str">
        <f>IFERROR(__xludf.DUMMYFUNCTION("""COMPUTED_VALUE"""),"Y")</f>
        <v>Y</v>
      </c>
      <c r="U643" s="131" t="str">
        <f>IFERROR(__xludf.DUMMYFUNCTION("""COMPUTED_VALUE"""),"8")</f>
        <v>8</v>
      </c>
      <c r="V643" s="131" t="str">
        <f>IFERROR(__xludf.DUMMYFUNCTION("""COMPUTED_VALUE"""),"475-480")</f>
        <v>475-480</v>
      </c>
      <c r="W643" s="144">
        <f>IFERROR(__xludf.DUMMYFUNCTION("""COMPUTED_VALUE"""),45799.0)</f>
        <v>45799</v>
      </c>
      <c r="X643" s="144">
        <f>IFERROR(__xludf.DUMMYFUNCTION("""COMPUTED_VALUE"""),45806.0)</f>
        <v>45806</v>
      </c>
      <c r="Y643" s="144">
        <f>IFERROR(__xludf.DUMMYFUNCTION("""COMPUTED_VALUE"""),45827.0)</f>
        <v>45827</v>
      </c>
      <c r="Z643" s="131" t="str">
        <f>IFERROR(__xludf.DUMMYFUNCTION("""COMPUTED_VALUE"""),"D36-1L")</f>
        <v>D36-1L</v>
      </c>
      <c r="AA643" s="131">
        <f>IFERROR(__xludf.DUMMYFUNCTION("""COMPUTED_VALUE"""),1.0)</f>
        <v>1</v>
      </c>
      <c r="AB643" s="131">
        <f>IFERROR(__xludf.DUMMYFUNCTION("""COMPUTED_VALUE"""),3.0)</f>
        <v>3</v>
      </c>
      <c r="AC643" s="131">
        <f>IFERROR(__xludf.DUMMYFUNCTION("""COMPUTED_VALUE"""),2.0)</f>
        <v>2</v>
      </c>
      <c r="AD643" s="131">
        <f>IFERROR(__xludf.DUMMYFUNCTION("""COMPUTED_VALUE"""),2.0)</f>
        <v>2</v>
      </c>
      <c r="AE643" s="131"/>
      <c r="AF643" s="131"/>
      <c r="AG643" s="131"/>
      <c r="AH643" s="131"/>
      <c r="AI643" s="131">
        <f>IFERROR(__xludf.DUMMYFUNCTION("""COMPUTED_VALUE"""),358.0)</f>
        <v>358</v>
      </c>
      <c r="AJ643" s="131" t="str">
        <f>IFERROR(__xludf.DUMMYFUNCTION("""COMPUTED_VALUE"""),"S46,G49")</f>
        <v>S46,G49</v>
      </c>
      <c r="AK643" s="131"/>
    </row>
    <row r="644">
      <c r="A644" s="124" t="str">
        <f>IFERROR(__xludf.DUMMYFUNCTION("""COMPUTED_VALUE"""),"Y")</f>
        <v>Y</v>
      </c>
      <c r="B644" s="131" t="str">
        <f>IFERROR(__xludf.DUMMYFUNCTION("""COMPUTED_VALUE"""),"8")</f>
        <v>8</v>
      </c>
      <c r="C644" s="131" t="str">
        <f>IFERROR(__xludf.DUMMYFUNCTION("""COMPUTED_VALUE"""),"475-480")</f>
        <v>475-480</v>
      </c>
      <c r="D644" s="144">
        <f>IFERROR(__xludf.DUMMYFUNCTION("""COMPUTED_VALUE"""),45799.0)</f>
        <v>45799</v>
      </c>
      <c r="E644" s="147">
        <f>IFERROR(__xludf.DUMMYFUNCTION("""COMPUTED_VALUE"""),45806.0)</f>
        <v>45806</v>
      </c>
      <c r="F644" s="147">
        <f>IFERROR(__xludf.DUMMYFUNCTION("""COMPUTED_VALUE"""),45827.0)</f>
        <v>45827</v>
      </c>
      <c r="G644" s="131" t="str">
        <f>IFERROR(__xludf.DUMMYFUNCTION("""COMPUTED_VALUE"""),"D36-1L")</f>
        <v>D36-1L</v>
      </c>
      <c r="H644" s="126">
        <f>IFERROR(__xludf.DUMMYFUNCTION("""COMPUTED_VALUE"""),1.0)</f>
        <v>1</v>
      </c>
      <c r="I644" s="126">
        <f>IFERROR(__xludf.DUMMYFUNCTION("""COMPUTED_VALUE"""),3.0)</f>
        <v>3</v>
      </c>
      <c r="J644" s="131">
        <f>IFERROR(__xludf.DUMMYFUNCTION("""COMPUTED_VALUE"""),2.0)</f>
        <v>2</v>
      </c>
      <c r="K644" s="131">
        <f>IFERROR(__xludf.DUMMYFUNCTION("""COMPUTED_VALUE"""),2.0)</f>
        <v>2</v>
      </c>
      <c r="L644" s="131"/>
      <c r="M644" s="131"/>
      <c r="N644" s="131"/>
      <c r="O644" s="131"/>
      <c r="P644" s="131">
        <f>IFERROR(__xludf.DUMMYFUNCTION("""COMPUTED_VALUE"""),358.0)</f>
        <v>358</v>
      </c>
      <c r="Q644" s="131" t="str">
        <f>IFERROR(__xludf.DUMMYFUNCTION("""COMPUTED_VALUE"""),"S46,G49")</f>
        <v>S46,G49</v>
      </c>
      <c r="R644" s="131"/>
      <c r="T644" s="131" t="str">
        <f>IFERROR(__xludf.DUMMYFUNCTION("""COMPUTED_VALUE"""),"Y")</f>
        <v>Y</v>
      </c>
      <c r="U644" s="131" t="str">
        <f>IFERROR(__xludf.DUMMYFUNCTION("""COMPUTED_VALUE"""),"8")</f>
        <v>8</v>
      </c>
      <c r="V644" s="131" t="str">
        <f>IFERROR(__xludf.DUMMYFUNCTION("""COMPUTED_VALUE"""),"475-480")</f>
        <v>475-480</v>
      </c>
      <c r="W644" s="144">
        <f>IFERROR(__xludf.DUMMYFUNCTION("""COMPUTED_VALUE"""),45799.0)</f>
        <v>45799</v>
      </c>
      <c r="X644" s="144">
        <f>IFERROR(__xludf.DUMMYFUNCTION("""COMPUTED_VALUE"""),45806.0)</f>
        <v>45806</v>
      </c>
      <c r="Y644" s="144">
        <f>IFERROR(__xludf.DUMMYFUNCTION("""COMPUTED_VALUE"""),45827.0)</f>
        <v>45827</v>
      </c>
      <c r="Z644" s="131" t="str">
        <f>IFERROR(__xludf.DUMMYFUNCTION("""COMPUTED_VALUE"""),"D36-2L")</f>
        <v>D36-2L</v>
      </c>
      <c r="AA644" s="131">
        <f>IFERROR(__xludf.DUMMYFUNCTION("""COMPUTED_VALUE"""),1.0)</f>
        <v>1</v>
      </c>
      <c r="AB644" s="131">
        <f>IFERROR(__xludf.DUMMYFUNCTION("""COMPUTED_VALUE"""),3.0)</f>
        <v>3</v>
      </c>
      <c r="AC644" s="131">
        <f>IFERROR(__xludf.DUMMYFUNCTION("""COMPUTED_VALUE"""),2.0)</f>
        <v>2</v>
      </c>
      <c r="AD644" s="131">
        <f>IFERROR(__xludf.DUMMYFUNCTION("""COMPUTED_VALUE"""),2.0)</f>
        <v>2</v>
      </c>
      <c r="AE644" s="131"/>
      <c r="AF644" s="131"/>
      <c r="AG644" s="131"/>
      <c r="AH644" s="131"/>
      <c r="AI644" s="131">
        <f>IFERROR(__xludf.DUMMYFUNCTION("""COMPUTED_VALUE"""),358.0)</f>
        <v>358</v>
      </c>
      <c r="AJ644" s="131" t="str">
        <f>IFERROR(__xludf.DUMMYFUNCTION("""COMPUTED_VALUE"""),"S46,G49")</f>
        <v>S46,G49</v>
      </c>
      <c r="AK644" s="131"/>
    </row>
    <row r="645">
      <c r="A645" s="124" t="str">
        <f>IFERROR(__xludf.DUMMYFUNCTION("""COMPUTED_VALUE"""),"Y")</f>
        <v>Y</v>
      </c>
      <c r="B645" s="131" t="str">
        <f>IFERROR(__xludf.DUMMYFUNCTION("""COMPUTED_VALUE"""),"8")</f>
        <v>8</v>
      </c>
      <c r="C645" s="131" t="str">
        <f>IFERROR(__xludf.DUMMYFUNCTION("""COMPUTED_VALUE"""),"475-480")</f>
        <v>475-480</v>
      </c>
      <c r="D645" s="144">
        <f>IFERROR(__xludf.DUMMYFUNCTION("""COMPUTED_VALUE"""),45799.0)</f>
        <v>45799</v>
      </c>
      <c r="E645" s="147">
        <f>IFERROR(__xludf.DUMMYFUNCTION("""COMPUTED_VALUE"""),45806.0)</f>
        <v>45806</v>
      </c>
      <c r="F645" s="147">
        <f>IFERROR(__xludf.DUMMYFUNCTION("""COMPUTED_VALUE"""),45827.0)</f>
        <v>45827</v>
      </c>
      <c r="G645" s="131" t="str">
        <f>IFERROR(__xludf.DUMMYFUNCTION("""COMPUTED_VALUE"""),"D36-2L")</f>
        <v>D36-2L</v>
      </c>
      <c r="H645" s="126">
        <f>IFERROR(__xludf.DUMMYFUNCTION("""COMPUTED_VALUE"""),1.0)</f>
        <v>1</v>
      </c>
      <c r="I645" s="126">
        <f>IFERROR(__xludf.DUMMYFUNCTION("""COMPUTED_VALUE"""),3.0)</f>
        <v>3</v>
      </c>
      <c r="J645" s="131">
        <f>IFERROR(__xludf.DUMMYFUNCTION("""COMPUTED_VALUE"""),2.0)</f>
        <v>2</v>
      </c>
      <c r="K645" s="131">
        <f>IFERROR(__xludf.DUMMYFUNCTION("""COMPUTED_VALUE"""),2.0)</f>
        <v>2</v>
      </c>
      <c r="L645" s="131"/>
      <c r="M645" s="131"/>
      <c r="N645" s="131"/>
      <c r="O645" s="131"/>
      <c r="P645" s="131">
        <f>IFERROR(__xludf.DUMMYFUNCTION("""COMPUTED_VALUE"""),358.0)</f>
        <v>358</v>
      </c>
      <c r="Q645" s="131" t="str">
        <f>IFERROR(__xludf.DUMMYFUNCTION("""COMPUTED_VALUE"""),"S46,G49")</f>
        <v>S46,G49</v>
      </c>
      <c r="R645" s="131"/>
      <c r="T645" s="131"/>
      <c r="U645" s="131" t="str">
        <f>IFERROR(__xludf.DUMMYFUNCTION("""COMPUTED_VALUE"""),"7")</f>
        <v>7</v>
      </c>
      <c r="V645" s="131"/>
      <c r="W645" s="144">
        <f>IFERROR(__xludf.DUMMYFUNCTION("""COMPUTED_VALUE"""),45799.0)</f>
        <v>45799</v>
      </c>
      <c r="X645" s="144">
        <f>IFERROR(__xludf.DUMMYFUNCTION("""COMPUTED_VALUE"""),45806.0)</f>
        <v>45806</v>
      </c>
      <c r="Y645" s="144">
        <f>IFERROR(__xludf.DUMMYFUNCTION("""COMPUTED_VALUE"""),45827.0)</f>
        <v>45827</v>
      </c>
      <c r="Z645" s="131" t="str">
        <f>IFERROR(__xludf.DUMMYFUNCTION("""COMPUTED_VALUE"""),"BRG12")</f>
        <v>BRG12</v>
      </c>
      <c r="AA645" s="131"/>
      <c r="AB645" s="131"/>
      <c r="AC645" s="131"/>
      <c r="AD645" s="131"/>
      <c r="AE645" s="131">
        <f>IFERROR(__xludf.DUMMYFUNCTION("""COMPUTED_VALUE"""),2594.0)</f>
        <v>2594</v>
      </c>
      <c r="AF645" s="131">
        <f>IFERROR(__xludf.DUMMYFUNCTION("""COMPUTED_VALUE"""),2616.0)</f>
        <v>2616</v>
      </c>
      <c r="AG645" s="131">
        <f>IFERROR(__xludf.DUMMYFUNCTION("""COMPUTED_VALUE"""),12.0)</f>
        <v>12</v>
      </c>
      <c r="AH645" s="131">
        <f>IFERROR(__xludf.DUMMYFUNCTION("""COMPUTED_VALUE"""),12.0)</f>
        <v>12</v>
      </c>
      <c r="AI645" s="131">
        <f>IFERROR(__xludf.DUMMYFUNCTION("""COMPUTED_VALUE"""),358.0)</f>
        <v>358</v>
      </c>
      <c r="AJ645" s="131" t="str">
        <f>IFERROR(__xludf.DUMMYFUNCTION("""COMPUTED_VALUE"""),"S46,G49")</f>
        <v>S46,G49</v>
      </c>
      <c r="AK645" s="131"/>
    </row>
    <row r="646">
      <c r="A646" s="124"/>
      <c r="B646" s="131" t="str">
        <f>IFERROR(__xludf.DUMMYFUNCTION("""COMPUTED_VALUE"""),"7")</f>
        <v>7</v>
      </c>
      <c r="C646" s="131"/>
      <c r="D646" s="144">
        <f>IFERROR(__xludf.DUMMYFUNCTION("""COMPUTED_VALUE"""),45799.0)</f>
        <v>45799</v>
      </c>
      <c r="E646" s="147">
        <f>IFERROR(__xludf.DUMMYFUNCTION("""COMPUTED_VALUE"""),45806.0)</f>
        <v>45806</v>
      </c>
      <c r="F646" s="147">
        <f>IFERROR(__xludf.DUMMYFUNCTION("""COMPUTED_VALUE"""),45827.0)</f>
        <v>45827</v>
      </c>
      <c r="G646" s="131" t="str">
        <f>IFERROR(__xludf.DUMMYFUNCTION("""COMPUTED_VALUE"""),"BRG12")</f>
        <v>BRG12</v>
      </c>
      <c r="H646" s="126"/>
      <c r="I646" s="126"/>
      <c r="J646" s="131"/>
      <c r="K646" s="131"/>
      <c r="L646" s="131">
        <f>IFERROR(__xludf.DUMMYFUNCTION("""COMPUTED_VALUE"""),2594.0)</f>
        <v>2594</v>
      </c>
      <c r="M646" s="131">
        <f>IFERROR(__xludf.DUMMYFUNCTION("""COMPUTED_VALUE"""),2616.0)</f>
        <v>2616</v>
      </c>
      <c r="N646" s="131">
        <f>IFERROR(__xludf.DUMMYFUNCTION("""COMPUTED_VALUE"""),12.0)</f>
        <v>12</v>
      </c>
      <c r="O646" s="131">
        <f>IFERROR(__xludf.DUMMYFUNCTION("""COMPUTED_VALUE"""),12.0)</f>
        <v>12</v>
      </c>
      <c r="P646" s="131">
        <f>IFERROR(__xludf.DUMMYFUNCTION("""COMPUTED_VALUE"""),358.0)</f>
        <v>358</v>
      </c>
      <c r="Q646" s="131" t="str">
        <f>IFERROR(__xludf.DUMMYFUNCTION("""COMPUTED_VALUE"""),"S46,G49")</f>
        <v>S46,G49</v>
      </c>
      <c r="R646" s="131"/>
      <c r="T646" s="131" t="str">
        <f>IFERROR(__xludf.DUMMYFUNCTION("""COMPUTED_VALUE"""),"Y")</f>
        <v>Y</v>
      </c>
      <c r="U646" s="131" t="str">
        <f>IFERROR(__xludf.DUMMYFUNCTION("""COMPUTED_VALUE"""),"7")</f>
        <v>7</v>
      </c>
      <c r="V646" s="131" t="str">
        <f>IFERROR(__xludf.DUMMYFUNCTION("""COMPUTED_VALUE"""),"487-492")</f>
        <v>487-492</v>
      </c>
      <c r="W646" s="144">
        <f>IFERROR(__xludf.DUMMYFUNCTION("""COMPUTED_VALUE"""),45801.0)</f>
        <v>45801</v>
      </c>
      <c r="X646" s="144">
        <f>IFERROR(__xludf.DUMMYFUNCTION("""COMPUTED_VALUE"""),45808.0)</f>
        <v>45808</v>
      </c>
      <c r="Y646" s="144">
        <f>IFERROR(__xludf.DUMMYFUNCTION("""COMPUTED_VALUE"""),45829.0)</f>
        <v>45829</v>
      </c>
      <c r="Z646" s="131" t="str">
        <f>IFERROR(__xludf.DUMMYFUNCTION("""COMPUTED_VALUE"""),"D42-4L")</f>
        <v>D42-4L</v>
      </c>
      <c r="AA646" s="131">
        <f>IFERROR(__xludf.DUMMYFUNCTION("""COMPUTED_VALUE"""),261.0)</f>
        <v>261</v>
      </c>
      <c r="AB646" s="131">
        <f>IFERROR(__xludf.DUMMYFUNCTION("""COMPUTED_VALUE"""),303.0)</f>
        <v>303</v>
      </c>
      <c r="AC646" s="131">
        <f>IFERROR(__xludf.DUMMYFUNCTION("""COMPUTED_VALUE"""),22.0)</f>
        <v>22</v>
      </c>
      <c r="AD646" s="131">
        <f>IFERROR(__xludf.DUMMYFUNCTION("""COMPUTED_VALUE"""),22.0)</f>
        <v>22</v>
      </c>
      <c r="AE646" s="131">
        <f>IFERROR(__xludf.DUMMYFUNCTION("""COMPUTED_VALUE"""),68.0)</f>
        <v>68</v>
      </c>
      <c r="AF646" s="131">
        <f>IFERROR(__xludf.DUMMYFUNCTION("""COMPUTED_VALUE"""),240.0)</f>
        <v>240</v>
      </c>
      <c r="AG646" s="131">
        <f>IFERROR(__xludf.DUMMYFUNCTION("""COMPUTED_VALUE"""),87.0)</f>
        <v>87</v>
      </c>
      <c r="AH646" s="131">
        <f>IFERROR(__xludf.DUMMYFUNCTION("""COMPUTED_VALUE"""),87.0)</f>
        <v>87</v>
      </c>
      <c r="AI646" s="131">
        <f>IFERROR(__xludf.DUMMYFUNCTION("""COMPUTED_VALUE"""),359.0)</f>
        <v>359</v>
      </c>
      <c r="AJ646" s="131" t="str">
        <f>IFERROR(__xludf.DUMMYFUNCTION("""COMPUTED_VALUE"""),"S46,G49")</f>
        <v>S46,G49</v>
      </c>
      <c r="AK646" s="131">
        <f>IFERROR(__xludf.DUMMYFUNCTION("""COMPUTED_VALUE"""),32.7)</f>
        <v>32.7</v>
      </c>
    </row>
    <row r="647">
      <c r="A647" s="124" t="str">
        <f>IFERROR(__xludf.DUMMYFUNCTION("""COMPUTED_VALUE"""),"Y")</f>
        <v>Y</v>
      </c>
      <c r="B647" s="131" t="str">
        <f>IFERROR(__xludf.DUMMYFUNCTION("""COMPUTED_VALUE"""),"7")</f>
        <v>7</v>
      </c>
      <c r="C647" s="131" t="str">
        <f>IFERROR(__xludf.DUMMYFUNCTION("""COMPUTED_VALUE"""),"487-492")</f>
        <v>487-492</v>
      </c>
      <c r="D647" s="144">
        <f>IFERROR(__xludf.DUMMYFUNCTION("""COMPUTED_VALUE"""),45801.0)</f>
        <v>45801</v>
      </c>
      <c r="E647" s="147">
        <f>IFERROR(__xludf.DUMMYFUNCTION("""COMPUTED_VALUE"""),45808.0)</f>
        <v>45808</v>
      </c>
      <c r="F647" s="147">
        <f>IFERROR(__xludf.DUMMYFUNCTION("""COMPUTED_VALUE"""),45829.0)</f>
        <v>45829</v>
      </c>
      <c r="G647" s="131" t="str">
        <f>IFERROR(__xludf.DUMMYFUNCTION("""COMPUTED_VALUE"""),"D42-4L")</f>
        <v>D42-4L</v>
      </c>
      <c r="H647" s="126">
        <f>IFERROR(__xludf.DUMMYFUNCTION("""COMPUTED_VALUE"""),261.0)</f>
        <v>261</v>
      </c>
      <c r="I647" s="126">
        <f>IFERROR(__xludf.DUMMYFUNCTION("""COMPUTED_VALUE"""),303.0)</f>
        <v>303</v>
      </c>
      <c r="J647" s="131">
        <f>IFERROR(__xludf.DUMMYFUNCTION("""COMPUTED_VALUE"""),22.0)</f>
        <v>22</v>
      </c>
      <c r="K647" s="131">
        <f>IFERROR(__xludf.DUMMYFUNCTION("""COMPUTED_VALUE"""),22.0)</f>
        <v>22</v>
      </c>
      <c r="L647" s="131">
        <f>IFERROR(__xludf.DUMMYFUNCTION("""COMPUTED_VALUE"""),68.0)</f>
        <v>68</v>
      </c>
      <c r="M647" s="131">
        <f>IFERROR(__xludf.DUMMYFUNCTION("""COMPUTED_VALUE"""),240.0)</f>
        <v>240</v>
      </c>
      <c r="N647" s="131">
        <f>IFERROR(__xludf.DUMMYFUNCTION("""COMPUTED_VALUE"""),87.0)</f>
        <v>87</v>
      </c>
      <c r="O647" s="131">
        <f>IFERROR(__xludf.DUMMYFUNCTION("""COMPUTED_VALUE"""),87.0)</f>
        <v>87</v>
      </c>
      <c r="P647" s="131">
        <f>IFERROR(__xludf.DUMMYFUNCTION("""COMPUTED_VALUE"""),359.0)</f>
        <v>359</v>
      </c>
      <c r="Q647" s="131" t="str">
        <f>IFERROR(__xludf.DUMMYFUNCTION("""COMPUTED_VALUE"""),"S46,G49")</f>
        <v>S46,G49</v>
      </c>
      <c r="R647" s="131">
        <f>IFERROR(__xludf.DUMMYFUNCTION("""COMPUTED_VALUE"""),32.7)</f>
        <v>32.7</v>
      </c>
      <c r="T647" s="131" t="str">
        <f>IFERROR(__xludf.DUMMYFUNCTION("""COMPUTED_VALUE"""),"Y")</f>
        <v>Y</v>
      </c>
      <c r="U647" s="131" t="str">
        <f>IFERROR(__xludf.DUMMYFUNCTION("""COMPUTED_VALUE"""),"7")</f>
        <v>7</v>
      </c>
      <c r="V647" s="131" t="str">
        <f>IFERROR(__xludf.DUMMYFUNCTION("""COMPUTED_VALUE"""),"481-486")</f>
        <v>481-486</v>
      </c>
      <c r="W647" s="144">
        <f>IFERROR(__xludf.DUMMYFUNCTION("""COMPUTED_VALUE"""),45801.0)</f>
        <v>45801</v>
      </c>
      <c r="X647" s="144">
        <f>IFERROR(__xludf.DUMMYFUNCTION("""COMPUTED_VALUE"""),45808.0)</f>
        <v>45808</v>
      </c>
      <c r="Y647" s="144">
        <f>IFERROR(__xludf.DUMMYFUNCTION("""COMPUTED_VALUE"""),45829.0)</f>
        <v>45829</v>
      </c>
      <c r="Z647" s="131" t="str">
        <f>IFERROR(__xludf.DUMMYFUNCTION("""COMPUTED_VALUE"""),"BRG12")</f>
        <v>BRG12</v>
      </c>
      <c r="AA647" s="131">
        <f>IFERROR(__xludf.DUMMYFUNCTION("""COMPUTED_VALUE"""),59.0)</f>
        <v>59</v>
      </c>
      <c r="AB647" s="131">
        <f>IFERROR(__xludf.DUMMYFUNCTION("""COMPUTED_VALUE"""),69.0)</f>
        <v>69</v>
      </c>
      <c r="AC647" s="131">
        <f>IFERROR(__xludf.DUMMYFUNCTION("""COMPUTED_VALUE"""),6.0)</f>
        <v>6</v>
      </c>
      <c r="AD647" s="131">
        <f>IFERROR(__xludf.DUMMYFUNCTION("""COMPUTED_VALUE"""),6.0)</f>
        <v>6</v>
      </c>
      <c r="AE647" s="131"/>
      <c r="AF647" s="131"/>
      <c r="AG647" s="131"/>
      <c r="AH647" s="131"/>
      <c r="AI647" s="131">
        <f>IFERROR(__xludf.DUMMYFUNCTION("""COMPUTED_VALUE"""),360.0)</f>
        <v>360</v>
      </c>
      <c r="AJ647" s="131" t="str">
        <f>IFERROR(__xludf.DUMMYFUNCTION("""COMPUTED_VALUE"""),"S46,G49")</f>
        <v>S46,G49</v>
      </c>
      <c r="AK647" s="131">
        <f>IFERROR(__xludf.DUMMYFUNCTION("""COMPUTED_VALUE"""),24.0)</f>
        <v>24</v>
      </c>
    </row>
    <row r="648">
      <c r="A648" s="124" t="str">
        <f>IFERROR(__xludf.DUMMYFUNCTION("""COMPUTED_VALUE"""),"Y")</f>
        <v>Y</v>
      </c>
      <c r="B648" s="131" t="str">
        <f>IFERROR(__xludf.DUMMYFUNCTION("""COMPUTED_VALUE"""),"7")</f>
        <v>7</v>
      </c>
      <c r="C648" s="131" t="str">
        <f>IFERROR(__xludf.DUMMYFUNCTION("""COMPUTED_VALUE"""),"481-486")</f>
        <v>481-486</v>
      </c>
      <c r="D648" s="144">
        <f>IFERROR(__xludf.DUMMYFUNCTION("""COMPUTED_VALUE"""),45801.0)</f>
        <v>45801</v>
      </c>
      <c r="E648" s="147">
        <f>IFERROR(__xludf.DUMMYFUNCTION("""COMPUTED_VALUE"""),45808.0)</f>
        <v>45808</v>
      </c>
      <c r="F648" s="147">
        <f>IFERROR(__xludf.DUMMYFUNCTION("""COMPUTED_VALUE"""),45829.0)</f>
        <v>45829</v>
      </c>
      <c r="G648" s="131" t="str">
        <f>IFERROR(__xludf.DUMMYFUNCTION("""COMPUTED_VALUE"""),"BRG12")</f>
        <v>BRG12</v>
      </c>
      <c r="H648" s="126">
        <f>IFERROR(__xludf.DUMMYFUNCTION("""COMPUTED_VALUE"""),59.0)</f>
        <v>59</v>
      </c>
      <c r="I648" s="126">
        <f>IFERROR(__xludf.DUMMYFUNCTION("""COMPUTED_VALUE"""),69.0)</f>
        <v>69</v>
      </c>
      <c r="J648" s="131">
        <f>IFERROR(__xludf.DUMMYFUNCTION("""COMPUTED_VALUE"""),6.0)</f>
        <v>6</v>
      </c>
      <c r="K648" s="131">
        <f>IFERROR(__xludf.DUMMYFUNCTION("""COMPUTED_VALUE"""),6.0)</f>
        <v>6</v>
      </c>
      <c r="L648" s="131"/>
      <c r="M648" s="131"/>
      <c r="N648" s="131"/>
      <c r="O648" s="131"/>
      <c r="P648" s="131">
        <f>IFERROR(__xludf.DUMMYFUNCTION("""COMPUTED_VALUE"""),360.0)</f>
        <v>360</v>
      </c>
      <c r="Q648" s="131" t="str">
        <f>IFERROR(__xludf.DUMMYFUNCTION("""COMPUTED_VALUE"""),"S46,G49")</f>
        <v>S46,G49</v>
      </c>
      <c r="R648" s="131">
        <f>IFERROR(__xludf.DUMMYFUNCTION("""COMPUTED_VALUE"""),24.0)</f>
        <v>24</v>
      </c>
      <c r="T648" s="131" t="str">
        <f>IFERROR(__xludf.DUMMYFUNCTION("""COMPUTED_VALUE"""),"Y")</f>
        <v>Y</v>
      </c>
      <c r="U648" s="131" t="str">
        <f>IFERROR(__xludf.DUMMYFUNCTION("""COMPUTED_VALUE"""),"7")</f>
        <v>7</v>
      </c>
      <c r="V648" s="131" t="str">
        <f>IFERROR(__xludf.DUMMYFUNCTION("""COMPUTED_VALUE"""),"481-486")</f>
        <v>481-486</v>
      </c>
      <c r="W648" s="144">
        <f>IFERROR(__xludf.DUMMYFUNCTION("""COMPUTED_VALUE"""),45801.0)</f>
        <v>45801</v>
      </c>
      <c r="X648" s="144">
        <f>IFERROR(__xludf.DUMMYFUNCTION("""COMPUTED_VALUE"""),45808.0)</f>
        <v>45808</v>
      </c>
      <c r="Y648" s="144">
        <f>IFERROR(__xludf.DUMMYFUNCTION("""COMPUTED_VALUE"""),45829.0)</f>
        <v>45829</v>
      </c>
      <c r="Z648" s="131" t="str">
        <f>IFERROR(__xludf.DUMMYFUNCTION("""COMPUTED_VALUE"""),"BRG12")</f>
        <v>BRG12</v>
      </c>
      <c r="AA648" s="131">
        <f>IFERROR(__xludf.DUMMYFUNCTION("""COMPUTED_VALUE"""),2595.0)</f>
        <v>2595</v>
      </c>
      <c r="AB648" s="131">
        <f>IFERROR(__xludf.DUMMYFUNCTION("""COMPUTED_VALUE"""),2617.0)</f>
        <v>2617</v>
      </c>
      <c r="AC648" s="131">
        <f>IFERROR(__xludf.DUMMYFUNCTION("""COMPUTED_VALUE"""),12.0)</f>
        <v>12</v>
      </c>
      <c r="AD648" s="131">
        <f>IFERROR(__xludf.DUMMYFUNCTION("""COMPUTED_VALUE"""),12.0)</f>
        <v>12</v>
      </c>
      <c r="AE648" s="131"/>
      <c r="AF648" s="131"/>
      <c r="AG648" s="131"/>
      <c r="AH648" s="131"/>
      <c r="AI648" s="131">
        <f>IFERROR(__xludf.DUMMYFUNCTION("""COMPUTED_VALUE"""),360.0)</f>
        <v>360</v>
      </c>
      <c r="AJ648" s="131" t="str">
        <f>IFERROR(__xludf.DUMMYFUNCTION("""COMPUTED_VALUE"""),"S46,G49")</f>
        <v>S46,G49</v>
      </c>
      <c r="AK648" s="131">
        <f>IFERROR(__xludf.DUMMYFUNCTION("""COMPUTED_VALUE"""),24.0)</f>
        <v>24</v>
      </c>
    </row>
    <row r="649">
      <c r="A649" s="124" t="str">
        <f>IFERROR(__xludf.DUMMYFUNCTION("""COMPUTED_VALUE"""),"Y")</f>
        <v>Y</v>
      </c>
      <c r="B649" s="131" t="str">
        <f>IFERROR(__xludf.DUMMYFUNCTION("""COMPUTED_VALUE"""),"7")</f>
        <v>7</v>
      </c>
      <c r="C649" s="131" t="str">
        <f>IFERROR(__xludf.DUMMYFUNCTION("""COMPUTED_VALUE"""),"481-486")</f>
        <v>481-486</v>
      </c>
      <c r="D649" s="144">
        <f>IFERROR(__xludf.DUMMYFUNCTION("""COMPUTED_VALUE"""),45801.0)</f>
        <v>45801</v>
      </c>
      <c r="E649" s="147">
        <f>IFERROR(__xludf.DUMMYFUNCTION("""COMPUTED_VALUE"""),45808.0)</f>
        <v>45808</v>
      </c>
      <c r="F649" s="147">
        <f>IFERROR(__xludf.DUMMYFUNCTION("""COMPUTED_VALUE"""),45829.0)</f>
        <v>45829</v>
      </c>
      <c r="G649" s="131" t="str">
        <f>IFERROR(__xludf.DUMMYFUNCTION("""COMPUTED_VALUE"""),"BRG12")</f>
        <v>BRG12</v>
      </c>
      <c r="H649" s="126">
        <f>IFERROR(__xludf.DUMMYFUNCTION("""COMPUTED_VALUE"""),2595.0)</f>
        <v>2595</v>
      </c>
      <c r="I649" s="126">
        <f>IFERROR(__xludf.DUMMYFUNCTION("""COMPUTED_VALUE"""),2617.0)</f>
        <v>2617</v>
      </c>
      <c r="J649" s="131">
        <f>IFERROR(__xludf.DUMMYFUNCTION("""COMPUTED_VALUE"""),12.0)</f>
        <v>12</v>
      </c>
      <c r="K649" s="131">
        <f>IFERROR(__xludf.DUMMYFUNCTION("""COMPUTED_VALUE"""),12.0)</f>
        <v>12</v>
      </c>
      <c r="L649" s="131"/>
      <c r="M649" s="131"/>
      <c r="N649" s="131"/>
      <c r="O649" s="131"/>
      <c r="P649" s="131">
        <f>IFERROR(__xludf.DUMMYFUNCTION("""COMPUTED_VALUE"""),360.0)</f>
        <v>360</v>
      </c>
      <c r="Q649" s="131" t="str">
        <f>IFERROR(__xludf.DUMMYFUNCTION("""COMPUTED_VALUE"""),"S46,G49")</f>
        <v>S46,G49</v>
      </c>
      <c r="R649" s="131">
        <f>IFERROR(__xludf.DUMMYFUNCTION("""COMPUTED_VALUE"""),24.0)</f>
        <v>24</v>
      </c>
      <c r="T649" s="131" t="str">
        <f>IFERROR(__xludf.DUMMYFUNCTION("""COMPUTED_VALUE"""),"Y")</f>
        <v>Y</v>
      </c>
      <c r="U649" s="131" t="str">
        <f>IFERROR(__xludf.DUMMYFUNCTION("""COMPUTED_VALUE"""),"7")</f>
        <v>7</v>
      </c>
      <c r="V649" s="131" t="str">
        <f>IFERROR(__xludf.DUMMYFUNCTION("""COMPUTED_VALUE"""),"505-510")</f>
        <v>505-510</v>
      </c>
      <c r="W649" s="144">
        <f>IFERROR(__xludf.DUMMYFUNCTION("""COMPUTED_VALUE"""),45802.0)</f>
        <v>45802</v>
      </c>
      <c r="X649" s="144">
        <f>IFERROR(__xludf.DUMMYFUNCTION("""COMPUTED_VALUE"""),45809.0)</f>
        <v>45809</v>
      </c>
      <c r="Y649" s="144">
        <f>IFERROR(__xludf.DUMMYFUNCTION("""COMPUTED_VALUE"""),45830.0)</f>
        <v>45830</v>
      </c>
      <c r="Z649" s="131" t="str">
        <f>IFERROR(__xludf.DUMMYFUNCTION("""COMPUTED_VALUE"""),"BRG12")</f>
        <v>BRG12</v>
      </c>
      <c r="AA649" s="131">
        <f>IFERROR(__xludf.DUMMYFUNCTION("""COMPUTED_VALUE"""),875.0)</f>
        <v>875</v>
      </c>
      <c r="AB649" s="131">
        <f>IFERROR(__xludf.DUMMYFUNCTION("""COMPUTED_VALUE"""),881.0)</f>
        <v>881</v>
      </c>
      <c r="AC649" s="131">
        <f>IFERROR(__xludf.DUMMYFUNCTION("""COMPUTED_VALUE"""),4.0)</f>
        <v>4</v>
      </c>
      <c r="AD649" s="131">
        <f>IFERROR(__xludf.DUMMYFUNCTION("""COMPUTED_VALUE"""),4.0)</f>
        <v>4</v>
      </c>
      <c r="AE649" s="131">
        <f>IFERROR(__xludf.DUMMYFUNCTION("""COMPUTED_VALUE"""),60.0)</f>
        <v>60</v>
      </c>
      <c r="AF649" s="131">
        <f>IFERROR(__xludf.DUMMYFUNCTION("""COMPUTED_VALUE"""),68.0)</f>
        <v>68</v>
      </c>
      <c r="AG649" s="131">
        <f>IFERROR(__xludf.DUMMYFUNCTION("""COMPUTED_VALUE"""),5.0)</f>
        <v>5</v>
      </c>
      <c r="AH649" s="131">
        <f>IFERROR(__xludf.DUMMYFUNCTION("""COMPUTED_VALUE"""),5.0)</f>
        <v>5</v>
      </c>
      <c r="AI649" s="131">
        <f>IFERROR(__xludf.DUMMYFUNCTION("""COMPUTED_VALUE"""),361.0)</f>
        <v>361</v>
      </c>
      <c r="AJ649" s="131" t="str">
        <f>IFERROR(__xludf.DUMMYFUNCTION("""COMPUTED_VALUE"""),"S46,G49")</f>
        <v>S46,G49</v>
      </c>
      <c r="AK649" s="131"/>
    </row>
    <row r="650">
      <c r="A650" s="124" t="str">
        <f>IFERROR(__xludf.DUMMYFUNCTION("""COMPUTED_VALUE"""),"Y")</f>
        <v>Y</v>
      </c>
      <c r="B650" s="131" t="str">
        <f>IFERROR(__xludf.DUMMYFUNCTION("""COMPUTED_VALUE"""),"7")</f>
        <v>7</v>
      </c>
      <c r="C650" s="131" t="str">
        <f>IFERROR(__xludf.DUMMYFUNCTION("""COMPUTED_VALUE"""),"505-510")</f>
        <v>505-510</v>
      </c>
      <c r="D650" s="144">
        <f>IFERROR(__xludf.DUMMYFUNCTION("""COMPUTED_VALUE"""),45802.0)</f>
        <v>45802</v>
      </c>
      <c r="E650" s="147">
        <f>IFERROR(__xludf.DUMMYFUNCTION("""COMPUTED_VALUE"""),45809.0)</f>
        <v>45809</v>
      </c>
      <c r="F650" s="147">
        <f>IFERROR(__xludf.DUMMYFUNCTION("""COMPUTED_VALUE"""),45830.0)</f>
        <v>45830</v>
      </c>
      <c r="G650" s="131" t="str">
        <f>IFERROR(__xludf.DUMMYFUNCTION("""COMPUTED_VALUE"""),"BRG12")</f>
        <v>BRG12</v>
      </c>
      <c r="H650" s="126">
        <f>IFERROR(__xludf.DUMMYFUNCTION("""COMPUTED_VALUE"""),875.0)</f>
        <v>875</v>
      </c>
      <c r="I650" s="126">
        <f>IFERROR(__xludf.DUMMYFUNCTION("""COMPUTED_VALUE"""),881.0)</f>
        <v>881</v>
      </c>
      <c r="J650" s="131">
        <f>IFERROR(__xludf.DUMMYFUNCTION("""COMPUTED_VALUE"""),4.0)</f>
        <v>4</v>
      </c>
      <c r="K650" s="131">
        <f>IFERROR(__xludf.DUMMYFUNCTION("""COMPUTED_VALUE"""),4.0)</f>
        <v>4</v>
      </c>
      <c r="L650" s="131">
        <f>IFERROR(__xludf.DUMMYFUNCTION("""COMPUTED_VALUE"""),60.0)</f>
        <v>60</v>
      </c>
      <c r="M650" s="131">
        <f>IFERROR(__xludf.DUMMYFUNCTION("""COMPUTED_VALUE"""),68.0)</f>
        <v>68</v>
      </c>
      <c r="N650" s="131">
        <f>IFERROR(__xludf.DUMMYFUNCTION("""COMPUTED_VALUE"""),5.0)</f>
        <v>5</v>
      </c>
      <c r="O650" s="131">
        <f>IFERROR(__xludf.DUMMYFUNCTION("""COMPUTED_VALUE"""),5.0)</f>
        <v>5</v>
      </c>
      <c r="P650" s="131">
        <f>IFERROR(__xludf.DUMMYFUNCTION("""COMPUTED_VALUE"""),361.0)</f>
        <v>361</v>
      </c>
      <c r="Q650" s="131" t="str">
        <f>IFERROR(__xludf.DUMMYFUNCTION("""COMPUTED_VALUE"""),"S46,G49")</f>
        <v>S46,G49</v>
      </c>
      <c r="R650" s="131"/>
      <c r="T650" s="131" t="str">
        <f>IFERROR(__xludf.DUMMYFUNCTION("""COMPUTED_VALUE"""),"Y")</f>
        <v>Y</v>
      </c>
      <c r="U650" s="131" t="str">
        <f>IFERROR(__xludf.DUMMYFUNCTION("""COMPUTED_VALUE"""),"7")</f>
        <v>7</v>
      </c>
      <c r="V650" s="131" t="str">
        <f>IFERROR(__xludf.DUMMYFUNCTION("""COMPUTED_VALUE"""),"505-510")</f>
        <v>505-510</v>
      </c>
      <c r="W650" s="144">
        <f>IFERROR(__xludf.DUMMYFUNCTION("""COMPUTED_VALUE"""),45802.0)</f>
        <v>45802</v>
      </c>
      <c r="X650" s="144">
        <f>IFERROR(__xludf.DUMMYFUNCTION("""COMPUTED_VALUE"""),45809.0)</f>
        <v>45809</v>
      </c>
      <c r="Y650" s="144">
        <f>IFERROR(__xludf.DUMMYFUNCTION("""COMPUTED_VALUE"""),45830.0)</f>
        <v>45830</v>
      </c>
      <c r="Z650" s="131" t="str">
        <f>IFERROR(__xludf.DUMMYFUNCTION("""COMPUTED_VALUE"""),"BRG12")</f>
        <v>BRG12</v>
      </c>
      <c r="AA650" s="131">
        <f>IFERROR(__xludf.DUMMYFUNCTION("""COMPUTED_VALUE"""),483.0)</f>
        <v>483</v>
      </c>
      <c r="AB650" s="131">
        <f>IFERROR(__xludf.DUMMYFUNCTION("""COMPUTED_VALUE"""),483.0)</f>
        <v>483</v>
      </c>
      <c r="AC650" s="131">
        <f>IFERROR(__xludf.DUMMYFUNCTION("""COMPUTED_VALUE"""),1.0)</f>
        <v>1</v>
      </c>
      <c r="AD650" s="131">
        <f>IFERROR(__xludf.DUMMYFUNCTION("""COMPUTED_VALUE"""),1.0)</f>
        <v>1</v>
      </c>
      <c r="AE650" s="131">
        <f>IFERROR(__xludf.DUMMYFUNCTION("""COMPUTED_VALUE"""),1182.0)</f>
        <v>1182</v>
      </c>
      <c r="AF650" s="131">
        <f>IFERROR(__xludf.DUMMYFUNCTION("""COMPUTED_VALUE"""),1182.0)</f>
        <v>1182</v>
      </c>
      <c r="AG650" s="131">
        <f>IFERROR(__xludf.DUMMYFUNCTION("""COMPUTED_VALUE"""),1.0)</f>
        <v>1</v>
      </c>
      <c r="AH650" s="131">
        <f>IFERROR(__xludf.DUMMYFUNCTION("""COMPUTED_VALUE"""),1.0)</f>
        <v>1</v>
      </c>
      <c r="AI650" s="131">
        <f>IFERROR(__xludf.DUMMYFUNCTION("""COMPUTED_VALUE"""),361.0)</f>
        <v>361</v>
      </c>
      <c r="AJ650" s="131" t="str">
        <f>IFERROR(__xludf.DUMMYFUNCTION("""COMPUTED_VALUE"""),"S46,G49")</f>
        <v>S46,G49</v>
      </c>
      <c r="AK650" s="131"/>
    </row>
    <row r="651">
      <c r="A651" s="124" t="str">
        <f>IFERROR(__xludf.DUMMYFUNCTION("""COMPUTED_VALUE"""),"Y")</f>
        <v>Y</v>
      </c>
      <c r="B651" s="131" t="str">
        <f>IFERROR(__xludf.DUMMYFUNCTION("""COMPUTED_VALUE"""),"7")</f>
        <v>7</v>
      </c>
      <c r="C651" s="131" t="str">
        <f>IFERROR(__xludf.DUMMYFUNCTION("""COMPUTED_VALUE"""),"505-510")</f>
        <v>505-510</v>
      </c>
      <c r="D651" s="144">
        <f>IFERROR(__xludf.DUMMYFUNCTION("""COMPUTED_VALUE"""),45802.0)</f>
        <v>45802</v>
      </c>
      <c r="E651" s="147">
        <f>IFERROR(__xludf.DUMMYFUNCTION("""COMPUTED_VALUE"""),45809.0)</f>
        <v>45809</v>
      </c>
      <c r="F651" s="147">
        <f>IFERROR(__xludf.DUMMYFUNCTION("""COMPUTED_VALUE"""),45830.0)</f>
        <v>45830</v>
      </c>
      <c r="G651" s="131" t="str">
        <f>IFERROR(__xludf.DUMMYFUNCTION("""COMPUTED_VALUE"""),"BRG12")</f>
        <v>BRG12</v>
      </c>
      <c r="H651" s="126">
        <f>IFERROR(__xludf.DUMMYFUNCTION("""COMPUTED_VALUE"""),483.0)</f>
        <v>483</v>
      </c>
      <c r="I651" s="126">
        <f>IFERROR(__xludf.DUMMYFUNCTION("""COMPUTED_VALUE"""),483.0)</f>
        <v>483</v>
      </c>
      <c r="J651" s="131">
        <f>IFERROR(__xludf.DUMMYFUNCTION("""COMPUTED_VALUE"""),1.0)</f>
        <v>1</v>
      </c>
      <c r="K651" s="131">
        <f>IFERROR(__xludf.DUMMYFUNCTION("""COMPUTED_VALUE"""),1.0)</f>
        <v>1</v>
      </c>
      <c r="L651" s="131">
        <f>IFERROR(__xludf.DUMMYFUNCTION("""COMPUTED_VALUE"""),1182.0)</f>
        <v>1182</v>
      </c>
      <c r="M651" s="131">
        <f>IFERROR(__xludf.DUMMYFUNCTION("""COMPUTED_VALUE"""),1182.0)</f>
        <v>1182</v>
      </c>
      <c r="N651" s="131">
        <f>IFERROR(__xludf.DUMMYFUNCTION("""COMPUTED_VALUE"""),1.0)</f>
        <v>1</v>
      </c>
      <c r="O651" s="131">
        <f>IFERROR(__xludf.DUMMYFUNCTION("""COMPUTED_VALUE"""),1.0)</f>
        <v>1</v>
      </c>
      <c r="P651" s="131">
        <f>IFERROR(__xludf.DUMMYFUNCTION("""COMPUTED_VALUE"""),361.0)</f>
        <v>361</v>
      </c>
      <c r="Q651" s="131" t="str">
        <f>IFERROR(__xludf.DUMMYFUNCTION("""COMPUTED_VALUE"""),"S46,G49")</f>
        <v>S46,G49</v>
      </c>
      <c r="R651" s="131"/>
      <c r="T651" s="131" t="str">
        <f>IFERROR(__xludf.DUMMYFUNCTION("""COMPUTED_VALUE"""),"Y")</f>
        <v>Y</v>
      </c>
      <c r="U651" s="131" t="str">
        <f>IFERROR(__xludf.DUMMYFUNCTION("""COMPUTED_VALUE"""),"7")</f>
        <v>7</v>
      </c>
      <c r="V651" s="131" t="str">
        <f>IFERROR(__xludf.DUMMYFUNCTION("""COMPUTED_VALUE"""),"505-510")</f>
        <v>505-510</v>
      </c>
      <c r="W651" s="144">
        <f>IFERROR(__xludf.DUMMYFUNCTION("""COMPUTED_VALUE"""),45802.0)</f>
        <v>45802</v>
      </c>
      <c r="X651" s="144">
        <f>IFERROR(__xludf.DUMMYFUNCTION("""COMPUTED_VALUE"""),45809.0)</f>
        <v>45809</v>
      </c>
      <c r="Y651" s="144">
        <f>IFERROR(__xludf.DUMMYFUNCTION("""COMPUTED_VALUE"""),45830.0)</f>
        <v>45830</v>
      </c>
      <c r="Z651" s="131" t="str">
        <f>IFERROR(__xludf.DUMMYFUNCTION("""COMPUTED_VALUE"""),"BRG12")</f>
        <v>BRG12</v>
      </c>
      <c r="AA651" s="131">
        <f>IFERROR(__xludf.DUMMYFUNCTION("""COMPUTED_VALUE"""),1299.0)</f>
        <v>1299</v>
      </c>
      <c r="AB651" s="131">
        <f>IFERROR(__xludf.DUMMYFUNCTION("""COMPUTED_VALUE"""),1299.0)</f>
        <v>1299</v>
      </c>
      <c r="AC651" s="131">
        <f>IFERROR(__xludf.DUMMYFUNCTION("""COMPUTED_VALUE"""),1.0)</f>
        <v>1</v>
      </c>
      <c r="AD651" s="131">
        <f>IFERROR(__xludf.DUMMYFUNCTION("""COMPUTED_VALUE"""),1.0)</f>
        <v>1</v>
      </c>
      <c r="AE651" s="131">
        <f>IFERROR(__xludf.DUMMYFUNCTION("""COMPUTED_VALUE"""),1298.0)</f>
        <v>1298</v>
      </c>
      <c r="AF651" s="131">
        <f>IFERROR(__xludf.DUMMYFUNCTION("""COMPUTED_VALUE"""),1298.0)</f>
        <v>1298</v>
      </c>
      <c r="AG651" s="131">
        <f>IFERROR(__xludf.DUMMYFUNCTION("""COMPUTED_VALUE"""),1.0)</f>
        <v>1</v>
      </c>
      <c r="AH651" s="131">
        <f>IFERROR(__xludf.DUMMYFUNCTION("""COMPUTED_VALUE"""),1.0)</f>
        <v>1</v>
      </c>
      <c r="AI651" s="131">
        <f>IFERROR(__xludf.DUMMYFUNCTION("""COMPUTED_VALUE"""),361.0)</f>
        <v>361</v>
      </c>
      <c r="AJ651" s="131" t="str">
        <f>IFERROR(__xludf.DUMMYFUNCTION("""COMPUTED_VALUE"""),"S46,G49")</f>
        <v>S46,G49</v>
      </c>
      <c r="AK651" s="131"/>
    </row>
    <row r="652">
      <c r="A652" s="124" t="str">
        <f>IFERROR(__xludf.DUMMYFUNCTION("""COMPUTED_VALUE"""),"Y")</f>
        <v>Y</v>
      </c>
      <c r="B652" s="131" t="str">
        <f>IFERROR(__xludf.DUMMYFUNCTION("""COMPUTED_VALUE"""),"7")</f>
        <v>7</v>
      </c>
      <c r="C652" s="131" t="str">
        <f>IFERROR(__xludf.DUMMYFUNCTION("""COMPUTED_VALUE"""),"505-510")</f>
        <v>505-510</v>
      </c>
      <c r="D652" s="144">
        <f>IFERROR(__xludf.DUMMYFUNCTION("""COMPUTED_VALUE"""),45802.0)</f>
        <v>45802</v>
      </c>
      <c r="E652" s="147">
        <f>IFERROR(__xludf.DUMMYFUNCTION("""COMPUTED_VALUE"""),45809.0)</f>
        <v>45809</v>
      </c>
      <c r="F652" s="147">
        <f>IFERROR(__xludf.DUMMYFUNCTION("""COMPUTED_VALUE"""),45830.0)</f>
        <v>45830</v>
      </c>
      <c r="G652" s="131" t="str">
        <f>IFERROR(__xludf.DUMMYFUNCTION("""COMPUTED_VALUE"""),"BRG12")</f>
        <v>BRG12</v>
      </c>
      <c r="H652" s="126">
        <f>IFERROR(__xludf.DUMMYFUNCTION("""COMPUTED_VALUE"""),1299.0)</f>
        <v>1299</v>
      </c>
      <c r="I652" s="126">
        <f>IFERROR(__xludf.DUMMYFUNCTION("""COMPUTED_VALUE"""),1299.0)</f>
        <v>1299</v>
      </c>
      <c r="J652" s="131">
        <f>IFERROR(__xludf.DUMMYFUNCTION("""COMPUTED_VALUE"""),1.0)</f>
        <v>1</v>
      </c>
      <c r="K652" s="131">
        <f>IFERROR(__xludf.DUMMYFUNCTION("""COMPUTED_VALUE"""),1.0)</f>
        <v>1</v>
      </c>
      <c r="L652" s="131">
        <f>IFERROR(__xludf.DUMMYFUNCTION("""COMPUTED_VALUE"""),1298.0)</f>
        <v>1298</v>
      </c>
      <c r="M652" s="131">
        <f>IFERROR(__xludf.DUMMYFUNCTION("""COMPUTED_VALUE"""),1298.0)</f>
        <v>1298</v>
      </c>
      <c r="N652" s="131">
        <f>IFERROR(__xludf.DUMMYFUNCTION("""COMPUTED_VALUE"""),1.0)</f>
        <v>1</v>
      </c>
      <c r="O652" s="131">
        <f>IFERROR(__xludf.DUMMYFUNCTION("""COMPUTED_VALUE"""),1.0)</f>
        <v>1</v>
      </c>
      <c r="P652" s="131">
        <f>IFERROR(__xludf.DUMMYFUNCTION("""COMPUTED_VALUE"""),361.0)</f>
        <v>361</v>
      </c>
      <c r="Q652" s="131" t="str">
        <f>IFERROR(__xludf.DUMMYFUNCTION("""COMPUTED_VALUE"""),"S46,G49")</f>
        <v>S46,G49</v>
      </c>
      <c r="R652" s="131"/>
      <c r="T652" s="131" t="str">
        <f>IFERROR(__xludf.DUMMYFUNCTION("""COMPUTED_VALUE"""),"Y")</f>
        <v>Y</v>
      </c>
      <c r="U652" s="131" t="str">
        <f>IFERROR(__xludf.DUMMYFUNCTION("""COMPUTED_VALUE"""),"7")</f>
        <v>7</v>
      </c>
      <c r="V652" s="131" t="str">
        <f>IFERROR(__xludf.DUMMYFUNCTION("""COMPUTED_VALUE"""),"505-510")</f>
        <v>505-510</v>
      </c>
      <c r="W652" s="144">
        <f>IFERROR(__xludf.DUMMYFUNCTION("""COMPUTED_VALUE"""),45802.0)</f>
        <v>45802</v>
      </c>
      <c r="X652" s="144">
        <f>IFERROR(__xludf.DUMMYFUNCTION("""COMPUTED_VALUE"""),45809.0)</f>
        <v>45809</v>
      </c>
      <c r="Y652" s="144">
        <f>IFERROR(__xludf.DUMMYFUNCTION("""COMPUTED_VALUE"""),45830.0)</f>
        <v>45830</v>
      </c>
      <c r="Z652" s="131" t="str">
        <f>IFERROR(__xludf.DUMMYFUNCTION("""COMPUTED_VALUE"""),"BRG12")</f>
        <v>BRG12</v>
      </c>
      <c r="AA652" s="131">
        <f>IFERROR(__xludf.DUMMYFUNCTION("""COMPUTED_VALUE"""),77.0)</f>
        <v>77</v>
      </c>
      <c r="AB652" s="131">
        <f>IFERROR(__xludf.DUMMYFUNCTION("""COMPUTED_VALUE"""),77.0)</f>
        <v>77</v>
      </c>
      <c r="AC652" s="131">
        <f>IFERROR(__xludf.DUMMYFUNCTION("""COMPUTED_VALUE"""),1.0)</f>
        <v>1</v>
      </c>
      <c r="AD652" s="131">
        <f>IFERROR(__xludf.DUMMYFUNCTION("""COMPUTED_VALUE"""),1.0)</f>
        <v>1</v>
      </c>
      <c r="AE652" s="131">
        <f>IFERROR(__xludf.DUMMYFUNCTION("""COMPUTED_VALUE"""),1183.0)</f>
        <v>1183</v>
      </c>
      <c r="AF652" s="131">
        <f>IFERROR(__xludf.DUMMYFUNCTION("""COMPUTED_VALUE"""),1183.0)</f>
        <v>1183</v>
      </c>
      <c r="AG652" s="131">
        <f>IFERROR(__xludf.DUMMYFUNCTION("""COMPUTED_VALUE"""),1.0)</f>
        <v>1</v>
      </c>
      <c r="AH652" s="131">
        <f>IFERROR(__xludf.DUMMYFUNCTION("""COMPUTED_VALUE"""),1.0)</f>
        <v>1</v>
      </c>
      <c r="AI652" s="131">
        <f>IFERROR(__xludf.DUMMYFUNCTION("""COMPUTED_VALUE"""),361.0)</f>
        <v>361</v>
      </c>
      <c r="AJ652" s="131" t="str">
        <f>IFERROR(__xludf.DUMMYFUNCTION("""COMPUTED_VALUE"""),"S46,G49")</f>
        <v>S46,G49</v>
      </c>
      <c r="AK652" s="131"/>
    </row>
    <row r="653">
      <c r="A653" s="124" t="str">
        <f>IFERROR(__xludf.DUMMYFUNCTION("""COMPUTED_VALUE"""),"Y")</f>
        <v>Y</v>
      </c>
      <c r="B653" s="131" t="str">
        <f>IFERROR(__xludf.DUMMYFUNCTION("""COMPUTED_VALUE"""),"7")</f>
        <v>7</v>
      </c>
      <c r="C653" s="131" t="str">
        <f>IFERROR(__xludf.DUMMYFUNCTION("""COMPUTED_VALUE"""),"505-510")</f>
        <v>505-510</v>
      </c>
      <c r="D653" s="144">
        <f>IFERROR(__xludf.DUMMYFUNCTION("""COMPUTED_VALUE"""),45802.0)</f>
        <v>45802</v>
      </c>
      <c r="E653" s="147">
        <f>IFERROR(__xludf.DUMMYFUNCTION("""COMPUTED_VALUE"""),45809.0)</f>
        <v>45809</v>
      </c>
      <c r="F653" s="147">
        <f>IFERROR(__xludf.DUMMYFUNCTION("""COMPUTED_VALUE"""),45830.0)</f>
        <v>45830</v>
      </c>
      <c r="G653" s="131" t="str">
        <f>IFERROR(__xludf.DUMMYFUNCTION("""COMPUTED_VALUE"""),"BRG12")</f>
        <v>BRG12</v>
      </c>
      <c r="H653" s="126">
        <f>IFERROR(__xludf.DUMMYFUNCTION("""COMPUTED_VALUE"""),77.0)</f>
        <v>77</v>
      </c>
      <c r="I653" s="126">
        <f>IFERROR(__xludf.DUMMYFUNCTION("""COMPUTED_VALUE"""),77.0)</f>
        <v>77</v>
      </c>
      <c r="J653" s="131">
        <f>IFERROR(__xludf.DUMMYFUNCTION("""COMPUTED_VALUE"""),1.0)</f>
        <v>1</v>
      </c>
      <c r="K653" s="131">
        <f>IFERROR(__xludf.DUMMYFUNCTION("""COMPUTED_VALUE"""),1.0)</f>
        <v>1</v>
      </c>
      <c r="L653" s="131">
        <f>IFERROR(__xludf.DUMMYFUNCTION("""COMPUTED_VALUE"""),1183.0)</f>
        <v>1183</v>
      </c>
      <c r="M653" s="131">
        <f>IFERROR(__xludf.DUMMYFUNCTION("""COMPUTED_VALUE"""),1183.0)</f>
        <v>1183</v>
      </c>
      <c r="N653" s="131">
        <f>IFERROR(__xludf.DUMMYFUNCTION("""COMPUTED_VALUE"""),1.0)</f>
        <v>1</v>
      </c>
      <c r="O653" s="131">
        <f>IFERROR(__xludf.DUMMYFUNCTION("""COMPUTED_VALUE"""),1.0)</f>
        <v>1</v>
      </c>
      <c r="P653" s="131">
        <f>IFERROR(__xludf.DUMMYFUNCTION("""COMPUTED_VALUE"""),361.0)</f>
        <v>361</v>
      </c>
      <c r="Q653" s="131" t="str">
        <f>IFERROR(__xludf.DUMMYFUNCTION("""COMPUTED_VALUE"""),"S46,G49")</f>
        <v>S46,G49</v>
      </c>
      <c r="R653" s="131"/>
      <c r="T653" s="131" t="str">
        <f>IFERROR(__xludf.DUMMYFUNCTION("""COMPUTED_VALUE"""),"Y")</f>
        <v>Y</v>
      </c>
      <c r="U653" s="131" t="str">
        <f>IFERROR(__xludf.DUMMYFUNCTION("""COMPUTED_VALUE"""),"7")</f>
        <v>7</v>
      </c>
      <c r="V653" s="131" t="str">
        <f>IFERROR(__xludf.DUMMYFUNCTION("""COMPUTED_VALUE"""),"499-504")</f>
        <v>499-504</v>
      </c>
      <c r="W653" s="144">
        <f>IFERROR(__xludf.DUMMYFUNCTION("""COMPUTED_VALUE"""),45802.0)</f>
        <v>45802</v>
      </c>
      <c r="X653" s="144">
        <f>IFERROR(__xludf.DUMMYFUNCTION("""COMPUTED_VALUE"""),45809.0)</f>
        <v>45809</v>
      </c>
      <c r="Y653" s="144">
        <f>IFERROR(__xludf.DUMMYFUNCTION("""COMPUTED_VALUE"""),45830.0)</f>
        <v>45830</v>
      </c>
      <c r="Z653" s="131" t="str">
        <f>IFERROR(__xludf.DUMMYFUNCTION("""COMPUTED_VALUE"""),"D42-4L")</f>
        <v>D42-4L</v>
      </c>
      <c r="AA653" s="131">
        <f>IFERROR(__xludf.DUMMYFUNCTION("""COMPUTED_VALUE"""),1.0)</f>
        <v>1</v>
      </c>
      <c r="AB653" s="131">
        <f>IFERROR(__xludf.DUMMYFUNCTION("""COMPUTED_VALUE"""),17.0)</f>
        <v>17</v>
      </c>
      <c r="AC653" s="131">
        <f>IFERROR(__xludf.DUMMYFUNCTION("""COMPUTED_VALUE"""),9.0)</f>
        <v>9</v>
      </c>
      <c r="AD653" s="131">
        <f>IFERROR(__xludf.DUMMYFUNCTION("""COMPUTED_VALUE"""),9.0)</f>
        <v>9</v>
      </c>
      <c r="AE653" s="131">
        <f>IFERROR(__xludf.DUMMYFUNCTION("""COMPUTED_VALUE"""),242.0)</f>
        <v>242</v>
      </c>
      <c r="AF653" s="131">
        <f>IFERROR(__xludf.DUMMYFUNCTION("""COMPUTED_VALUE"""),308.0)</f>
        <v>308</v>
      </c>
      <c r="AG653" s="131">
        <f>IFERROR(__xludf.DUMMYFUNCTION("""COMPUTED_VALUE"""),34.0)</f>
        <v>34</v>
      </c>
      <c r="AH653" s="131">
        <f>IFERROR(__xludf.DUMMYFUNCTION("""COMPUTED_VALUE"""),34.0)</f>
        <v>34</v>
      </c>
      <c r="AI653" s="131">
        <f>IFERROR(__xludf.DUMMYFUNCTION("""COMPUTED_VALUE"""),362.0)</f>
        <v>362</v>
      </c>
      <c r="AJ653" s="131" t="str">
        <f>IFERROR(__xludf.DUMMYFUNCTION("""COMPUTED_VALUE"""),"S46,G49")</f>
        <v>S46,G49</v>
      </c>
      <c r="AK653" s="131">
        <f>IFERROR(__xludf.DUMMYFUNCTION("""COMPUTED_VALUE"""),15.9)</f>
        <v>15.9</v>
      </c>
    </row>
    <row r="654">
      <c r="A654" s="124" t="str">
        <f>IFERROR(__xludf.DUMMYFUNCTION("""COMPUTED_VALUE"""),"Y")</f>
        <v>Y</v>
      </c>
      <c r="B654" s="131" t="str">
        <f>IFERROR(__xludf.DUMMYFUNCTION("""COMPUTED_VALUE"""),"7")</f>
        <v>7</v>
      </c>
      <c r="C654" s="131" t="str">
        <f>IFERROR(__xludf.DUMMYFUNCTION("""COMPUTED_VALUE"""),"499-504")</f>
        <v>499-504</v>
      </c>
      <c r="D654" s="144">
        <f>IFERROR(__xludf.DUMMYFUNCTION("""COMPUTED_VALUE"""),45802.0)</f>
        <v>45802</v>
      </c>
      <c r="E654" s="147">
        <f>IFERROR(__xludf.DUMMYFUNCTION("""COMPUTED_VALUE"""),45809.0)</f>
        <v>45809</v>
      </c>
      <c r="F654" s="147">
        <f>IFERROR(__xludf.DUMMYFUNCTION("""COMPUTED_VALUE"""),45830.0)</f>
        <v>45830</v>
      </c>
      <c r="G654" s="131" t="str">
        <f>IFERROR(__xludf.DUMMYFUNCTION("""COMPUTED_VALUE"""),"D42-4L")</f>
        <v>D42-4L</v>
      </c>
      <c r="H654" s="126">
        <f>IFERROR(__xludf.DUMMYFUNCTION("""COMPUTED_VALUE"""),1.0)</f>
        <v>1</v>
      </c>
      <c r="I654" s="126">
        <f>IFERROR(__xludf.DUMMYFUNCTION("""COMPUTED_VALUE"""),17.0)</f>
        <v>17</v>
      </c>
      <c r="J654" s="131">
        <f>IFERROR(__xludf.DUMMYFUNCTION("""COMPUTED_VALUE"""),9.0)</f>
        <v>9</v>
      </c>
      <c r="K654" s="131">
        <f>IFERROR(__xludf.DUMMYFUNCTION("""COMPUTED_VALUE"""),9.0)</f>
        <v>9</v>
      </c>
      <c r="L654" s="131">
        <f>IFERROR(__xludf.DUMMYFUNCTION("""COMPUTED_VALUE"""),242.0)</f>
        <v>242</v>
      </c>
      <c r="M654" s="131">
        <f>IFERROR(__xludf.DUMMYFUNCTION("""COMPUTED_VALUE"""),308.0)</f>
        <v>308</v>
      </c>
      <c r="N654" s="131">
        <f>IFERROR(__xludf.DUMMYFUNCTION("""COMPUTED_VALUE"""),34.0)</f>
        <v>34</v>
      </c>
      <c r="O654" s="131">
        <f>IFERROR(__xludf.DUMMYFUNCTION("""COMPUTED_VALUE"""),34.0)</f>
        <v>34</v>
      </c>
      <c r="P654" s="131">
        <f>IFERROR(__xludf.DUMMYFUNCTION("""COMPUTED_VALUE"""),362.0)</f>
        <v>362</v>
      </c>
      <c r="Q654" s="131" t="str">
        <f>IFERROR(__xludf.DUMMYFUNCTION("""COMPUTED_VALUE"""),"S46,G49")</f>
        <v>S46,G49</v>
      </c>
      <c r="R654" s="131">
        <f>IFERROR(__xludf.DUMMYFUNCTION("""COMPUTED_VALUE"""),15.9)</f>
        <v>15.9</v>
      </c>
      <c r="T654" s="131" t="str">
        <f>IFERROR(__xludf.DUMMYFUNCTION("""COMPUTED_VALUE"""),"Y")</f>
        <v>Y</v>
      </c>
      <c r="U654" s="131" t="str">
        <f>IFERROR(__xludf.DUMMYFUNCTION("""COMPUTED_VALUE"""),"7")</f>
        <v>7</v>
      </c>
      <c r="V654" s="131" t="str">
        <f>IFERROR(__xludf.DUMMYFUNCTION("""COMPUTED_VALUE"""),"499-504 خطا مطبعي")</f>
        <v>499-504 خطا مطبعي</v>
      </c>
      <c r="W654" s="144">
        <f>IFERROR(__xludf.DUMMYFUNCTION("""COMPUTED_VALUE"""),45802.0)</f>
        <v>45802</v>
      </c>
      <c r="X654" s="144">
        <f>IFERROR(__xludf.DUMMYFUNCTION("""COMPUTED_VALUE"""),45809.0)</f>
        <v>45809</v>
      </c>
      <c r="Y654" s="144">
        <f>IFERROR(__xludf.DUMMYFUNCTION("""COMPUTED_VALUE"""),45830.0)</f>
        <v>45830</v>
      </c>
      <c r="Z654" s="131" t="str">
        <f>IFERROR(__xludf.DUMMYFUNCTION("""COMPUTED_VALUE"""),"D42-5L")</f>
        <v>D42-5L</v>
      </c>
      <c r="AA654" s="131">
        <f>IFERROR(__xludf.DUMMYFUNCTION("""COMPUTED_VALUE"""),1.0)</f>
        <v>1</v>
      </c>
      <c r="AB654" s="131">
        <f>IFERROR(__xludf.DUMMYFUNCTION("""COMPUTED_VALUE"""),5.0)</f>
        <v>5</v>
      </c>
      <c r="AC654" s="131">
        <f>IFERROR(__xludf.DUMMYFUNCTION("""COMPUTED_VALUE"""),3.0)</f>
        <v>3</v>
      </c>
      <c r="AD654" s="131">
        <f>IFERROR(__xludf.DUMMYFUNCTION("""COMPUTED_VALUE"""),3.0)</f>
        <v>3</v>
      </c>
      <c r="AE654" s="131"/>
      <c r="AF654" s="131"/>
      <c r="AG654" s="131"/>
      <c r="AH654" s="131"/>
      <c r="AI654" s="131">
        <f>IFERROR(__xludf.DUMMYFUNCTION("""COMPUTED_VALUE"""),362.0)</f>
        <v>362</v>
      </c>
      <c r="AJ654" s="131" t="str">
        <f>IFERROR(__xludf.DUMMYFUNCTION("""COMPUTED_VALUE"""),"S46,G49")</f>
        <v>S46,G49</v>
      </c>
      <c r="AK654" s="131">
        <f>IFERROR(__xludf.DUMMYFUNCTION("""COMPUTED_VALUE"""),15.9)</f>
        <v>15.9</v>
      </c>
    </row>
    <row r="655">
      <c r="A655" s="124" t="str">
        <f>IFERROR(__xludf.DUMMYFUNCTION("""COMPUTED_VALUE"""),"Y")</f>
        <v>Y</v>
      </c>
      <c r="B655" s="131" t="str">
        <f>IFERROR(__xludf.DUMMYFUNCTION("""COMPUTED_VALUE"""),"7")</f>
        <v>7</v>
      </c>
      <c r="C655" s="131" t="str">
        <f>IFERROR(__xludf.DUMMYFUNCTION("""COMPUTED_VALUE"""),"499-504 خطا مطبعي")</f>
        <v>499-504 خطا مطبعي</v>
      </c>
      <c r="D655" s="144">
        <f>IFERROR(__xludf.DUMMYFUNCTION("""COMPUTED_VALUE"""),45802.0)</f>
        <v>45802</v>
      </c>
      <c r="E655" s="147">
        <f>IFERROR(__xludf.DUMMYFUNCTION("""COMPUTED_VALUE"""),45809.0)</f>
        <v>45809</v>
      </c>
      <c r="F655" s="147">
        <f>IFERROR(__xludf.DUMMYFUNCTION("""COMPUTED_VALUE"""),45830.0)</f>
        <v>45830</v>
      </c>
      <c r="G655" s="131" t="str">
        <f>IFERROR(__xludf.DUMMYFUNCTION("""COMPUTED_VALUE"""),"D42-5L")</f>
        <v>D42-5L</v>
      </c>
      <c r="H655" s="126">
        <f>IFERROR(__xludf.DUMMYFUNCTION("""COMPUTED_VALUE"""),1.0)</f>
        <v>1</v>
      </c>
      <c r="I655" s="126">
        <f>IFERROR(__xludf.DUMMYFUNCTION("""COMPUTED_VALUE"""),5.0)</f>
        <v>5</v>
      </c>
      <c r="J655" s="131">
        <f>IFERROR(__xludf.DUMMYFUNCTION("""COMPUTED_VALUE"""),3.0)</f>
        <v>3</v>
      </c>
      <c r="K655" s="131">
        <f>IFERROR(__xludf.DUMMYFUNCTION("""COMPUTED_VALUE"""),3.0)</f>
        <v>3</v>
      </c>
      <c r="L655" s="131"/>
      <c r="M655" s="131"/>
      <c r="N655" s="131"/>
      <c r="O655" s="131"/>
      <c r="P655" s="131">
        <f>IFERROR(__xludf.DUMMYFUNCTION("""COMPUTED_VALUE"""),362.0)</f>
        <v>362</v>
      </c>
      <c r="Q655" s="131" t="str">
        <f>IFERROR(__xludf.DUMMYFUNCTION("""COMPUTED_VALUE"""),"S46,G49")</f>
        <v>S46,G49</v>
      </c>
      <c r="R655" s="131">
        <f>IFERROR(__xludf.DUMMYFUNCTION("""COMPUTED_VALUE"""),15.9)</f>
        <v>15.9</v>
      </c>
      <c r="T655" s="131" t="str">
        <f>IFERROR(__xludf.DUMMYFUNCTION("""COMPUTED_VALUE"""),"Y")</f>
        <v>Y</v>
      </c>
      <c r="U655" s="131" t="str">
        <f>IFERROR(__xludf.DUMMYFUNCTION("""COMPUTED_VALUE"""),"7")</f>
        <v>7</v>
      </c>
      <c r="V655" s="131" t="str">
        <f>IFERROR(__xludf.DUMMYFUNCTION("""COMPUTED_VALUE"""),"499-504")</f>
        <v>499-504</v>
      </c>
      <c r="W655" s="144">
        <f>IFERROR(__xludf.DUMMYFUNCTION("""COMPUTED_VALUE"""),45802.0)</f>
        <v>45802</v>
      </c>
      <c r="X655" s="144">
        <f>IFERROR(__xludf.DUMMYFUNCTION("""COMPUTED_VALUE"""),45809.0)</f>
        <v>45809</v>
      </c>
      <c r="Y655" s="144">
        <f>IFERROR(__xludf.DUMMYFUNCTION("""COMPUTED_VALUE"""),45830.0)</f>
        <v>45830</v>
      </c>
      <c r="Z655" s="131" t="str">
        <f>IFERROR(__xludf.DUMMYFUNCTION("""COMPUTED_VALUE"""),"D42-5R")</f>
        <v>D42-5R</v>
      </c>
      <c r="AA655" s="131">
        <f>IFERROR(__xludf.DUMMYFUNCTION("""COMPUTED_VALUE"""),1.0)</f>
        <v>1</v>
      </c>
      <c r="AB655" s="131">
        <f>IFERROR(__xludf.DUMMYFUNCTION("""COMPUTED_VALUE"""),13.0)</f>
        <v>13</v>
      </c>
      <c r="AC655" s="131">
        <f>IFERROR(__xludf.DUMMYFUNCTION("""COMPUTED_VALUE"""),7.0)</f>
        <v>7</v>
      </c>
      <c r="AD655" s="131">
        <f>IFERROR(__xludf.DUMMYFUNCTION("""COMPUTED_VALUE"""),7.0)</f>
        <v>7</v>
      </c>
      <c r="AE655" s="131"/>
      <c r="AF655" s="131"/>
      <c r="AG655" s="131"/>
      <c r="AH655" s="131"/>
      <c r="AI655" s="131">
        <f>IFERROR(__xludf.DUMMYFUNCTION("""COMPUTED_VALUE"""),362.0)</f>
        <v>362</v>
      </c>
      <c r="AJ655" s="131" t="str">
        <f>IFERROR(__xludf.DUMMYFUNCTION("""COMPUTED_VALUE"""),"S46,G49")</f>
        <v>S46,G49</v>
      </c>
      <c r="AK655" s="131">
        <f>IFERROR(__xludf.DUMMYFUNCTION("""COMPUTED_VALUE"""),15.9)</f>
        <v>15.9</v>
      </c>
    </row>
    <row r="656">
      <c r="A656" s="124" t="str">
        <f>IFERROR(__xludf.DUMMYFUNCTION("""COMPUTED_VALUE"""),"Y")</f>
        <v>Y</v>
      </c>
      <c r="B656" s="131" t="str">
        <f>IFERROR(__xludf.DUMMYFUNCTION("""COMPUTED_VALUE"""),"7")</f>
        <v>7</v>
      </c>
      <c r="C656" s="131" t="str">
        <f>IFERROR(__xludf.DUMMYFUNCTION("""COMPUTED_VALUE"""),"499-504")</f>
        <v>499-504</v>
      </c>
      <c r="D656" s="144">
        <f>IFERROR(__xludf.DUMMYFUNCTION("""COMPUTED_VALUE"""),45802.0)</f>
        <v>45802</v>
      </c>
      <c r="E656" s="147">
        <f>IFERROR(__xludf.DUMMYFUNCTION("""COMPUTED_VALUE"""),45809.0)</f>
        <v>45809</v>
      </c>
      <c r="F656" s="147">
        <f>IFERROR(__xludf.DUMMYFUNCTION("""COMPUTED_VALUE"""),45830.0)</f>
        <v>45830</v>
      </c>
      <c r="G656" s="131" t="str">
        <f>IFERROR(__xludf.DUMMYFUNCTION("""COMPUTED_VALUE"""),"D42-5R")</f>
        <v>D42-5R</v>
      </c>
      <c r="H656" s="126">
        <f>IFERROR(__xludf.DUMMYFUNCTION("""COMPUTED_VALUE"""),1.0)</f>
        <v>1</v>
      </c>
      <c r="I656" s="126">
        <f>IFERROR(__xludf.DUMMYFUNCTION("""COMPUTED_VALUE"""),13.0)</f>
        <v>13</v>
      </c>
      <c r="J656" s="131">
        <f>IFERROR(__xludf.DUMMYFUNCTION("""COMPUTED_VALUE"""),7.0)</f>
        <v>7</v>
      </c>
      <c r="K656" s="131">
        <f>IFERROR(__xludf.DUMMYFUNCTION("""COMPUTED_VALUE"""),7.0)</f>
        <v>7</v>
      </c>
      <c r="L656" s="131"/>
      <c r="M656" s="131"/>
      <c r="N656" s="131"/>
      <c r="O656" s="131"/>
      <c r="P656" s="131">
        <f>IFERROR(__xludf.DUMMYFUNCTION("""COMPUTED_VALUE"""),362.0)</f>
        <v>362</v>
      </c>
      <c r="Q656" s="131" t="str">
        <f>IFERROR(__xludf.DUMMYFUNCTION("""COMPUTED_VALUE"""),"S46,G49")</f>
        <v>S46,G49</v>
      </c>
      <c r="R656" s="131">
        <f>IFERROR(__xludf.DUMMYFUNCTION("""COMPUTED_VALUE"""),15.9)</f>
        <v>15.9</v>
      </c>
      <c r="T656" s="131"/>
      <c r="U656" s="131" t="str">
        <f>IFERROR(__xludf.DUMMYFUNCTION("""COMPUTED_VALUE"""),"7")</f>
        <v>7</v>
      </c>
      <c r="V656" s="131" t="str">
        <f>IFERROR(__xludf.DUMMYFUNCTION("""COMPUTED_VALUE"""),"523-528 خطا مطبعي")</f>
        <v>523-528 خطا مطبعي</v>
      </c>
      <c r="W656" s="144">
        <f>IFERROR(__xludf.DUMMYFUNCTION("""COMPUTED_VALUE"""),45805.0)</f>
        <v>45805</v>
      </c>
      <c r="X656" s="144">
        <f>IFERROR(__xludf.DUMMYFUNCTION("""COMPUTED_VALUE"""),45812.0)</f>
        <v>45812</v>
      </c>
      <c r="Y656" s="144">
        <f>IFERROR(__xludf.DUMMYFUNCTION("""COMPUTED_VALUE"""),45833.0)</f>
        <v>45833</v>
      </c>
      <c r="Z656" s="131" t="str">
        <f>IFERROR(__xludf.DUMMYFUNCTION("""COMPUTED_VALUE"""),"BRG12")</f>
        <v>BRG12</v>
      </c>
      <c r="AA656" s="131">
        <f>IFERROR(__xludf.DUMMYFUNCTION("""COMPUTED_VALUE"""),527.0)</f>
        <v>527</v>
      </c>
      <c r="AB656" s="131">
        <f>IFERROR(__xludf.DUMMYFUNCTION("""COMPUTED_VALUE"""),549.0)</f>
        <v>549</v>
      </c>
      <c r="AC656" s="131">
        <f>IFERROR(__xludf.DUMMYFUNCTION("""COMPUTED_VALUE"""),12.0)</f>
        <v>12</v>
      </c>
      <c r="AD656" s="131">
        <f>IFERROR(__xludf.DUMMYFUNCTION("""COMPUTED_VALUE"""),12.0)</f>
        <v>12</v>
      </c>
      <c r="AE656" s="131">
        <f>IFERROR(__xludf.DUMMYFUNCTION("""COMPUTED_VALUE"""),876.0)</f>
        <v>876</v>
      </c>
      <c r="AF656" s="131">
        <f>IFERROR(__xludf.DUMMYFUNCTION("""COMPUTED_VALUE"""),882.0)</f>
        <v>882</v>
      </c>
      <c r="AG656" s="131">
        <f>IFERROR(__xludf.DUMMYFUNCTION("""COMPUTED_VALUE"""),4.0)</f>
        <v>4</v>
      </c>
      <c r="AH656" s="131">
        <f>IFERROR(__xludf.DUMMYFUNCTION("""COMPUTED_VALUE"""),4.0)</f>
        <v>4</v>
      </c>
      <c r="AI656" s="131">
        <f>IFERROR(__xludf.DUMMYFUNCTION("""COMPUTED_VALUE"""),363.0)</f>
        <v>363</v>
      </c>
      <c r="AJ656" s="131" t="str">
        <f>IFERROR(__xludf.DUMMYFUNCTION("""COMPUTED_VALUE"""),"S47,G50")</f>
        <v>S47,G50</v>
      </c>
      <c r="AK656" s="131">
        <f>IFERROR(__xludf.DUMMYFUNCTION("""COMPUTED_VALUE"""),33.66)</f>
        <v>33.66</v>
      </c>
    </row>
    <row r="657">
      <c r="A657" s="124"/>
      <c r="B657" s="131" t="str">
        <f>IFERROR(__xludf.DUMMYFUNCTION("""COMPUTED_VALUE"""),"7")</f>
        <v>7</v>
      </c>
      <c r="C657" s="131" t="str">
        <f>IFERROR(__xludf.DUMMYFUNCTION("""COMPUTED_VALUE"""),"523-528 خطا مطبعي")</f>
        <v>523-528 خطا مطبعي</v>
      </c>
      <c r="D657" s="144">
        <f>IFERROR(__xludf.DUMMYFUNCTION("""COMPUTED_VALUE"""),45805.0)</f>
        <v>45805</v>
      </c>
      <c r="E657" s="147">
        <f>IFERROR(__xludf.DUMMYFUNCTION("""COMPUTED_VALUE"""),45812.0)</f>
        <v>45812</v>
      </c>
      <c r="F657" s="147">
        <f>IFERROR(__xludf.DUMMYFUNCTION("""COMPUTED_VALUE"""),45833.0)</f>
        <v>45833</v>
      </c>
      <c r="G657" s="131" t="str">
        <f>IFERROR(__xludf.DUMMYFUNCTION("""COMPUTED_VALUE"""),"BRG12")</f>
        <v>BRG12</v>
      </c>
      <c r="H657" s="126">
        <f>IFERROR(__xludf.DUMMYFUNCTION("""COMPUTED_VALUE"""),527.0)</f>
        <v>527</v>
      </c>
      <c r="I657" s="126">
        <f>IFERROR(__xludf.DUMMYFUNCTION("""COMPUTED_VALUE"""),549.0)</f>
        <v>549</v>
      </c>
      <c r="J657" s="131">
        <f>IFERROR(__xludf.DUMMYFUNCTION("""COMPUTED_VALUE"""),12.0)</f>
        <v>12</v>
      </c>
      <c r="K657" s="131">
        <f>IFERROR(__xludf.DUMMYFUNCTION("""COMPUTED_VALUE"""),12.0)</f>
        <v>12</v>
      </c>
      <c r="L657" s="131">
        <f>IFERROR(__xludf.DUMMYFUNCTION("""COMPUTED_VALUE"""),876.0)</f>
        <v>876</v>
      </c>
      <c r="M657" s="131">
        <f>IFERROR(__xludf.DUMMYFUNCTION("""COMPUTED_VALUE"""),882.0)</f>
        <v>882</v>
      </c>
      <c r="N657" s="131">
        <f>IFERROR(__xludf.DUMMYFUNCTION("""COMPUTED_VALUE"""),4.0)</f>
        <v>4</v>
      </c>
      <c r="O657" s="131">
        <f>IFERROR(__xludf.DUMMYFUNCTION("""COMPUTED_VALUE"""),4.0)</f>
        <v>4</v>
      </c>
      <c r="P657" s="131">
        <f>IFERROR(__xludf.DUMMYFUNCTION("""COMPUTED_VALUE"""),363.0)</f>
        <v>363</v>
      </c>
      <c r="Q657" s="131" t="str">
        <f>IFERROR(__xludf.DUMMYFUNCTION("""COMPUTED_VALUE"""),"S47,G50")</f>
        <v>S47,G50</v>
      </c>
      <c r="R657" s="131">
        <f>IFERROR(__xludf.DUMMYFUNCTION("""COMPUTED_VALUE"""),33.66)</f>
        <v>33.66</v>
      </c>
      <c r="T657" s="131"/>
      <c r="U657" s="131" t="str">
        <f>IFERROR(__xludf.DUMMYFUNCTION("""COMPUTED_VALUE"""),"7")</f>
        <v>7</v>
      </c>
      <c r="V657" s="131"/>
      <c r="W657" s="144">
        <f>IFERROR(__xludf.DUMMYFUNCTION("""COMPUTED_VALUE"""),45805.0)</f>
        <v>45805</v>
      </c>
      <c r="X657" s="144">
        <f>IFERROR(__xludf.DUMMYFUNCTION("""COMPUTED_VALUE"""),45812.0)</f>
        <v>45812</v>
      </c>
      <c r="Y657" s="144">
        <f>IFERROR(__xludf.DUMMYFUNCTION("""COMPUTED_VALUE"""),45833.0)</f>
        <v>45833</v>
      </c>
      <c r="Z657" s="131" t="str">
        <f>IFERROR(__xludf.DUMMYFUNCTION("""COMPUTED_VALUE"""),"BRG12")</f>
        <v>BRG12</v>
      </c>
      <c r="AA657" s="131"/>
      <c r="AB657" s="131"/>
      <c r="AC657" s="131"/>
      <c r="AD657" s="131"/>
      <c r="AE657" s="131">
        <f>IFERROR(__xludf.DUMMYFUNCTION("""COMPUTED_VALUE"""),1300.0)</f>
        <v>1300</v>
      </c>
      <c r="AF657" s="131">
        <f>IFERROR(__xludf.DUMMYFUNCTION("""COMPUTED_VALUE"""),1300.0)</f>
        <v>1300</v>
      </c>
      <c r="AG657" s="131">
        <f>IFERROR(__xludf.DUMMYFUNCTION("""COMPUTED_VALUE"""),1.0)</f>
        <v>1</v>
      </c>
      <c r="AH657" s="131">
        <f>IFERROR(__xludf.DUMMYFUNCTION("""COMPUTED_VALUE"""),1.0)</f>
        <v>1</v>
      </c>
      <c r="AI657" s="131">
        <f>IFERROR(__xludf.DUMMYFUNCTION("""COMPUTED_VALUE"""),363.0)</f>
        <v>363</v>
      </c>
      <c r="AJ657" s="131" t="str">
        <f>IFERROR(__xludf.DUMMYFUNCTION("""COMPUTED_VALUE"""),"S47,G50")</f>
        <v>S47,G50</v>
      </c>
      <c r="AK657" s="131">
        <f>IFERROR(__xludf.DUMMYFUNCTION("""COMPUTED_VALUE"""),33.66)</f>
        <v>33.66</v>
      </c>
    </row>
    <row r="658">
      <c r="A658" s="124"/>
      <c r="B658" s="131" t="str">
        <f>IFERROR(__xludf.DUMMYFUNCTION("""COMPUTED_VALUE"""),"7")</f>
        <v>7</v>
      </c>
      <c r="C658" s="131"/>
      <c r="D658" s="144">
        <f>IFERROR(__xludf.DUMMYFUNCTION("""COMPUTED_VALUE"""),45805.0)</f>
        <v>45805</v>
      </c>
      <c r="E658" s="147">
        <f>IFERROR(__xludf.DUMMYFUNCTION("""COMPUTED_VALUE"""),45812.0)</f>
        <v>45812</v>
      </c>
      <c r="F658" s="147">
        <f>IFERROR(__xludf.DUMMYFUNCTION("""COMPUTED_VALUE"""),45833.0)</f>
        <v>45833</v>
      </c>
      <c r="G658" s="131" t="str">
        <f>IFERROR(__xludf.DUMMYFUNCTION("""COMPUTED_VALUE"""),"BRG12")</f>
        <v>BRG12</v>
      </c>
      <c r="H658" s="126"/>
      <c r="I658" s="126"/>
      <c r="J658" s="131"/>
      <c r="K658" s="131"/>
      <c r="L658" s="131">
        <f>IFERROR(__xludf.DUMMYFUNCTION("""COMPUTED_VALUE"""),1300.0)</f>
        <v>1300</v>
      </c>
      <c r="M658" s="131">
        <f>IFERROR(__xludf.DUMMYFUNCTION("""COMPUTED_VALUE"""),1300.0)</f>
        <v>1300</v>
      </c>
      <c r="N658" s="131">
        <f>IFERROR(__xludf.DUMMYFUNCTION("""COMPUTED_VALUE"""),1.0)</f>
        <v>1</v>
      </c>
      <c r="O658" s="131">
        <f>IFERROR(__xludf.DUMMYFUNCTION("""COMPUTED_VALUE"""),1.0)</f>
        <v>1</v>
      </c>
      <c r="P658" s="131">
        <f>IFERROR(__xludf.DUMMYFUNCTION("""COMPUTED_VALUE"""),363.0)</f>
        <v>363</v>
      </c>
      <c r="Q658" s="131" t="str">
        <f>IFERROR(__xludf.DUMMYFUNCTION("""COMPUTED_VALUE"""),"S47,G50")</f>
        <v>S47,G50</v>
      </c>
      <c r="R658" s="131">
        <f>IFERROR(__xludf.DUMMYFUNCTION("""COMPUTED_VALUE"""),33.66)</f>
        <v>33.66</v>
      </c>
      <c r="T658" s="131"/>
      <c r="U658" s="131" t="str">
        <f>IFERROR(__xludf.DUMMYFUNCTION("""COMPUTED_VALUE"""),"7")</f>
        <v>7</v>
      </c>
      <c r="V658" s="131"/>
      <c r="W658" s="144">
        <f>IFERROR(__xludf.DUMMYFUNCTION("""COMPUTED_VALUE"""),45805.0)</f>
        <v>45805</v>
      </c>
      <c r="X658" s="144">
        <f>IFERROR(__xludf.DUMMYFUNCTION("""COMPUTED_VALUE"""),45812.0)</f>
        <v>45812</v>
      </c>
      <c r="Y658" s="144">
        <f>IFERROR(__xludf.DUMMYFUNCTION("""COMPUTED_VALUE"""),45833.0)</f>
        <v>45833</v>
      </c>
      <c r="Z658" s="131" t="str">
        <f>IFERROR(__xludf.DUMMYFUNCTION("""COMPUTED_VALUE"""),"BRG12")</f>
        <v>BRG12</v>
      </c>
      <c r="AA658" s="131"/>
      <c r="AB658" s="131"/>
      <c r="AC658" s="131"/>
      <c r="AD658" s="131"/>
      <c r="AE658" s="131">
        <f>IFERROR(__xludf.DUMMYFUNCTION("""COMPUTED_VALUE"""),2450.0)</f>
        <v>2450</v>
      </c>
      <c r="AF658" s="131">
        <f>IFERROR(__xludf.DUMMYFUNCTION("""COMPUTED_VALUE"""),2450.0)</f>
        <v>2450</v>
      </c>
      <c r="AG658" s="131">
        <f>IFERROR(__xludf.DUMMYFUNCTION("""COMPUTED_VALUE"""),1.0)</f>
        <v>1</v>
      </c>
      <c r="AH658" s="131">
        <f>IFERROR(__xludf.DUMMYFUNCTION("""COMPUTED_VALUE"""),1.0)</f>
        <v>1</v>
      </c>
      <c r="AI658" s="131">
        <f>IFERROR(__xludf.DUMMYFUNCTION("""COMPUTED_VALUE"""),363.0)</f>
        <v>363</v>
      </c>
      <c r="AJ658" s="131" t="str">
        <f>IFERROR(__xludf.DUMMYFUNCTION("""COMPUTED_VALUE"""),"S47,G50")</f>
        <v>S47,G50</v>
      </c>
      <c r="AK658" s="131">
        <f>IFERROR(__xludf.DUMMYFUNCTION("""COMPUTED_VALUE"""),33.66)</f>
        <v>33.66</v>
      </c>
    </row>
    <row r="659">
      <c r="A659" s="124"/>
      <c r="B659" s="131" t="str">
        <f>IFERROR(__xludf.DUMMYFUNCTION("""COMPUTED_VALUE"""),"7")</f>
        <v>7</v>
      </c>
      <c r="C659" s="131"/>
      <c r="D659" s="144">
        <f>IFERROR(__xludf.DUMMYFUNCTION("""COMPUTED_VALUE"""),45805.0)</f>
        <v>45805</v>
      </c>
      <c r="E659" s="147">
        <f>IFERROR(__xludf.DUMMYFUNCTION("""COMPUTED_VALUE"""),45812.0)</f>
        <v>45812</v>
      </c>
      <c r="F659" s="147">
        <f>IFERROR(__xludf.DUMMYFUNCTION("""COMPUTED_VALUE"""),45833.0)</f>
        <v>45833</v>
      </c>
      <c r="G659" s="131" t="str">
        <f>IFERROR(__xludf.DUMMYFUNCTION("""COMPUTED_VALUE"""),"BRG12")</f>
        <v>BRG12</v>
      </c>
      <c r="H659" s="126"/>
      <c r="I659" s="126"/>
      <c r="J659" s="131"/>
      <c r="K659" s="131"/>
      <c r="L659" s="131">
        <f>IFERROR(__xludf.DUMMYFUNCTION("""COMPUTED_VALUE"""),2450.0)</f>
        <v>2450</v>
      </c>
      <c r="M659" s="131">
        <f>IFERROR(__xludf.DUMMYFUNCTION("""COMPUTED_VALUE"""),2450.0)</f>
        <v>2450</v>
      </c>
      <c r="N659" s="131">
        <f>IFERROR(__xludf.DUMMYFUNCTION("""COMPUTED_VALUE"""),1.0)</f>
        <v>1</v>
      </c>
      <c r="O659" s="131">
        <f>IFERROR(__xludf.DUMMYFUNCTION("""COMPUTED_VALUE"""),1.0)</f>
        <v>1</v>
      </c>
      <c r="P659" s="131">
        <f>IFERROR(__xludf.DUMMYFUNCTION("""COMPUTED_VALUE"""),363.0)</f>
        <v>363</v>
      </c>
      <c r="Q659" s="131" t="str">
        <f>IFERROR(__xludf.DUMMYFUNCTION("""COMPUTED_VALUE"""),"S47,G50")</f>
        <v>S47,G50</v>
      </c>
      <c r="R659" s="131">
        <f>IFERROR(__xludf.DUMMYFUNCTION("""COMPUTED_VALUE"""),33.66)</f>
        <v>33.66</v>
      </c>
      <c r="T659" s="131"/>
      <c r="U659" s="131" t="str">
        <f>IFERROR(__xludf.DUMMYFUNCTION("""COMPUTED_VALUE"""),"7")</f>
        <v>7</v>
      </c>
      <c r="V659" s="131" t="str">
        <f>IFERROR(__xludf.DUMMYFUNCTION("""COMPUTED_VALUE"""),"529-234")</f>
        <v>529-234</v>
      </c>
      <c r="W659" s="144">
        <f>IFERROR(__xludf.DUMMYFUNCTION("""COMPUTED_VALUE"""),45805.0)</f>
        <v>45805</v>
      </c>
      <c r="X659" s="144">
        <f>IFERROR(__xludf.DUMMYFUNCTION("""COMPUTED_VALUE"""),45812.0)</f>
        <v>45812</v>
      </c>
      <c r="Y659" s="144">
        <f>IFERROR(__xludf.DUMMYFUNCTION("""COMPUTED_VALUE"""),45833.0)</f>
        <v>45833</v>
      </c>
      <c r="Z659" s="131" t="str">
        <f>IFERROR(__xludf.DUMMYFUNCTION("""COMPUTED_VALUE"""),"D42-5R")</f>
        <v>D42-5R</v>
      </c>
      <c r="AA659" s="131">
        <f>IFERROR(__xludf.DUMMYFUNCTION("""COMPUTED_VALUE"""),15.0)</f>
        <v>15</v>
      </c>
      <c r="AB659" s="131">
        <f>IFERROR(__xludf.DUMMYFUNCTION("""COMPUTED_VALUE"""),295.0)</f>
        <v>295</v>
      </c>
      <c r="AC659" s="131">
        <f>IFERROR(__xludf.DUMMYFUNCTION("""COMPUTED_VALUE"""),141.0)</f>
        <v>141</v>
      </c>
      <c r="AD659" s="131">
        <f>IFERROR(__xludf.DUMMYFUNCTION("""COMPUTED_VALUE"""),141.0)</f>
        <v>141</v>
      </c>
      <c r="AE659" s="131"/>
      <c r="AF659" s="131"/>
      <c r="AG659" s="131"/>
      <c r="AH659" s="131"/>
      <c r="AI659" s="131">
        <f>IFERROR(__xludf.DUMMYFUNCTION("""COMPUTED_VALUE"""),364.0)</f>
        <v>364</v>
      </c>
      <c r="AJ659" s="131" t="str">
        <f>IFERROR(__xludf.DUMMYFUNCTION("""COMPUTED_VALUE"""),"S47,G50")</f>
        <v>S47,G50</v>
      </c>
      <c r="AK659" s="131">
        <f>IFERROR(__xludf.DUMMYFUNCTION("""COMPUTED_VALUE"""),42.3)</f>
        <v>42.3</v>
      </c>
    </row>
    <row r="660">
      <c r="A660" s="124"/>
      <c r="B660" s="131" t="str">
        <f>IFERROR(__xludf.DUMMYFUNCTION("""COMPUTED_VALUE"""),"7")</f>
        <v>7</v>
      </c>
      <c r="C660" s="131" t="str">
        <f>IFERROR(__xludf.DUMMYFUNCTION("""COMPUTED_VALUE"""),"529-234")</f>
        <v>529-234</v>
      </c>
      <c r="D660" s="144">
        <f>IFERROR(__xludf.DUMMYFUNCTION("""COMPUTED_VALUE"""),45805.0)</f>
        <v>45805</v>
      </c>
      <c r="E660" s="147">
        <f>IFERROR(__xludf.DUMMYFUNCTION("""COMPUTED_VALUE"""),45812.0)</f>
        <v>45812</v>
      </c>
      <c r="F660" s="147">
        <f>IFERROR(__xludf.DUMMYFUNCTION("""COMPUTED_VALUE"""),45833.0)</f>
        <v>45833</v>
      </c>
      <c r="G660" s="131" t="str">
        <f>IFERROR(__xludf.DUMMYFUNCTION("""COMPUTED_VALUE"""),"D42-5R")</f>
        <v>D42-5R</v>
      </c>
      <c r="H660" s="126">
        <f>IFERROR(__xludf.DUMMYFUNCTION("""COMPUTED_VALUE"""),15.0)</f>
        <v>15</v>
      </c>
      <c r="I660" s="126">
        <f>IFERROR(__xludf.DUMMYFUNCTION("""COMPUTED_VALUE"""),295.0)</f>
        <v>295</v>
      </c>
      <c r="J660" s="131">
        <f>IFERROR(__xludf.DUMMYFUNCTION("""COMPUTED_VALUE"""),141.0)</f>
        <v>141</v>
      </c>
      <c r="K660" s="131">
        <f>IFERROR(__xludf.DUMMYFUNCTION("""COMPUTED_VALUE"""),141.0)</f>
        <v>141</v>
      </c>
      <c r="L660" s="131"/>
      <c r="M660" s="131"/>
      <c r="N660" s="131"/>
      <c r="O660" s="131"/>
      <c r="P660" s="131">
        <f>IFERROR(__xludf.DUMMYFUNCTION("""COMPUTED_VALUE"""),364.0)</f>
        <v>364</v>
      </c>
      <c r="Q660" s="131" t="str">
        <f>IFERROR(__xludf.DUMMYFUNCTION("""COMPUTED_VALUE"""),"S47,G50")</f>
        <v>S47,G50</v>
      </c>
      <c r="R660" s="131">
        <f>IFERROR(__xludf.DUMMYFUNCTION("""COMPUTED_VALUE"""),42.3)</f>
        <v>42.3</v>
      </c>
      <c r="T660" s="131"/>
      <c r="U660" s="131" t="str">
        <f>IFERROR(__xludf.DUMMYFUNCTION("""COMPUTED_VALUE"""),"7")</f>
        <v>7</v>
      </c>
      <c r="V660" s="131" t="str">
        <f>IFERROR(__xludf.DUMMYFUNCTION("""COMPUTED_VALUE"""),"535-540")</f>
        <v>535-540</v>
      </c>
      <c r="W660" s="144">
        <f>IFERROR(__xludf.DUMMYFUNCTION("""COMPUTED_VALUE"""),45806.0)</f>
        <v>45806</v>
      </c>
      <c r="X660" s="144">
        <f>IFERROR(__xludf.DUMMYFUNCTION("""COMPUTED_VALUE"""),45813.0)</f>
        <v>45813</v>
      </c>
      <c r="Y660" s="144">
        <f>IFERROR(__xludf.DUMMYFUNCTION("""COMPUTED_VALUE"""),45834.0)</f>
        <v>45834</v>
      </c>
      <c r="Z660" s="131" t="str">
        <f>IFERROR(__xludf.DUMMYFUNCTION("""COMPUTED_VALUE"""),"D42-5R")</f>
        <v>D42-5R</v>
      </c>
      <c r="AA660" s="131"/>
      <c r="AB660" s="131"/>
      <c r="AC660" s="131"/>
      <c r="AD660" s="131"/>
      <c r="AE660" s="131">
        <f>IFERROR(__xludf.DUMMYFUNCTION("""COMPUTED_VALUE"""),2.0)</f>
        <v>2</v>
      </c>
      <c r="AF660" s="131">
        <f>IFERROR(__xludf.DUMMYFUNCTION("""COMPUTED_VALUE"""),214.0)</f>
        <v>214</v>
      </c>
      <c r="AG660" s="131">
        <f>IFERROR(__xludf.DUMMYFUNCTION("""COMPUTED_VALUE"""),107.0)</f>
        <v>107</v>
      </c>
      <c r="AH660" s="131">
        <f>IFERROR(__xludf.DUMMYFUNCTION("""COMPUTED_VALUE"""),107.0)</f>
        <v>107</v>
      </c>
      <c r="AI660" s="131">
        <f>IFERROR(__xludf.DUMMYFUNCTION("""COMPUTED_VALUE"""),365.0)</f>
        <v>365</v>
      </c>
      <c r="AJ660" s="131" t="str">
        <f>IFERROR(__xludf.DUMMYFUNCTION("""COMPUTED_VALUE"""),"S47,G50")</f>
        <v>S47,G50</v>
      </c>
      <c r="AK660" s="131"/>
    </row>
    <row r="661">
      <c r="A661" s="124"/>
      <c r="B661" s="131" t="str">
        <f>IFERROR(__xludf.DUMMYFUNCTION("""COMPUTED_VALUE"""),"7")</f>
        <v>7</v>
      </c>
      <c r="C661" s="131" t="str">
        <f>IFERROR(__xludf.DUMMYFUNCTION("""COMPUTED_VALUE"""),"535-540")</f>
        <v>535-540</v>
      </c>
      <c r="D661" s="144">
        <f>IFERROR(__xludf.DUMMYFUNCTION("""COMPUTED_VALUE"""),45806.0)</f>
        <v>45806</v>
      </c>
      <c r="E661" s="147">
        <f>IFERROR(__xludf.DUMMYFUNCTION("""COMPUTED_VALUE"""),45813.0)</f>
        <v>45813</v>
      </c>
      <c r="F661" s="147">
        <f>IFERROR(__xludf.DUMMYFUNCTION("""COMPUTED_VALUE"""),45834.0)</f>
        <v>45834</v>
      </c>
      <c r="G661" s="131" t="str">
        <f>IFERROR(__xludf.DUMMYFUNCTION("""COMPUTED_VALUE"""),"D42-5R")</f>
        <v>D42-5R</v>
      </c>
      <c r="H661" s="126"/>
      <c r="I661" s="126"/>
      <c r="J661" s="131"/>
      <c r="K661" s="131"/>
      <c r="L661" s="131">
        <f>IFERROR(__xludf.DUMMYFUNCTION("""COMPUTED_VALUE"""),2.0)</f>
        <v>2</v>
      </c>
      <c r="M661" s="131">
        <f>IFERROR(__xludf.DUMMYFUNCTION("""COMPUTED_VALUE"""),214.0)</f>
        <v>214</v>
      </c>
      <c r="N661" s="131">
        <f>IFERROR(__xludf.DUMMYFUNCTION("""COMPUTED_VALUE"""),107.0)</f>
        <v>107</v>
      </c>
      <c r="O661" s="131">
        <f>IFERROR(__xludf.DUMMYFUNCTION("""COMPUTED_VALUE"""),107.0)</f>
        <v>107</v>
      </c>
      <c r="P661" s="131">
        <f>IFERROR(__xludf.DUMMYFUNCTION("""COMPUTED_VALUE"""),365.0)</f>
        <v>365</v>
      </c>
      <c r="Q661" s="131" t="str">
        <f>IFERROR(__xludf.DUMMYFUNCTION("""COMPUTED_VALUE"""),"S47,G50")</f>
        <v>S47,G50</v>
      </c>
      <c r="R661" s="131"/>
      <c r="T661" s="131"/>
      <c r="U661" s="131" t="str">
        <f>IFERROR(__xludf.DUMMYFUNCTION("""COMPUTED_VALUE"""),"7")</f>
        <v>7</v>
      </c>
      <c r="V661" s="131" t="str">
        <f>IFERROR(__xludf.DUMMYFUNCTION("""COMPUTED_VALUE"""),"541-546")</f>
        <v>541-546</v>
      </c>
      <c r="W661" s="144">
        <f>IFERROR(__xludf.DUMMYFUNCTION("""COMPUTED_VALUE"""),45806.0)</f>
        <v>45806</v>
      </c>
      <c r="X661" s="144">
        <f>IFERROR(__xludf.DUMMYFUNCTION("""COMPUTED_VALUE"""),45813.0)</f>
        <v>45813</v>
      </c>
      <c r="Y661" s="144">
        <f>IFERROR(__xludf.DUMMYFUNCTION("""COMPUTED_VALUE"""),45834.0)</f>
        <v>45834</v>
      </c>
      <c r="Z661" s="131" t="str">
        <f>IFERROR(__xludf.DUMMYFUNCTION("""COMPUTED_VALUE"""),"BRG12")</f>
        <v>BRG12</v>
      </c>
      <c r="AA661" s="131"/>
      <c r="AB661" s="131"/>
      <c r="AC661" s="131"/>
      <c r="AD661" s="131"/>
      <c r="AE661" s="131">
        <f>IFERROR(__xludf.DUMMYFUNCTION("""COMPUTED_VALUE"""),528.0)</f>
        <v>528</v>
      </c>
      <c r="AF661" s="131">
        <f>IFERROR(__xludf.DUMMYFUNCTION("""COMPUTED_VALUE"""),548.0)</f>
        <v>548</v>
      </c>
      <c r="AG661" s="131">
        <f>IFERROR(__xludf.DUMMYFUNCTION("""COMPUTED_VALUE"""),11.0)</f>
        <v>11</v>
      </c>
      <c r="AH661" s="131">
        <f>IFERROR(__xludf.DUMMYFUNCTION("""COMPUTED_VALUE"""),11.0)</f>
        <v>11</v>
      </c>
      <c r="AI661" s="131">
        <f>IFERROR(__xludf.DUMMYFUNCTION("""COMPUTED_VALUE"""),366.0)</f>
        <v>366</v>
      </c>
      <c r="AJ661" s="131" t="str">
        <f>IFERROR(__xludf.DUMMYFUNCTION("""COMPUTED_VALUE"""),"S47,G50")</f>
        <v>S47,G50</v>
      </c>
      <c r="AK661" s="131">
        <f>IFERROR(__xludf.DUMMYFUNCTION("""COMPUTED_VALUE"""),17.57)</f>
        <v>17.57</v>
      </c>
    </row>
    <row r="662">
      <c r="A662" s="124"/>
      <c r="B662" s="131" t="str">
        <f>IFERROR(__xludf.DUMMYFUNCTION("""COMPUTED_VALUE"""),"7")</f>
        <v>7</v>
      </c>
      <c r="C662" s="131" t="str">
        <f>IFERROR(__xludf.DUMMYFUNCTION("""COMPUTED_VALUE"""),"541-546")</f>
        <v>541-546</v>
      </c>
      <c r="D662" s="144">
        <f>IFERROR(__xludf.DUMMYFUNCTION("""COMPUTED_VALUE"""),45806.0)</f>
        <v>45806</v>
      </c>
      <c r="E662" s="147">
        <f>IFERROR(__xludf.DUMMYFUNCTION("""COMPUTED_VALUE"""),45813.0)</f>
        <v>45813</v>
      </c>
      <c r="F662" s="147">
        <f>IFERROR(__xludf.DUMMYFUNCTION("""COMPUTED_VALUE"""),45834.0)</f>
        <v>45834</v>
      </c>
      <c r="G662" s="131" t="str">
        <f>IFERROR(__xludf.DUMMYFUNCTION("""COMPUTED_VALUE"""),"BRG12")</f>
        <v>BRG12</v>
      </c>
      <c r="H662" s="126"/>
      <c r="I662" s="126"/>
      <c r="J662" s="131"/>
      <c r="K662" s="131"/>
      <c r="L662" s="131">
        <f>IFERROR(__xludf.DUMMYFUNCTION("""COMPUTED_VALUE"""),528.0)</f>
        <v>528</v>
      </c>
      <c r="M662" s="131">
        <f>IFERROR(__xludf.DUMMYFUNCTION("""COMPUTED_VALUE"""),548.0)</f>
        <v>548</v>
      </c>
      <c r="N662" s="131">
        <f>IFERROR(__xludf.DUMMYFUNCTION("""COMPUTED_VALUE"""),11.0)</f>
        <v>11</v>
      </c>
      <c r="O662" s="131">
        <f>IFERROR(__xludf.DUMMYFUNCTION("""COMPUTED_VALUE"""),11.0)</f>
        <v>11</v>
      </c>
      <c r="P662" s="131">
        <f>IFERROR(__xludf.DUMMYFUNCTION("""COMPUTED_VALUE"""),366.0)</f>
        <v>366</v>
      </c>
      <c r="Q662" s="131" t="str">
        <f>IFERROR(__xludf.DUMMYFUNCTION("""COMPUTED_VALUE"""),"S47,G50")</f>
        <v>S47,G50</v>
      </c>
      <c r="R662" s="131">
        <f>IFERROR(__xludf.DUMMYFUNCTION("""COMPUTED_VALUE"""),17.57)</f>
        <v>17.57</v>
      </c>
      <c r="T662" s="131"/>
      <c r="U662" s="131" t="str">
        <f>IFERROR(__xludf.DUMMYFUNCTION("""COMPUTED_VALUE"""),"8")</f>
        <v>8</v>
      </c>
      <c r="V662" s="131" t="str">
        <f>IFERROR(__xludf.DUMMYFUNCTION("""COMPUTED_VALUE"""),"559-564")</f>
        <v>559-564</v>
      </c>
      <c r="W662" s="144">
        <f>IFERROR(__xludf.DUMMYFUNCTION("""COMPUTED_VALUE"""),45808.0)</f>
        <v>45808</v>
      </c>
      <c r="X662" s="144">
        <f>IFERROR(__xludf.DUMMYFUNCTION("""COMPUTED_VALUE"""),45815.0)</f>
        <v>45815</v>
      </c>
      <c r="Y662" s="144">
        <f>IFERROR(__xludf.DUMMYFUNCTION("""COMPUTED_VALUE"""),45836.0)</f>
        <v>45836</v>
      </c>
      <c r="Z662" s="131" t="str">
        <f>IFERROR(__xludf.DUMMYFUNCTION("""COMPUTED_VALUE"""),"D42-5R")</f>
        <v>D42-5R</v>
      </c>
      <c r="AA662" s="131">
        <f>IFERROR(__xludf.DUMMYFUNCTION("""COMPUTED_VALUE"""),297.0)</f>
        <v>297</v>
      </c>
      <c r="AB662" s="131">
        <f>IFERROR(__xludf.DUMMYFUNCTION("""COMPUTED_VALUE"""),309.0)</f>
        <v>309</v>
      </c>
      <c r="AC662" s="131">
        <f>IFERROR(__xludf.DUMMYFUNCTION("""COMPUTED_VALUE"""),7.0)</f>
        <v>7</v>
      </c>
      <c r="AD662" s="131">
        <f>IFERROR(__xludf.DUMMYFUNCTION("""COMPUTED_VALUE"""),7.0)</f>
        <v>7</v>
      </c>
      <c r="AE662" s="131">
        <f>IFERROR(__xludf.DUMMYFUNCTION("""COMPUTED_VALUE"""),216.0)</f>
        <v>216</v>
      </c>
      <c r="AF662" s="131">
        <f>IFERROR(__xludf.DUMMYFUNCTION("""COMPUTED_VALUE"""),308.0)</f>
        <v>308</v>
      </c>
      <c r="AG662" s="131">
        <f>IFERROR(__xludf.DUMMYFUNCTION("""COMPUTED_VALUE"""),47.0)</f>
        <v>47</v>
      </c>
      <c r="AH662" s="131">
        <f>IFERROR(__xludf.DUMMYFUNCTION("""COMPUTED_VALUE"""),47.0)</f>
        <v>47</v>
      </c>
      <c r="AI662" s="131">
        <f>IFERROR(__xludf.DUMMYFUNCTION("""COMPUTED_VALUE"""),367.0)</f>
        <v>367</v>
      </c>
      <c r="AJ662" s="131" t="str">
        <f>IFERROR(__xludf.DUMMYFUNCTION("""COMPUTED_VALUE"""),"S47,G50")</f>
        <v>S47,G50</v>
      </c>
      <c r="AK662" s="131">
        <f>IFERROR(__xludf.DUMMYFUNCTION("""COMPUTED_VALUE"""),30.2)</f>
        <v>30.2</v>
      </c>
    </row>
    <row r="663">
      <c r="A663" s="124"/>
      <c r="B663" s="131" t="str">
        <f>IFERROR(__xludf.DUMMYFUNCTION("""COMPUTED_VALUE"""),"8")</f>
        <v>8</v>
      </c>
      <c r="C663" s="131" t="str">
        <f>IFERROR(__xludf.DUMMYFUNCTION("""COMPUTED_VALUE"""),"559-564")</f>
        <v>559-564</v>
      </c>
      <c r="D663" s="144">
        <f>IFERROR(__xludf.DUMMYFUNCTION("""COMPUTED_VALUE"""),45808.0)</f>
        <v>45808</v>
      </c>
      <c r="E663" s="147">
        <f>IFERROR(__xludf.DUMMYFUNCTION("""COMPUTED_VALUE"""),45815.0)</f>
        <v>45815</v>
      </c>
      <c r="F663" s="147">
        <f>IFERROR(__xludf.DUMMYFUNCTION("""COMPUTED_VALUE"""),45836.0)</f>
        <v>45836</v>
      </c>
      <c r="G663" s="131" t="str">
        <f>IFERROR(__xludf.DUMMYFUNCTION("""COMPUTED_VALUE"""),"D42-5R")</f>
        <v>D42-5R</v>
      </c>
      <c r="H663" s="126">
        <f>IFERROR(__xludf.DUMMYFUNCTION("""COMPUTED_VALUE"""),297.0)</f>
        <v>297</v>
      </c>
      <c r="I663" s="126">
        <f>IFERROR(__xludf.DUMMYFUNCTION("""COMPUTED_VALUE"""),309.0)</f>
        <v>309</v>
      </c>
      <c r="J663" s="131">
        <f>IFERROR(__xludf.DUMMYFUNCTION("""COMPUTED_VALUE"""),7.0)</f>
        <v>7</v>
      </c>
      <c r="K663" s="131">
        <f>IFERROR(__xludf.DUMMYFUNCTION("""COMPUTED_VALUE"""),7.0)</f>
        <v>7</v>
      </c>
      <c r="L663" s="131">
        <f>IFERROR(__xludf.DUMMYFUNCTION("""COMPUTED_VALUE"""),216.0)</f>
        <v>216</v>
      </c>
      <c r="M663" s="131">
        <f>IFERROR(__xludf.DUMMYFUNCTION("""COMPUTED_VALUE"""),308.0)</f>
        <v>308</v>
      </c>
      <c r="N663" s="131">
        <f>IFERROR(__xludf.DUMMYFUNCTION("""COMPUTED_VALUE"""),47.0)</f>
        <v>47</v>
      </c>
      <c r="O663" s="131">
        <f>IFERROR(__xludf.DUMMYFUNCTION("""COMPUTED_VALUE"""),47.0)</f>
        <v>47</v>
      </c>
      <c r="P663" s="131">
        <f>IFERROR(__xludf.DUMMYFUNCTION("""COMPUTED_VALUE"""),367.0)</f>
        <v>367</v>
      </c>
      <c r="Q663" s="131" t="str">
        <f>IFERROR(__xludf.DUMMYFUNCTION("""COMPUTED_VALUE"""),"S47,G50")</f>
        <v>S47,G50</v>
      </c>
      <c r="R663" s="131">
        <f>IFERROR(__xludf.DUMMYFUNCTION("""COMPUTED_VALUE"""),30.2)</f>
        <v>30.2</v>
      </c>
      <c r="T663" s="131"/>
      <c r="U663" s="131" t="str">
        <f>IFERROR(__xludf.DUMMYFUNCTION("""COMPUTED_VALUE"""),"8")</f>
        <v>8</v>
      </c>
      <c r="V663" s="131" t="str">
        <f>IFERROR(__xludf.DUMMYFUNCTION("""COMPUTED_VALUE"""),"559-564")</f>
        <v>559-564</v>
      </c>
      <c r="W663" s="144">
        <f>IFERROR(__xludf.DUMMYFUNCTION("""COMPUTED_VALUE"""),45808.0)</f>
        <v>45808</v>
      </c>
      <c r="X663" s="144">
        <f>IFERROR(__xludf.DUMMYFUNCTION("""COMPUTED_VALUE"""),45815.0)</f>
        <v>45815</v>
      </c>
      <c r="Y663" s="144">
        <f>IFERROR(__xludf.DUMMYFUNCTION("""COMPUTED_VALUE"""),45836.0)</f>
        <v>45836</v>
      </c>
      <c r="Z663" s="131" t="str">
        <f>IFERROR(__xludf.DUMMYFUNCTION("""COMPUTED_VALUE"""),"D42-3R")</f>
        <v>D42-3R</v>
      </c>
      <c r="AA663" s="131">
        <f>IFERROR(__xludf.DUMMYFUNCTION("""COMPUTED_VALUE"""),1.0)</f>
        <v>1</v>
      </c>
      <c r="AB663" s="131">
        <f>IFERROR(__xludf.DUMMYFUNCTION("""COMPUTED_VALUE"""),93.0)</f>
        <v>93</v>
      </c>
      <c r="AC663" s="131">
        <f>IFERROR(__xludf.DUMMYFUNCTION("""COMPUTED_VALUE"""),47.0)</f>
        <v>47</v>
      </c>
      <c r="AD663" s="131">
        <f>IFERROR(__xludf.DUMMYFUNCTION("""COMPUTED_VALUE"""),47.0)</f>
        <v>47</v>
      </c>
      <c r="AE663" s="131"/>
      <c r="AF663" s="131"/>
      <c r="AG663" s="131"/>
      <c r="AH663" s="131"/>
      <c r="AI663" s="131">
        <f>IFERROR(__xludf.DUMMYFUNCTION("""COMPUTED_VALUE"""),367.0)</f>
        <v>367</v>
      </c>
      <c r="AJ663" s="131" t="str">
        <f>IFERROR(__xludf.DUMMYFUNCTION("""COMPUTED_VALUE"""),"S47,G50")</f>
        <v>S47,G50</v>
      </c>
      <c r="AK663" s="131">
        <f>IFERROR(__xludf.DUMMYFUNCTION("""COMPUTED_VALUE"""),30.2)</f>
        <v>30.2</v>
      </c>
    </row>
    <row r="664">
      <c r="A664" s="124"/>
      <c r="B664" s="131" t="str">
        <f>IFERROR(__xludf.DUMMYFUNCTION("""COMPUTED_VALUE"""),"8")</f>
        <v>8</v>
      </c>
      <c r="C664" s="131" t="str">
        <f>IFERROR(__xludf.DUMMYFUNCTION("""COMPUTED_VALUE"""),"559-564")</f>
        <v>559-564</v>
      </c>
      <c r="D664" s="144">
        <f>IFERROR(__xludf.DUMMYFUNCTION("""COMPUTED_VALUE"""),45808.0)</f>
        <v>45808</v>
      </c>
      <c r="E664" s="147">
        <f>IFERROR(__xludf.DUMMYFUNCTION("""COMPUTED_VALUE"""),45815.0)</f>
        <v>45815</v>
      </c>
      <c r="F664" s="147">
        <f>IFERROR(__xludf.DUMMYFUNCTION("""COMPUTED_VALUE"""),45836.0)</f>
        <v>45836</v>
      </c>
      <c r="G664" s="131" t="str">
        <f>IFERROR(__xludf.DUMMYFUNCTION("""COMPUTED_VALUE"""),"D42-3R")</f>
        <v>D42-3R</v>
      </c>
      <c r="H664" s="126">
        <f>IFERROR(__xludf.DUMMYFUNCTION("""COMPUTED_VALUE"""),1.0)</f>
        <v>1</v>
      </c>
      <c r="I664" s="126">
        <f>IFERROR(__xludf.DUMMYFUNCTION("""COMPUTED_VALUE"""),93.0)</f>
        <v>93</v>
      </c>
      <c r="J664" s="131">
        <f>IFERROR(__xludf.DUMMYFUNCTION("""COMPUTED_VALUE"""),47.0)</f>
        <v>47</v>
      </c>
      <c r="K664" s="131">
        <f>IFERROR(__xludf.DUMMYFUNCTION("""COMPUTED_VALUE"""),47.0)</f>
        <v>47</v>
      </c>
      <c r="L664" s="131"/>
      <c r="M664" s="131"/>
      <c r="N664" s="131"/>
      <c r="O664" s="131"/>
      <c r="P664" s="131">
        <f>IFERROR(__xludf.DUMMYFUNCTION("""COMPUTED_VALUE"""),367.0)</f>
        <v>367</v>
      </c>
      <c r="Q664" s="131" t="str">
        <f>IFERROR(__xludf.DUMMYFUNCTION("""COMPUTED_VALUE"""),"S47,G50")</f>
        <v>S47,G50</v>
      </c>
      <c r="R664" s="131">
        <f>IFERROR(__xludf.DUMMYFUNCTION("""COMPUTED_VALUE"""),30.2)</f>
        <v>30.2</v>
      </c>
      <c r="T664" s="131"/>
      <c r="U664" s="131"/>
      <c r="V664" s="131" t="str">
        <f>IFERROR(__xludf.DUMMYFUNCTION("""COMPUTED_VALUE"""),"571-576")</f>
        <v>571-576</v>
      </c>
      <c r="W664" s="144">
        <f>IFERROR(__xludf.DUMMYFUNCTION("""COMPUTED_VALUE"""),45809.0)</f>
        <v>45809</v>
      </c>
      <c r="X664" s="144">
        <f>IFERROR(__xludf.DUMMYFUNCTION("""COMPUTED_VALUE"""),45816.0)</f>
        <v>45816</v>
      </c>
      <c r="Y664" s="144">
        <f>IFERROR(__xludf.DUMMYFUNCTION("""COMPUTED_VALUE"""),45837.0)</f>
        <v>45837</v>
      </c>
      <c r="Z664" s="131" t="str">
        <f>IFERROR(__xludf.DUMMYFUNCTION("""COMPUTED_VALUE"""),"DC40")</f>
        <v>DC40</v>
      </c>
      <c r="AA664" s="131">
        <f>IFERROR(__xludf.DUMMYFUNCTION("""COMPUTED_VALUE"""),289.0)</f>
        <v>289</v>
      </c>
      <c r="AB664" s="131">
        <f>IFERROR(__xludf.DUMMYFUNCTION("""COMPUTED_VALUE"""),291.0)</f>
        <v>291</v>
      </c>
      <c r="AC664" s="131">
        <f>IFERROR(__xludf.DUMMYFUNCTION("""COMPUTED_VALUE"""),2.0)</f>
        <v>2</v>
      </c>
      <c r="AD664" s="131">
        <f>IFERROR(__xludf.DUMMYFUNCTION("""COMPUTED_VALUE"""),2.0)</f>
        <v>2</v>
      </c>
      <c r="AE664" s="131">
        <f>IFERROR(__xludf.DUMMYFUNCTION("""COMPUTED_VALUE"""),272.0)</f>
        <v>272</v>
      </c>
      <c r="AF664" s="131">
        <f>IFERROR(__xludf.DUMMYFUNCTION("""COMPUTED_VALUE"""),276.0)</f>
        <v>276</v>
      </c>
      <c r="AG664" s="131">
        <f>IFERROR(__xludf.DUMMYFUNCTION("""COMPUTED_VALUE"""),3.0)</f>
        <v>3</v>
      </c>
      <c r="AH664" s="131">
        <f>IFERROR(__xludf.DUMMYFUNCTION("""COMPUTED_VALUE"""),3.0)</f>
        <v>3</v>
      </c>
      <c r="AI664" s="131">
        <f>IFERROR(__xludf.DUMMYFUNCTION("""COMPUTED_VALUE"""),368.0)</f>
        <v>368</v>
      </c>
      <c r="AJ664" s="131" t="str">
        <f>IFERROR(__xludf.DUMMYFUNCTION("""COMPUTED_VALUE"""),"S48,G51")</f>
        <v>S48,G51</v>
      </c>
      <c r="AK664" s="131">
        <f>IFERROR(__xludf.DUMMYFUNCTION("""COMPUTED_VALUE"""),10.013)</f>
        <v>10.013</v>
      </c>
    </row>
    <row r="665">
      <c r="A665" s="124"/>
      <c r="B665" s="131"/>
      <c r="C665" s="131" t="str">
        <f>IFERROR(__xludf.DUMMYFUNCTION("""COMPUTED_VALUE"""),"571-576")</f>
        <v>571-576</v>
      </c>
      <c r="D665" s="144">
        <f>IFERROR(__xludf.DUMMYFUNCTION("""COMPUTED_VALUE"""),45809.0)</f>
        <v>45809</v>
      </c>
      <c r="E665" s="147">
        <f>IFERROR(__xludf.DUMMYFUNCTION("""COMPUTED_VALUE"""),45816.0)</f>
        <v>45816</v>
      </c>
      <c r="F665" s="147">
        <f>IFERROR(__xludf.DUMMYFUNCTION("""COMPUTED_VALUE"""),45837.0)</f>
        <v>45837</v>
      </c>
      <c r="G665" s="131" t="str">
        <f>IFERROR(__xludf.DUMMYFUNCTION("""COMPUTED_VALUE"""),"DC40")</f>
        <v>DC40</v>
      </c>
      <c r="H665" s="126">
        <f>IFERROR(__xludf.DUMMYFUNCTION("""COMPUTED_VALUE"""),289.0)</f>
        <v>289</v>
      </c>
      <c r="I665" s="126">
        <f>IFERROR(__xludf.DUMMYFUNCTION("""COMPUTED_VALUE"""),291.0)</f>
        <v>291</v>
      </c>
      <c r="J665" s="131">
        <f>IFERROR(__xludf.DUMMYFUNCTION("""COMPUTED_VALUE"""),2.0)</f>
        <v>2</v>
      </c>
      <c r="K665" s="131">
        <f>IFERROR(__xludf.DUMMYFUNCTION("""COMPUTED_VALUE"""),2.0)</f>
        <v>2</v>
      </c>
      <c r="L665" s="131">
        <f>IFERROR(__xludf.DUMMYFUNCTION("""COMPUTED_VALUE"""),272.0)</f>
        <v>272</v>
      </c>
      <c r="M665" s="131">
        <f>IFERROR(__xludf.DUMMYFUNCTION("""COMPUTED_VALUE"""),276.0)</f>
        <v>276</v>
      </c>
      <c r="N665" s="131">
        <f>IFERROR(__xludf.DUMMYFUNCTION("""COMPUTED_VALUE"""),3.0)</f>
        <v>3</v>
      </c>
      <c r="O665" s="131">
        <f>IFERROR(__xludf.DUMMYFUNCTION("""COMPUTED_VALUE"""),3.0)</f>
        <v>3</v>
      </c>
      <c r="P665" s="131">
        <f>IFERROR(__xludf.DUMMYFUNCTION("""COMPUTED_VALUE"""),368.0)</f>
        <v>368</v>
      </c>
      <c r="Q665" s="131" t="str">
        <f>IFERROR(__xludf.DUMMYFUNCTION("""COMPUTED_VALUE"""),"S48,G51")</f>
        <v>S48,G51</v>
      </c>
      <c r="R665" s="131">
        <f>IFERROR(__xludf.DUMMYFUNCTION("""COMPUTED_VALUE"""),10.013)</f>
        <v>10.013</v>
      </c>
      <c r="T665" s="131"/>
      <c r="U665" s="131"/>
      <c r="V665" s="131" t="str">
        <f>IFERROR(__xludf.DUMMYFUNCTION("""COMPUTED_VALUE"""),"571-576")</f>
        <v>571-576</v>
      </c>
      <c r="W665" s="144">
        <f>IFERROR(__xludf.DUMMYFUNCTION("""COMPUTED_VALUE"""),45809.0)</f>
        <v>45809</v>
      </c>
      <c r="X665" s="144">
        <f>IFERROR(__xludf.DUMMYFUNCTION("""COMPUTED_VALUE"""),45816.0)</f>
        <v>45816</v>
      </c>
      <c r="Y665" s="144">
        <f>IFERROR(__xludf.DUMMYFUNCTION("""COMPUTED_VALUE"""),45837.0)</f>
        <v>45837</v>
      </c>
      <c r="Z665" s="131" t="str">
        <f>IFERROR(__xludf.DUMMYFUNCTION("""COMPUTED_VALUE"""),"DC40")</f>
        <v>DC40</v>
      </c>
      <c r="AA665" s="131">
        <f>IFERROR(__xludf.DUMMYFUNCTION("""COMPUTED_VALUE"""),279.0)</f>
        <v>279</v>
      </c>
      <c r="AB665" s="131">
        <f>IFERROR(__xludf.DUMMYFUNCTION("""COMPUTED_VALUE"""),279.0)</f>
        <v>279</v>
      </c>
      <c r="AC665" s="131">
        <f>IFERROR(__xludf.DUMMYFUNCTION("""COMPUTED_VALUE"""),1.0)</f>
        <v>1</v>
      </c>
      <c r="AD665" s="131"/>
      <c r="AE665" s="131"/>
      <c r="AF665" s="131"/>
      <c r="AG665" s="131"/>
      <c r="AH665" s="131"/>
      <c r="AI665" s="131">
        <f>IFERROR(__xludf.DUMMYFUNCTION("""COMPUTED_VALUE"""),368.0)</f>
        <v>368</v>
      </c>
      <c r="AJ665" s="131" t="str">
        <f>IFERROR(__xludf.DUMMYFUNCTION("""COMPUTED_VALUE"""),"S48,G51")</f>
        <v>S48,G51</v>
      </c>
      <c r="AK665" s="131"/>
    </row>
    <row r="666">
      <c r="A666" s="124"/>
      <c r="B666" s="131"/>
      <c r="C666" s="131" t="str">
        <f>IFERROR(__xludf.DUMMYFUNCTION("""COMPUTED_VALUE"""),"571-576")</f>
        <v>571-576</v>
      </c>
      <c r="D666" s="144">
        <f>IFERROR(__xludf.DUMMYFUNCTION("""COMPUTED_VALUE"""),45809.0)</f>
        <v>45809</v>
      </c>
      <c r="E666" s="147">
        <f>IFERROR(__xludf.DUMMYFUNCTION("""COMPUTED_VALUE"""),45816.0)</f>
        <v>45816</v>
      </c>
      <c r="F666" s="147">
        <f>IFERROR(__xludf.DUMMYFUNCTION("""COMPUTED_VALUE"""),45837.0)</f>
        <v>45837</v>
      </c>
      <c r="G666" s="131" t="str">
        <f>IFERROR(__xludf.DUMMYFUNCTION("""COMPUTED_VALUE"""),"DC40")</f>
        <v>DC40</v>
      </c>
      <c r="H666" s="126">
        <f>IFERROR(__xludf.DUMMYFUNCTION("""COMPUTED_VALUE"""),279.0)</f>
        <v>279</v>
      </c>
      <c r="I666" s="126">
        <f>IFERROR(__xludf.DUMMYFUNCTION("""COMPUTED_VALUE"""),279.0)</f>
        <v>279</v>
      </c>
      <c r="J666" s="131">
        <f>IFERROR(__xludf.DUMMYFUNCTION("""COMPUTED_VALUE"""),1.0)</f>
        <v>1</v>
      </c>
      <c r="K666" s="131"/>
      <c r="L666" s="131"/>
      <c r="M666" s="131"/>
      <c r="N666" s="131"/>
      <c r="O666" s="131"/>
      <c r="P666" s="131">
        <f>IFERROR(__xludf.DUMMYFUNCTION("""COMPUTED_VALUE"""),368.0)</f>
        <v>368</v>
      </c>
      <c r="Q666" s="131" t="str">
        <f>IFERROR(__xludf.DUMMYFUNCTION("""COMPUTED_VALUE"""),"S48,G51")</f>
        <v>S48,G51</v>
      </c>
      <c r="R666" s="131"/>
      <c r="T666" s="131"/>
      <c r="U666" s="131"/>
      <c r="V666" s="131" t="str">
        <f>IFERROR(__xludf.DUMMYFUNCTION("""COMPUTED_VALUE"""),"571-576")</f>
        <v>571-576</v>
      </c>
      <c r="W666" s="144">
        <f>IFERROR(__xludf.DUMMYFUNCTION("""COMPUTED_VALUE"""),45809.0)</f>
        <v>45809</v>
      </c>
      <c r="X666" s="144">
        <f>IFERROR(__xludf.DUMMYFUNCTION("""COMPUTED_VALUE"""),45816.0)</f>
        <v>45816</v>
      </c>
      <c r="Y666" s="144">
        <f>IFERROR(__xludf.DUMMYFUNCTION("""COMPUTED_VALUE"""),45837.0)</f>
        <v>45837</v>
      </c>
      <c r="Z666" s="131" t="str">
        <f>IFERROR(__xludf.DUMMYFUNCTION("""COMPUTED_VALUE"""),"DC40")</f>
        <v>DC40</v>
      </c>
      <c r="AA666" s="131">
        <f>IFERROR(__xludf.DUMMYFUNCTION("""COMPUTED_VALUE"""),281.0)</f>
        <v>281</v>
      </c>
      <c r="AB666" s="131">
        <f>IFERROR(__xludf.DUMMYFUNCTION("""COMPUTED_VALUE"""),281.0)</f>
        <v>281</v>
      </c>
      <c r="AC666" s="131">
        <f>IFERROR(__xludf.DUMMYFUNCTION("""COMPUTED_VALUE"""),1.0)</f>
        <v>1</v>
      </c>
      <c r="AD666" s="131"/>
      <c r="AE666" s="131"/>
      <c r="AF666" s="131"/>
      <c r="AG666" s="131"/>
      <c r="AH666" s="131"/>
      <c r="AI666" s="131">
        <f>IFERROR(__xludf.DUMMYFUNCTION("""COMPUTED_VALUE"""),368.0)</f>
        <v>368</v>
      </c>
      <c r="AJ666" s="131" t="str">
        <f>IFERROR(__xludf.DUMMYFUNCTION("""COMPUTED_VALUE"""),"S48,G51")</f>
        <v>S48,G51</v>
      </c>
      <c r="AK666" s="131"/>
    </row>
    <row r="667">
      <c r="A667" s="124"/>
      <c r="B667" s="131"/>
      <c r="C667" s="131" t="str">
        <f>IFERROR(__xludf.DUMMYFUNCTION("""COMPUTED_VALUE"""),"571-576")</f>
        <v>571-576</v>
      </c>
      <c r="D667" s="144">
        <f>IFERROR(__xludf.DUMMYFUNCTION("""COMPUTED_VALUE"""),45809.0)</f>
        <v>45809</v>
      </c>
      <c r="E667" s="147">
        <f>IFERROR(__xludf.DUMMYFUNCTION("""COMPUTED_VALUE"""),45816.0)</f>
        <v>45816</v>
      </c>
      <c r="F667" s="147">
        <f>IFERROR(__xludf.DUMMYFUNCTION("""COMPUTED_VALUE"""),45837.0)</f>
        <v>45837</v>
      </c>
      <c r="G667" s="131" t="str">
        <f>IFERROR(__xludf.DUMMYFUNCTION("""COMPUTED_VALUE"""),"DC40")</f>
        <v>DC40</v>
      </c>
      <c r="H667" s="126">
        <f>IFERROR(__xludf.DUMMYFUNCTION("""COMPUTED_VALUE"""),281.0)</f>
        <v>281</v>
      </c>
      <c r="I667" s="126">
        <f>IFERROR(__xludf.DUMMYFUNCTION("""COMPUTED_VALUE"""),281.0)</f>
        <v>281</v>
      </c>
      <c r="J667" s="131">
        <f>IFERROR(__xludf.DUMMYFUNCTION("""COMPUTED_VALUE"""),1.0)</f>
        <v>1</v>
      </c>
      <c r="K667" s="131"/>
      <c r="L667" s="131"/>
      <c r="M667" s="131"/>
      <c r="N667" s="131"/>
      <c r="O667" s="131"/>
      <c r="P667" s="131">
        <f>IFERROR(__xludf.DUMMYFUNCTION("""COMPUTED_VALUE"""),368.0)</f>
        <v>368</v>
      </c>
      <c r="Q667" s="131" t="str">
        <f>IFERROR(__xludf.DUMMYFUNCTION("""COMPUTED_VALUE"""),"S48,G51")</f>
        <v>S48,G51</v>
      </c>
      <c r="R667" s="131"/>
      <c r="T667" s="131"/>
      <c r="U667" s="131"/>
      <c r="V667" s="131" t="str">
        <f>IFERROR(__xludf.DUMMYFUNCTION("""COMPUTED_VALUE"""),"571-576")</f>
        <v>571-576</v>
      </c>
      <c r="W667" s="144">
        <f>IFERROR(__xludf.DUMMYFUNCTION("""COMPUTED_VALUE"""),45809.0)</f>
        <v>45809</v>
      </c>
      <c r="X667" s="144">
        <f>IFERROR(__xludf.DUMMYFUNCTION("""COMPUTED_VALUE"""),45816.0)</f>
        <v>45816</v>
      </c>
      <c r="Y667" s="144">
        <f>IFERROR(__xludf.DUMMYFUNCTION("""COMPUTED_VALUE"""),45837.0)</f>
        <v>45837</v>
      </c>
      <c r="Z667" s="131" t="str">
        <f>IFERROR(__xludf.DUMMYFUNCTION("""COMPUTED_VALUE"""),"DC40")</f>
        <v>DC40</v>
      </c>
      <c r="AA667" s="131">
        <f>IFERROR(__xludf.DUMMYFUNCTION("""COMPUTED_VALUE"""),681.0)</f>
        <v>681</v>
      </c>
      <c r="AB667" s="131">
        <f>IFERROR(__xludf.DUMMYFUNCTION("""COMPUTED_VALUE"""),681.0)</f>
        <v>681</v>
      </c>
      <c r="AC667" s="131">
        <f>IFERROR(__xludf.DUMMYFUNCTION("""COMPUTED_VALUE"""),1.0)</f>
        <v>1</v>
      </c>
      <c r="AD667" s="131"/>
      <c r="AE667" s="131">
        <f>IFERROR(__xludf.DUMMYFUNCTION("""COMPUTED_VALUE"""),682.0)</f>
        <v>682</v>
      </c>
      <c r="AF667" s="131">
        <f>IFERROR(__xludf.DUMMYFUNCTION("""COMPUTED_VALUE"""),682.0)</f>
        <v>682</v>
      </c>
      <c r="AG667" s="131">
        <f>IFERROR(__xludf.DUMMYFUNCTION("""COMPUTED_VALUE"""),1.0)</f>
        <v>1</v>
      </c>
      <c r="AH667" s="131">
        <f>IFERROR(__xludf.DUMMYFUNCTION("""COMPUTED_VALUE"""),1.0)</f>
        <v>1</v>
      </c>
      <c r="AI667" s="131">
        <f>IFERROR(__xludf.DUMMYFUNCTION("""COMPUTED_VALUE"""),368.0)</f>
        <v>368</v>
      </c>
      <c r="AJ667" s="131" t="str">
        <f>IFERROR(__xludf.DUMMYFUNCTION("""COMPUTED_VALUE"""),"S48,G51")</f>
        <v>S48,G51</v>
      </c>
      <c r="AK667" s="131"/>
    </row>
    <row r="668">
      <c r="A668" s="124"/>
      <c r="B668" s="131"/>
      <c r="C668" s="131" t="str">
        <f>IFERROR(__xludf.DUMMYFUNCTION("""COMPUTED_VALUE"""),"571-576")</f>
        <v>571-576</v>
      </c>
      <c r="D668" s="144">
        <f>IFERROR(__xludf.DUMMYFUNCTION("""COMPUTED_VALUE"""),45809.0)</f>
        <v>45809</v>
      </c>
      <c r="E668" s="147">
        <f>IFERROR(__xludf.DUMMYFUNCTION("""COMPUTED_VALUE"""),45816.0)</f>
        <v>45816</v>
      </c>
      <c r="F668" s="147">
        <f>IFERROR(__xludf.DUMMYFUNCTION("""COMPUTED_VALUE"""),45837.0)</f>
        <v>45837</v>
      </c>
      <c r="G668" s="131" t="str">
        <f>IFERROR(__xludf.DUMMYFUNCTION("""COMPUTED_VALUE"""),"DC40")</f>
        <v>DC40</v>
      </c>
      <c r="H668" s="126">
        <f>IFERROR(__xludf.DUMMYFUNCTION("""COMPUTED_VALUE"""),681.0)</f>
        <v>681</v>
      </c>
      <c r="I668" s="126">
        <f>IFERROR(__xludf.DUMMYFUNCTION("""COMPUTED_VALUE"""),681.0)</f>
        <v>681</v>
      </c>
      <c r="J668" s="131">
        <f>IFERROR(__xludf.DUMMYFUNCTION("""COMPUTED_VALUE"""),1.0)</f>
        <v>1</v>
      </c>
      <c r="K668" s="131"/>
      <c r="L668" s="131">
        <f>IFERROR(__xludf.DUMMYFUNCTION("""COMPUTED_VALUE"""),682.0)</f>
        <v>682</v>
      </c>
      <c r="M668" s="131">
        <f>IFERROR(__xludf.DUMMYFUNCTION("""COMPUTED_VALUE"""),682.0)</f>
        <v>682</v>
      </c>
      <c r="N668" s="131">
        <f>IFERROR(__xludf.DUMMYFUNCTION("""COMPUTED_VALUE"""),1.0)</f>
        <v>1</v>
      </c>
      <c r="O668" s="131">
        <f>IFERROR(__xludf.DUMMYFUNCTION("""COMPUTED_VALUE"""),1.0)</f>
        <v>1</v>
      </c>
      <c r="P668" s="131">
        <f>IFERROR(__xludf.DUMMYFUNCTION("""COMPUTED_VALUE"""),368.0)</f>
        <v>368</v>
      </c>
      <c r="Q668" s="131" t="str">
        <f>IFERROR(__xludf.DUMMYFUNCTION("""COMPUTED_VALUE"""),"S48,G51")</f>
        <v>S48,G51</v>
      </c>
      <c r="R668" s="131"/>
      <c r="T668" s="131"/>
      <c r="U668" s="131" t="str">
        <f>IFERROR(__xludf.DUMMYFUNCTION("""COMPUTED_VALUE"""),"8")</f>
        <v>8</v>
      </c>
      <c r="V668" s="131" t="str">
        <f>IFERROR(__xludf.DUMMYFUNCTION("""COMPUTED_VALUE"""),"571-576")</f>
        <v>571-576</v>
      </c>
      <c r="W668" s="144">
        <f>IFERROR(__xludf.DUMMYFUNCTION("""COMPUTED_VALUE"""),45809.0)</f>
        <v>45809</v>
      </c>
      <c r="X668" s="144">
        <f>IFERROR(__xludf.DUMMYFUNCTION("""COMPUTED_VALUE"""),45816.0)</f>
        <v>45816</v>
      </c>
      <c r="Y668" s="144">
        <f>IFERROR(__xludf.DUMMYFUNCTION("""COMPUTED_VALUE"""),45837.0)</f>
        <v>45837</v>
      </c>
      <c r="Z668" s="131" t="str">
        <f>IFERROR(__xludf.DUMMYFUNCTION("""COMPUTED_VALUE"""),"D40-4R")</f>
        <v>D40-4R</v>
      </c>
      <c r="AA668" s="131">
        <f>IFERROR(__xludf.DUMMYFUNCTION("""COMPUTED_VALUE"""),1.0)</f>
        <v>1</v>
      </c>
      <c r="AB668" s="131">
        <f>IFERROR(__xludf.DUMMYFUNCTION("""COMPUTED_VALUE"""),1.0)</f>
        <v>1</v>
      </c>
      <c r="AC668" s="131">
        <f>IFERROR(__xludf.DUMMYFUNCTION("""COMPUTED_VALUE"""),1.0)</f>
        <v>1</v>
      </c>
      <c r="AD668" s="131"/>
      <c r="AE668" s="131"/>
      <c r="AF668" s="131"/>
      <c r="AG668" s="131"/>
      <c r="AH668" s="131"/>
      <c r="AI668" s="131">
        <f>IFERROR(__xludf.DUMMYFUNCTION("""COMPUTED_VALUE"""),368.0)</f>
        <v>368</v>
      </c>
      <c r="AJ668" s="131" t="str">
        <f>IFERROR(__xludf.DUMMYFUNCTION("""COMPUTED_VALUE"""),"S48,G51")</f>
        <v>S48,G51</v>
      </c>
      <c r="AK668" s="131"/>
    </row>
    <row r="669">
      <c r="A669" s="124"/>
      <c r="B669" s="131" t="str">
        <f>IFERROR(__xludf.DUMMYFUNCTION("""COMPUTED_VALUE"""),"8")</f>
        <v>8</v>
      </c>
      <c r="C669" s="131" t="str">
        <f>IFERROR(__xludf.DUMMYFUNCTION("""COMPUTED_VALUE"""),"571-576")</f>
        <v>571-576</v>
      </c>
      <c r="D669" s="144">
        <f>IFERROR(__xludf.DUMMYFUNCTION("""COMPUTED_VALUE"""),45809.0)</f>
        <v>45809</v>
      </c>
      <c r="E669" s="147">
        <f>IFERROR(__xludf.DUMMYFUNCTION("""COMPUTED_VALUE"""),45816.0)</f>
        <v>45816</v>
      </c>
      <c r="F669" s="147">
        <f>IFERROR(__xludf.DUMMYFUNCTION("""COMPUTED_VALUE"""),45837.0)</f>
        <v>45837</v>
      </c>
      <c r="G669" s="131" t="str">
        <f>IFERROR(__xludf.DUMMYFUNCTION("""COMPUTED_VALUE"""),"D40-4R")</f>
        <v>D40-4R</v>
      </c>
      <c r="H669" s="126">
        <f>IFERROR(__xludf.DUMMYFUNCTION("""COMPUTED_VALUE"""),1.0)</f>
        <v>1</v>
      </c>
      <c r="I669" s="126">
        <f>IFERROR(__xludf.DUMMYFUNCTION("""COMPUTED_VALUE"""),1.0)</f>
        <v>1</v>
      </c>
      <c r="J669" s="131">
        <f>IFERROR(__xludf.DUMMYFUNCTION("""COMPUTED_VALUE"""),1.0)</f>
        <v>1</v>
      </c>
      <c r="K669" s="131"/>
      <c r="L669" s="131"/>
      <c r="M669" s="131"/>
      <c r="N669" s="131"/>
      <c r="O669" s="131"/>
      <c r="P669" s="131">
        <f>IFERROR(__xludf.DUMMYFUNCTION("""COMPUTED_VALUE"""),368.0)</f>
        <v>368</v>
      </c>
      <c r="Q669" s="131" t="str">
        <f>IFERROR(__xludf.DUMMYFUNCTION("""COMPUTED_VALUE"""),"S48,G51")</f>
        <v>S48,G51</v>
      </c>
      <c r="R669" s="131"/>
      <c r="T669" s="131"/>
      <c r="U669" s="131" t="str">
        <f>IFERROR(__xludf.DUMMYFUNCTION("""COMPUTED_VALUE"""),"8")</f>
        <v>8</v>
      </c>
      <c r="V669" s="131" t="str">
        <f>IFERROR(__xludf.DUMMYFUNCTION("""COMPUTED_VALUE"""),"571-576")</f>
        <v>571-576</v>
      </c>
      <c r="W669" s="144">
        <f>IFERROR(__xludf.DUMMYFUNCTION("""COMPUTED_VALUE"""),45809.0)</f>
        <v>45809</v>
      </c>
      <c r="X669" s="144">
        <f>IFERROR(__xludf.DUMMYFUNCTION("""COMPUTED_VALUE"""),45816.0)</f>
        <v>45816</v>
      </c>
      <c r="Y669" s="144">
        <f>IFERROR(__xludf.DUMMYFUNCTION("""COMPUTED_VALUE"""),45837.0)</f>
        <v>45837</v>
      </c>
      <c r="Z669" s="131" t="str">
        <f>IFERROR(__xludf.DUMMYFUNCTION("""COMPUTED_VALUE"""),"D40-4L")</f>
        <v>D40-4L</v>
      </c>
      <c r="AA669" s="131">
        <f>IFERROR(__xludf.DUMMYFUNCTION("""COMPUTED_VALUE"""),1.0)</f>
        <v>1</v>
      </c>
      <c r="AB669" s="131">
        <f>IFERROR(__xludf.DUMMYFUNCTION("""COMPUTED_VALUE"""),1.0)</f>
        <v>1</v>
      </c>
      <c r="AC669" s="131">
        <f>IFERROR(__xludf.DUMMYFUNCTION("""COMPUTED_VALUE"""),1.0)</f>
        <v>1</v>
      </c>
      <c r="AD669" s="131"/>
      <c r="AE669" s="131"/>
      <c r="AF669" s="131"/>
      <c r="AG669" s="131"/>
      <c r="AH669" s="131"/>
      <c r="AI669" s="131">
        <f>IFERROR(__xludf.DUMMYFUNCTION("""COMPUTED_VALUE"""),368.0)</f>
        <v>368</v>
      </c>
      <c r="AJ669" s="131" t="str">
        <f>IFERROR(__xludf.DUMMYFUNCTION("""COMPUTED_VALUE"""),"S48,G51")</f>
        <v>S48,G51</v>
      </c>
      <c r="AK669" s="131"/>
    </row>
    <row r="670">
      <c r="A670" s="124"/>
      <c r="B670" s="131" t="str">
        <f>IFERROR(__xludf.DUMMYFUNCTION("""COMPUTED_VALUE"""),"8")</f>
        <v>8</v>
      </c>
      <c r="C670" s="131" t="str">
        <f>IFERROR(__xludf.DUMMYFUNCTION("""COMPUTED_VALUE"""),"571-576")</f>
        <v>571-576</v>
      </c>
      <c r="D670" s="144">
        <f>IFERROR(__xludf.DUMMYFUNCTION("""COMPUTED_VALUE"""),45809.0)</f>
        <v>45809</v>
      </c>
      <c r="E670" s="147">
        <f>IFERROR(__xludf.DUMMYFUNCTION("""COMPUTED_VALUE"""),45816.0)</f>
        <v>45816</v>
      </c>
      <c r="F670" s="147">
        <f>IFERROR(__xludf.DUMMYFUNCTION("""COMPUTED_VALUE"""),45837.0)</f>
        <v>45837</v>
      </c>
      <c r="G670" s="131" t="str">
        <f>IFERROR(__xludf.DUMMYFUNCTION("""COMPUTED_VALUE"""),"D40-4L")</f>
        <v>D40-4L</v>
      </c>
      <c r="H670" s="126">
        <f>IFERROR(__xludf.DUMMYFUNCTION("""COMPUTED_VALUE"""),1.0)</f>
        <v>1</v>
      </c>
      <c r="I670" s="126">
        <f>IFERROR(__xludf.DUMMYFUNCTION("""COMPUTED_VALUE"""),1.0)</f>
        <v>1</v>
      </c>
      <c r="J670" s="131">
        <f>IFERROR(__xludf.DUMMYFUNCTION("""COMPUTED_VALUE"""),1.0)</f>
        <v>1</v>
      </c>
      <c r="K670" s="131"/>
      <c r="L670" s="131"/>
      <c r="M670" s="131"/>
      <c r="N670" s="131"/>
      <c r="O670" s="131"/>
      <c r="P670" s="131">
        <f>IFERROR(__xludf.DUMMYFUNCTION("""COMPUTED_VALUE"""),368.0)</f>
        <v>368</v>
      </c>
      <c r="Q670" s="131" t="str">
        <f>IFERROR(__xludf.DUMMYFUNCTION("""COMPUTED_VALUE"""),"S48,G51")</f>
        <v>S48,G51</v>
      </c>
      <c r="R670" s="131"/>
      <c r="T670" s="131"/>
      <c r="U670" s="131" t="str">
        <f>IFERROR(__xludf.DUMMYFUNCTION("""COMPUTED_VALUE"""),"8")</f>
        <v>8</v>
      </c>
      <c r="V670" s="131" t="str">
        <f>IFERROR(__xludf.DUMMYFUNCTION("""COMPUTED_VALUE"""),"571-576")</f>
        <v>571-576</v>
      </c>
      <c r="W670" s="144">
        <f>IFERROR(__xludf.DUMMYFUNCTION("""COMPUTED_VALUE"""),45809.0)</f>
        <v>45809</v>
      </c>
      <c r="X670" s="144">
        <f>IFERROR(__xludf.DUMMYFUNCTION("""COMPUTED_VALUE"""),45816.0)</f>
        <v>45816</v>
      </c>
      <c r="Y670" s="144">
        <f>IFERROR(__xludf.DUMMYFUNCTION("""COMPUTED_VALUE"""),45837.0)</f>
        <v>45837</v>
      </c>
      <c r="Z670" s="131" t="str">
        <f>IFERROR(__xludf.DUMMYFUNCTION("""COMPUTED_VALUE"""),"D40-1R")</f>
        <v>D40-1R</v>
      </c>
      <c r="AA670" s="131">
        <f>IFERROR(__xludf.DUMMYFUNCTION("""COMPUTED_VALUE"""),25.0)</f>
        <v>25</v>
      </c>
      <c r="AB670" s="131">
        <f>IFERROR(__xludf.DUMMYFUNCTION("""COMPUTED_VALUE"""),41.0)</f>
        <v>41</v>
      </c>
      <c r="AC670" s="131">
        <f>IFERROR(__xludf.DUMMYFUNCTION("""COMPUTED_VALUE"""),9.0)</f>
        <v>9</v>
      </c>
      <c r="AD670" s="131"/>
      <c r="AE670" s="131"/>
      <c r="AF670" s="131"/>
      <c r="AG670" s="131"/>
      <c r="AH670" s="131"/>
      <c r="AI670" s="131">
        <f>IFERROR(__xludf.DUMMYFUNCTION("""COMPUTED_VALUE"""),368.0)</f>
        <v>368</v>
      </c>
      <c r="AJ670" s="131" t="str">
        <f>IFERROR(__xludf.DUMMYFUNCTION("""COMPUTED_VALUE"""),"S48,G51")</f>
        <v>S48,G51</v>
      </c>
      <c r="AK670" s="131"/>
    </row>
    <row r="671">
      <c r="A671" s="124"/>
      <c r="B671" s="131" t="str">
        <f>IFERROR(__xludf.DUMMYFUNCTION("""COMPUTED_VALUE"""),"8")</f>
        <v>8</v>
      </c>
      <c r="C671" s="131" t="str">
        <f>IFERROR(__xludf.DUMMYFUNCTION("""COMPUTED_VALUE"""),"571-576")</f>
        <v>571-576</v>
      </c>
      <c r="D671" s="144">
        <f>IFERROR(__xludf.DUMMYFUNCTION("""COMPUTED_VALUE"""),45809.0)</f>
        <v>45809</v>
      </c>
      <c r="E671" s="147">
        <f>IFERROR(__xludf.DUMMYFUNCTION("""COMPUTED_VALUE"""),45816.0)</f>
        <v>45816</v>
      </c>
      <c r="F671" s="147">
        <f>IFERROR(__xludf.DUMMYFUNCTION("""COMPUTED_VALUE"""),45837.0)</f>
        <v>45837</v>
      </c>
      <c r="G671" s="131" t="str">
        <f>IFERROR(__xludf.DUMMYFUNCTION("""COMPUTED_VALUE"""),"D40-1R")</f>
        <v>D40-1R</v>
      </c>
      <c r="H671" s="126">
        <f>IFERROR(__xludf.DUMMYFUNCTION("""COMPUTED_VALUE"""),25.0)</f>
        <v>25</v>
      </c>
      <c r="I671" s="126">
        <f>IFERROR(__xludf.DUMMYFUNCTION("""COMPUTED_VALUE"""),41.0)</f>
        <v>41</v>
      </c>
      <c r="J671" s="131">
        <f>IFERROR(__xludf.DUMMYFUNCTION("""COMPUTED_VALUE"""),9.0)</f>
        <v>9</v>
      </c>
      <c r="K671" s="131"/>
      <c r="L671" s="131"/>
      <c r="M671" s="131"/>
      <c r="N671" s="131"/>
      <c r="O671" s="131"/>
      <c r="P671" s="131">
        <f>IFERROR(__xludf.DUMMYFUNCTION("""COMPUTED_VALUE"""),368.0)</f>
        <v>368</v>
      </c>
      <c r="Q671" s="131" t="str">
        <f>IFERROR(__xludf.DUMMYFUNCTION("""COMPUTED_VALUE"""),"S48,G51")</f>
        <v>S48,G51</v>
      </c>
      <c r="R671" s="131"/>
      <c r="T671" s="131"/>
      <c r="U671" s="131" t="str">
        <f>IFERROR(__xludf.DUMMYFUNCTION("""COMPUTED_VALUE"""),"8")</f>
        <v>8</v>
      </c>
      <c r="V671" s="131" t="str">
        <f>IFERROR(__xludf.DUMMYFUNCTION("""COMPUTED_VALUE"""),"577-582")</f>
        <v>577-582</v>
      </c>
      <c r="W671" s="144">
        <f>IFERROR(__xludf.DUMMYFUNCTION("""COMPUTED_VALUE"""),45809.0)</f>
        <v>45809</v>
      </c>
      <c r="X671" s="144">
        <f>IFERROR(__xludf.DUMMYFUNCTION("""COMPUTED_VALUE"""),45816.0)</f>
        <v>45816</v>
      </c>
      <c r="Y671" s="144">
        <f>IFERROR(__xludf.DUMMYFUNCTION("""COMPUTED_VALUE"""),45837.0)</f>
        <v>45837</v>
      </c>
      <c r="Z671" s="131" t="str">
        <f>IFERROR(__xludf.DUMMYFUNCTION("""COMPUTED_VALUE"""),"D42-3R")</f>
        <v>D42-3R</v>
      </c>
      <c r="AA671" s="131">
        <f>IFERROR(__xludf.DUMMYFUNCTION("""COMPUTED_VALUE"""),95.0)</f>
        <v>95</v>
      </c>
      <c r="AB671" s="131">
        <f>IFERROR(__xludf.DUMMYFUNCTION("""COMPUTED_VALUE"""),261.0)</f>
        <v>261</v>
      </c>
      <c r="AC671" s="131">
        <f>IFERROR(__xludf.DUMMYFUNCTION("""COMPUTED_VALUE"""),84.0)</f>
        <v>84</v>
      </c>
      <c r="AD671" s="131">
        <f>IFERROR(__xludf.DUMMYFUNCTION("""COMPUTED_VALUE"""),84.0)</f>
        <v>84</v>
      </c>
      <c r="AE671" s="131">
        <f>IFERROR(__xludf.DUMMYFUNCTION("""COMPUTED_VALUE"""),2.0)</f>
        <v>2</v>
      </c>
      <c r="AF671" s="131">
        <f>IFERROR(__xludf.DUMMYFUNCTION("""COMPUTED_VALUE"""),92.0)</f>
        <v>92</v>
      </c>
      <c r="AG671" s="131">
        <f>IFERROR(__xludf.DUMMYFUNCTION("""COMPUTED_VALUE"""),46.0)</f>
        <v>46</v>
      </c>
      <c r="AH671" s="131">
        <f>IFERROR(__xludf.DUMMYFUNCTION("""COMPUTED_VALUE"""),46.0)</f>
        <v>46</v>
      </c>
      <c r="AI671" s="131">
        <f>IFERROR(__xludf.DUMMYFUNCTION("""COMPUTED_VALUE"""),369.0)</f>
        <v>369</v>
      </c>
      <c r="AJ671" s="131" t="str">
        <f>IFERROR(__xludf.DUMMYFUNCTION("""COMPUTED_VALUE"""),"S47,G51")</f>
        <v>S47,G51</v>
      </c>
      <c r="AK671" s="131">
        <f>IFERROR(__xludf.DUMMYFUNCTION("""COMPUTED_VALUE"""),39.0)</f>
        <v>39</v>
      </c>
    </row>
    <row r="672">
      <c r="A672" s="124"/>
      <c r="B672" s="131" t="str">
        <f>IFERROR(__xludf.DUMMYFUNCTION("""COMPUTED_VALUE"""),"8")</f>
        <v>8</v>
      </c>
      <c r="C672" s="131" t="str">
        <f>IFERROR(__xludf.DUMMYFUNCTION("""COMPUTED_VALUE"""),"577-582")</f>
        <v>577-582</v>
      </c>
      <c r="D672" s="144">
        <f>IFERROR(__xludf.DUMMYFUNCTION("""COMPUTED_VALUE"""),45809.0)</f>
        <v>45809</v>
      </c>
      <c r="E672" s="147">
        <f>IFERROR(__xludf.DUMMYFUNCTION("""COMPUTED_VALUE"""),45816.0)</f>
        <v>45816</v>
      </c>
      <c r="F672" s="147">
        <f>IFERROR(__xludf.DUMMYFUNCTION("""COMPUTED_VALUE"""),45837.0)</f>
        <v>45837</v>
      </c>
      <c r="G672" s="131" t="str">
        <f>IFERROR(__xludf.DUMMYFUNCTION("""COMPUTED_VALUE"""),"D42-3R")</f>
        <v>D42-3R</v>
      </c>
      <c r="H672" s="126">
        <f>IFERROR(__xludf.DUMMYFUNCTION("""COMPUTED_VALUE"""),95.0)</f>
        <v>95</v>
      </c>
      <c r="I672" s="126">
        <f>IFERROR(__xludf.DUMMYFUNCTION("""COMPUTED_VALUE"""),261.0)</f>
        <v>261</v>
      </c>
      <c r="J672" s="131">
        <f>IFERROR(__xludf.DUMMYFUNCTION("""COMPUTED_VALUE"""),84.0)</f>
        <v>84</v>
      </c>
      <c r="K672" s="131">
        <f>IFERROR(__xludf.DUMMYFUNCTION("""COMPUTED_VALUE"""),84.0)</f>
        <v>84</v>
      </c>
      <c r="L672" s="131">
        <f>IFERROR(__xludf.DUMMYFUNCTION("""COMPUTED_VALUE"""),2.0)</f>
        <v>2</v>
      </c>
      <c r="M672" s="131">
        <f>IFERROR(__xludf.DUMMYFUNCTION("""COMPUTED_VALUE"""),92.0)</f>
        <v>92</v>
      </c>
      <c r="N672" s="131">
        <f>IFERROR(__xludf.DUMMYFUNCTION("""COMPUTED_VALUE"""),46.0)</f>
        <v>46</v>
      </c>
      <c r="O672" s="131">
        <f>IFERROR(__xludf.DUMMYFUNCTION("""COMPUTED_VALUE"""),46.0)</f>
        <v>46</v>
      </c>
      <c r="P672" s="131">
        <f>IFERROR(__xludf.DUMMYFUNCTION("""COMPUTED_VALUE"""),369.0)</f>
        <v>369</v>
      </c>
      <c r="Q672" s="131" t="str">
        <f>IFERROR(__xludf.DUMMYFUNCTION("""COMPUTED_VALUE"""),"S47,G51")</f>
        <v>S47,G51</v>
      </c>
      <c r="R672" s="131">
        <f>IFERROR(__xludf.DUMMYFUNCTION("""COMPUTED_VALUE"""),39.0)</f>
        <v>39</v>
      </c>
      <c r="T672" s="131"/>
      <c r="U672" s="131" t="str">
        <f>IFERROR(__xludf.DUMMYFUNCTION("""COMPUTED_VALUE"""),"8")</f>
        <v>8</v>
      </c>
      <c r="V672" s="131" t="str">
        <f>IFERROR(__xludf.DUMMYFUNCTION("""COMPUTED_VALUE"""),"595-600")</f>
        <v>595-600</v>
      </c>
      <c r="W672" s="144">
        <f>IFERROR(__xludf.DUMMYFUNCTION("""COMPUTED_VALUE"""),45810.0)</f>
        <v>45810</v>
      </c>
      <c r="X672" s="144">
        <f>IFERROR(__xludf.DUMMYFUNCTION("""COMPUTED_VALUE"""),45817.0)</f>
        <v>45817</v>
      </c>
      <c r="Y672" s="144">
        <f>IFERROR(__xludf.DUMMYFUNCTION("""COMPUTED_VALUE"""),45838.0)</f>
        <v>45838</v>
      </c>
      <c r="Z672" s="131" t="str">
        <f>IFERROR(__xludf.DUMMYFUNCTION("""COMPUTED_VALUE"""),"D42-3R")</f>
        <v>D42-3R</v>
      </c>
      <c r="AA672" s="131">
        <f>IFERROR(__xludf.DUMMYFUNCTION("""COMPUTED_VALUE"""),263.0)</f>
        <v>263</v>
      </c>
      <c r="AB672" s="131">
        <f>IFERROR(__xludf.DUMMYFUNCTION("""COMPUTED_VALUE"""),307.0)</f>
        <v>307</v>
      </c>
      <c r="AC672" s="131">
        <f>IFERROR(__xludf.DUMMYFUNCTION("""COMPUTED_VALUE"""),23.0)</f>
        <v>23</v>
      </c>
      <c r="AD672" s="131">
        <f>IFERROR(__xludf.DUMMYFUNCTION("""COMPUTED_VALUE"""),23.0)</f>
        <v>23</v>
      </c>
      <c r="AE672" s="131">
        <f>IFERROR(__xludf.DUMMYFUNCTION("""COMPUTED_VALUE"""),94.0)</f>
        <v>94</v>
      </c>
      <c r="AF672" s="131">
        <f>IFERROR(__xludf.DUMMYFUNCTION("""COMPUTED_VALUE"""),260.0)</f>
        <v>260</v>
      </c>
      <c r="AG672" s="131">
        <f>IFERROR(__xludf.DUMMYFUNCTION("""COMPUTED_VALUE"""),84.0)</f>
        <v>84</v>
      </c>
      <c r="AH672" s="131">
        <f>IFERROR(__xludf.DUMMYFUNCTION("""COMPUTED_VALUE"""),84.0)</f>
        <v>84</v>
      </c>
      <c r="AI672" s="131">
        <f>IFERROR(__xludf.DUMMYFUNCTION("""COMPUTED_VALUE"""),370.0)</f>
        <v>370</v>
      </c>
      <c r="AJ672" s="131" t="str">
        <f>IFERROR(__xludf.DUMMYFUNCTION("""COMPUTED_VALUE"""),"S48,G51")</f>
        <v>S48,G51</v>
      </c>
      <c r="AK672" s="131">
        <f>IFERROR(__xludf.DUMMYFUNCTION("""COMPUTED_VALUE"""),40.2)</f>
        <v>40.2</v>
      </c>
    </row>
    <row r="673">
      <c r="A673" s="124"/>
      <c r="B673" s="131" t="str">
        <f>IFERROR(__xludf.DUMMYFUNCTION("""COMPUTED_VALUE"""),"8")</f>
        <v>8</v>
      </c>
      <c r="C673" s="131" t="str">
        <f>IFERROR(__xludf.DUMMYFUNCTION("""COMPUTED_VALUE"""),"595-600")</f>
        <v>595-600</v>
      </c>
      <c r="D673" s="144">
        <f>IFERROR(__xludf.DUMMYFUNCTION("""COMPUTED_VALUE"""),45810.0)</f>
        <v>45810</v>
      </c>
      <c r="E673" s="147">
        <f>IFERROR(__xludf.DUMMYFUNCTION("""COMPUTED_VALUE"""),45817.0)</f>
        <v>45817</v>
      </c>
      <c r="F673" s="147">
        <f>IFERROR(__xludf.DUMMYFUNCTION("""COMPUTED_VALUE"""),45838.0)</f>
        <v>45838</v>
      </c>
      <c r="G673" s="131" t="str">
        <f>IFERROR(__xludf.DUMMYFUNCTION("""COMPUTED_VALUE"""),"D42-3R")</f>
        <v>D42-3R</v>
      </c>
      <c r="H673" s="126">
        <f>IFERROR(__xludf.DUMMYFUNCTION("""COMPUTED_VALUE"""),263.0)</f>
        <v>263</v>
      </c>
      <c r="I673" s="126">
        <f>IFERROR(__xludf.DUMMYFUNCTION("""COMPUTED_VALUE"""),307.0)</f>
        <v>307</v>
      </c>
      <c r="J673" s="131">
        <f>IFERROR(__xludf.DUMMYFUNCTION("""COMPUTED_VALUE"""),23.0)</f>
        <v>23</v>
      </c>
      <c r="K673" s="131">
        <f>IFERROR(__xludf.DUMMYFUNCTION("""COMPUTED_VALUE"""),23.0)</f>
        <v>23</v>
      </c>
      <c r="L673" s="131">
        <f>IFERROR(__xludf.DUMMYFUNCTION("""COMPUTED_VALUE"""),94.0)</f>
        <v>94</v>
      </c>
      <c r="M673" s="131">
        <f>IFERROR(__xludf.DUMMYFUNCTION("""COMPUTED_VALUE"""),260.0)</f>
        <v>260</v>
      </c>
      <c r="N673" s="131">
        <f>IFERROR(__xludf.DUMMYFUNCTION("""COMPUTED_VALUE"""),84.0)</f>
        <v>84</v>
      </c>
      <c r="O673" s="131">
        <f>IFERROR(__xludf.DUMMYFUNCTION("""COMPUTED_VALUE"""),84.0)</f>
        <v>84</v>
      </c>
      <c r="P673" s="131">
        <f>IFERROR(__xludf.DUMMYFUNCTION("""COMPUTED_VALUE"""),370.0)</f>
        <v>370</v>
      </c>
      <c r="Q673" s="131" t="str">
        <f>IFERROR(__xludf.DUMMYFUNCTION("""COMPUTED_VALUE"""),"S48,G51")</f>
        <v>S48,G51</v>
      </c>
      <c r="R673" s="131">
        <f>IFERROR(__xludf.DUMMYFUNCTION("""COMPUTED_VALUE"""),40.2)</f>
        <v>40.2</v>
      </c>
      <c r="T673" s="131"/>
      <c r="U673" s="131" t="str">
        <f>IFERROR(__xludf.DUMMYFUNCTION("""COMPUTED_VALUE"""),"8")</f>
        <v>8</v>
      </c>
      <c r="V673" s="131" t="str">
        <f>IFERROR(__xludf.DUMMYFUNCTION("""COMPUTED_VALUE"""),"595-600")</f>
        <v>595-600</v>
      </c>
      <c r="W673" s="144">
        <f>IFERROR(__xludf.DUMMYFUNCTION("""COMPUTED_VALUE"""),45810.0)</f>
        <v>45810</v>
      </c>
      <c r="X673" s="144">
        <f>IFERROR(__xludf.DUMMYFUNCTION("""COMPUTED_VALUE"""),45817.0)</f>
        <v>45817</v>
      </c>
      <c r="Y673" s="144">
        <f>IFERROR(__xludf.DUMMYFUNCTION("""COMPUTED_VALUE"""),45838.0)</f>
        <v>45838</v>
      </c>
      <c r="Z673" s="131" t="str">
        <f>IFERROR(__xludf.DUMMYFUNCTION("""COMPUTED_VALUE"""),"D42-4R")</f>
        <v>D42-4R</v>
      </c>
      <c r="AA673" s="131">
        <f>IFERROR(__xludf.DUMMYFUNCTION("""COMPUTED_VALUE"""),1.0)</f>
        <v>1</v>
      </c>
      <c r="AB673" s="131">
        <f>IFERROR(__xludf.DUMMYFUNCTION("""COMPUTED_VALUE"""),53.0)</f>
        <v>53</v>
      </c>
      <c r="AC673" s="131">
        <f>IFERROR(__xludf.DUMMYFUNCTION("""COMPUTED_VALUE"""),27.0)</f>
        <v>27</v>
      </c>
      <c r="AD673" s="131">
        <f>IFERROR(__xludf.DUMMYFUNCTION("""COMPUTED_VALUE"""),27.0)</f>
        <v>27</v>
      </c>
      <c r="AE673" s="131"/>
      <c r="AF673" s="131"/>
      <c r="AG673" s="131"/>
      <c r="AH673" s="131"/>
      <c r="AI673" s="131">
        <f>IFERROR(__xludf.DUMMYFUNCTION("""COMPUTED_VALUE"""),370.0)</f>
        <v>370</v>
      </c>
      <c r="AJ673" s="131" t="str">
        <f>IFERROR(__xludf.DUMMYFUNCTION("""COMPUTED_VALUE"""),"S48,G51")</f>
        <v>S48,G51</v>
      </c>
      <c r="AK673" s="131">
        <f>IFERROR(__xludf.DUMMYFUNCTION("""COMPUTED_VALUE"""),40.2)</f>
        <v>40.2</v>
      </c>
    </row>
    <row r="674">
      <c r="A674" s="124"/>
      <c r="B674" s="131" t="str">
        <f>IFERROR(__xludf.DUMMYFUNCTION("""COMPUTED_VALUE"""),"8")</f>
        <v>8</v>
      </c>
      <c r="C674" s="131" t="str">
        <f>IFERROR(__xludf.DUMMYFUNCTION("""COMPUTED_VALUE"""),"595-600")</f>
        <v>595-600</v>
      </c>
      <c r="D674" s="144">
        <f>IFERROR(__xludf.DUMMYFUNCTION("""COMPUTED_VALUE"""),45810.0)</f>
        <v>45810</v>
      </c>
      <c r="E674" s="147">
        <f>IFERROR(__xludf.DUMMYFUNCTION("""COMPUTED_VALUE"""),45817.0)</f>
        <v>45817</v>
      </c>
      <c r="F674" s="147">
        <f>IFERROR(__xludf.DUMMYFUNCTION("""COMPUTED_VALUE"""),45838.0)</f>
        <v>45838</v>
      </c>
      <c r="G674" s="131" t="str">
        <f>IFERROR(__xludf.DUMMYFUNCTION("""COMPUTED_VALUE"""),"D42-4R")</f>
        <v>D42-4R</v>
      </c>
      <c r="H674" s="126">
        <f>IFERROR(__xludf.DUMMYFUNCTION("""COMPUTED_VALUE"""),1.0)</f>
        <v>1</v>
      </c>
      <c r="I674" s="126">
        <f>IFERROR(__xludf.DUMMYFUNCTION("""COMPUTED_VALUE"""),53.0)</f>
        <v>53</v>
      </c>
      <c r="J674" s="131">
        <f>IFERROR(__xludf.DUMMYFUNCTION("""COMPUTED_VALUE"""),27.0)</f>
        <v>27</v>
      </c>
      <c r="K674" s="131">
        <f>IFERROR(__xludf.DUMMYFUNCTION("""COMPUTED_VALUE"""),27.0)</f>
        <v>27</v>
      </c>
      <c r="L674" s="131"/>
      <c r="M674" s="131"/>
      <c r="N674" s="131"/>
      <c r="O674" s="131"/>
      <c r="P674" s="131">
        <f>IFERROR(__xludf.DUMMYFUNCTION("""COMPUTED_VALUE"""),370.0)</f>
        <v>370</v>
      </c>
      <c r="Q674" s="131" t="str">
        <f>IFERROR(__xludf.DUMMYFUNCTION("""COMPUTED_VALUE"""),"S48,G51")</f>
        <v>S48,G51</v>
      </c>
      <c r="R674" s="131">
        <f>IFERROR(__xludf.DUMMYFUNCTION("""COMPUTED_VALUE"""),40.2)</f>
        <v>40.2</v>
      </c>
      <c r="T674" s="131"/>
      <c r="U674" s="131"/>
      <c r="V674" s="131" t="str">
        <f>IFERROR(__xludf.DUMMYFUNCTION("""COMPUTED_VALUE"""),"589-594 خطا مطبعي 278 و 280 مو الى")</f>
        <v>589-594 خطا مطبعي 278 و 280 مو الى</v>
      </c>
      <c r="W674" s="144">
        <f>IFERROR(__xludf.DUMMYFUNCTION("""COMPUTED_VALUE"""),45810.0)</f>
        <v>45810</v>
      </c>
      <c r="X674" s="144">
        <f>IFERROR(__xludf.DUMMYFUNCTION("""COMPUTED_VALUE"""),45817.0)</f>
        <v>45817</v>
      </c>
      <c r="Y674" s="144">
        <f>IFERROR(__xludf.DUMMYFUNCTION("""COMPUTED_VALUE"""),45838.0)</f>
        <v>45838</v>
      </c>
      <c r="Z674" s="131" t="str">
        <f>IFERROR(__xludf.DUMMYFUNCTION("""COMPUTED_VALUE"""),"DC40")</f>
        <v>DC40</v>
      </c>
      <c r="AA674" s="131">
        <f>IFERROR(__xludf.DUMMYFUNCTION("""COMPUTED_VALUE"""),273.0)</f>
        <v>273</v>
      </c>
      <c r="AB674" s="131">
        <f>IFERROR(__xludf.DUMMYFUNCTION("""COMPUTED_VALUE"""),277.0)</f>
        <v>277</v>
      </c>
      <c r="AC674" s="131">
        <f>IFERROR(__xludf.DUMMYFUNCTION("""COMPUTED_VALUE"""),3.0)</f>
        <v>3</v>
      </c>
      <c r="AD674" s="131">
        <f>IFERROR(__xludf.DUMMYFUNCTION("""COMPUTED_VALUE"""),3.0)</f>
        <v>3</v>
      </c>
      <c r="AE674" s="131">
        <f>IFERROR(__xludf.DUMMYFUNCTION("""COMPUTED_VALUE"""),278.0)</f>
        <v>278</v>
      </c>
      <c r="AF674" s="131">
        <f>IFERROR(__xludf.DUMMYFUNCTION("""COMPUTED_VALUE"""),278.0)</f>
        <v>278</v>
      </c>
      <c r="AG674" s="131">
        <f>IFERROR(__xludf.DUMMYFUNCTION("""COMPUTED_VALUE"""),1.0)</f>
        <v>1</v>
      </c>
      <c r="AH674" s="131">
        <f>IFERROR(__xludf.DUMMYFUNCTION("""COMPUTED_VALUE"""),1.0)</f>
        <v>1</v>
      </c>
      <c r="AI674" s="131">
        <f>IFERROR(__xludf.DUMMYFUNCTION("""COMPUTED_VALUE"""),371.0)</f>
        <v>371</v>
      </c>
      <c r="AJ674" s="131" t="str">
        <f>IFERROR(__xludf.DUMMYFUNCTION("""COMPUTED_VALUE"""),"S48,G51")</f>
        <v>S48,G51</v>
      </c>
      <c r="AK674" s="131">
        <f>IFERROR(__xludf.DUMMYFUNCTION("""COMPUTED_VALUE"""),5.47)</f>
        <v>5.47</v>
      </c>
    </row>
    <row r="675">
      <c r="A675" s="124"/>
      <c r="B675" s="131"/>
      <c r="C675" s="131" t="str">
        <f>IFERROR(__xludf.DUMMYFUNCTION("""COMPUTED_VALUE"""),"589-594 خطا مطبعي 278 و 280 مو الى")</f>
        <v>589-594 خطا مطبعي 278 و 280 مو الى</v>
      </c>
      <c r="D675" s="144">
        <f>IFERROR(__xludf.DUMMYFUNCTION("""COMPUTED_VALUE"""),45810.0)</f>
        <v>45810</v>
      </c>
      <c r="E675" s="147">
        <f>IFERROR(__xludf.DUMMYFUNCTION("""COMPUTED_VALUE"""),45817.0)</f>
        <v>45817</v>
      </c>
      <c r="F675" s="147">
        <f>IFERROR(__xludf.DUMMYFUNCTION("""COMPUTED_VALUE"""),45838.0)</f>
        <v>45838</v>
      </c>
      <c r="G675" s="131" t="str">
        <f>IFERROR(__xludf.DUMMYFUNCTION("""COMPUTED_VALUE"""),"DC40")</f>
        <v>DC40</v>
      </c>
      <c r="H675" s="126">
        <f>IFERROR(__xludf.DUMMYFUNCTION("""COMPUTED_VALUE"""),273.0)</f>
        <v>273</v>
      </c>
      <c r="I675" s="126">
        <f>IFERROR(__xludf.DUMMYFUNCTION("""COMPUTED_VALUE"""),277.0)</f>
        <v>277</v>
      </c>
      <c r="J675" s="131">
        <f>IFERROR(__xludf.DUMMYFUNCTION("""COMPUTED_VALUE"""),3.0)</f>
        <v>3</v>
      </c>
      <c r="K675" s="131">
        <f>IFERROR(__xludf.DUMMYFUNCTION("""COMPUTED_VALUE"""),3.0)</f>
        <v>3</v>
      </c>
      <c r="L675" s="131">
        <f>IFERROR(__xludf.DUMMYFUNCTION("""COMPUTED_VALUE"""),278.0)</f>
        <v>278</v>
      </c>
      <c r="M675" s="131">
        <f>IFERROR(__xludf.DUMMYFUNCTION("""COMPUTED_VALUE"""),278.0)</f>
        <v>278</v>
      </c>
      <c r="N675" s="131">
        <f>IFERROR(__xludf.DUMMYFUNCTION("""COMPUTED_VALUE"""),1.0)</f>
        <v>1</v>
      </c>
      <c r="O675" s="131">
        <f>IFERROR(__xludf.DUMMYFUNCTION("""COMPUTED_VALUE"""),1.0)</f>
        <v>1</v>
      </c>
      <c r="P675" s="131">
        <f>IFERROR(__xludf.DUMMYFUNCTION("""COMPUTED_VALUE"""),371.0)</f>
        <v>371</v>
      </c>
      <c r="Q675" s="131" t="str">
        <f>IFERROR(__xludf.DUMMYFUNCTION("""COMPUTED_VALUE"""),"S48,G51")</f>
        <v>S48,G51</v>
      </c>
      <c r="R675" s="131">
        <f>IFERROR(__xludf.DUMMYFUNCTION("""COMPUTED_VALUE"""),5.47)</f>
        <v>5.47</v>
      </c>
      <c r="T675" s="131"/>
      <c r="U675" s="131"/>
      <c r="V675" s="131" t="str">
        <f>IFERROR(__xludf.DUMMYFUNCTION("""COMPUTED_VALUE"""),"589-594")</f>
        <v>589-594</v>
      </c>
      <c r="W675" s="144">
        <f>IFERROR(__xludf.DUMMYFUNCTION("""COMPUTED_VALUE"""),45810.0)</f>
        <v>45810</v>
      </c>
      <c r="X675" s="144">
        <f>IFERROR(__xludf.DUMMYFUNCTION("""COMPUTED_VALUE"""),45817.0)</f>
        <v>45817</v>
      </c>
      <c r="Y675" s="144">
        <f>IFERROR(__xludf.DUMMYFUNCTION("""COMPUTED_VALUE"""),45838.0)</f>
        <v>45838</v>
      </c>
      <c r="Z675" s="131" t="str">
        <f>IFERROR(__xludf.DUMMYFUNCTION("""COMPUTED_VALUE"""),"DC40")</f>
        <v>DC40</v>
      </c>
      <c r="AA675" s="131"/>
      <c r="AB675" s="131"/>
      <c r="AC675" s="131"/>
      <c r="AD675" s="131"/>
      <c r="AE675" s="131">
        <f>IFERROR(__xludf.DUMMYFUNCTION("""COMPUTED_VALUE"""),280.0)</f>
        <v>280</v>
      </c>
      <c r="AF675" s="131">
        <f>IFERROR(__xludf.DUMMYFUNCTION("""COMPUTED_VALUE"""),280.0)</f>
        <v>280</v>
      </c>
      <c r="AG675" s="131">
        <f>IFERROR(__xludf.DUMMYFUNCTION("""COMPUTED_VALUE"""),1.0)</f>
        <v>1</v>
      </c>
      <c r="AH675" s="131">
        <f>IFERROR(__xludf.DUMMYFUNCTION("""COMPUTED_VALUE"""),1.0)</f>
        <v>1</v>
      </c>
      <c r="AI675" s="131">
        <f>IFERROR(__xludf.DUMMYFUNCTION("""COMPUTED_VALUE"""),371.0)</f>
        <v>371</v>
      </c>
      <c r="AJ675" s="131" t="str">
        <f>IFERROR(__xludf.DUMMYFUNCTION("""COMPUTED_VALUE"""),"S48,G51")</f>
        <v>S48,G51</v>
      </c>
      <c r="AK675" s="131"/>
    </row>
    <row r="676">
      <c r="A676" s="124"/>
      <c r="B676" s="131"/>
      <c r="C676" s="131" t="str">
        <f>IFERROR(__xludf.DUMMYFUNCTION("""COMPUTED_VALUE"""),"589-594")</f>
        <v>589-594</v>
      </c>
      <c r="D676" s="144">
        <f>IFERROR(__xludf.DUMMYFUNCTION("""COMPUTED_VALUE"""),45810.0)</f>
        <v>45810</v>
      </c>
      <c r="E676" s="147">
        <f>IFERROR(__xludf.DUMMYFUNCTION("""COMPUTED_VALUE"""),45817.0)</f>
        <v>45817</v>
      </c>
      <c r="F676" s="147">
        <f>IFERROR(__xludf.DUMMYFUNCTION("""COMPUTED_VALUE"""),45838.0)</f>
        <v>45838</v>
      </c>
      <c r="G676" s="131" t="str">
        <f>IFERROR(__xludf.DUMMYFUNCTION("""COMPUTED_VALUE"""),"DC40")</f>
        <v>DC40</v>
      </c>
      <c r="H676" s="126"/>
      <c r="I676" s="126"/>
      <c r="J676" s="131"/>
      <c r="K676" s="131"/>
      <c r="L676" s="131">
        <f>IFERROR(__xludf.DUMMYFUNCTION("""COMPUTED_VALUE"""),280.0)</f>
        <v>280</v>
      </c>
      <c r="M676" s="131">
        <f>IFERROR(__xludf.DUMMYFUNCTION("""COMPUTED_VALUE"""),280.0)</f>
        <v>280</v>
      </c>
      <c r="N676" s="131">
        <f>IFERROR(__xludf.DUMMYFUNCTION("""COMPUTED_VALUE"""),1.0)</f>
        <v>1</v>
      </c>
      <c r="O676" s="131">
        <f>IFERROR(__xludf.DUMMYFUNCTION("""COMPUTED_VALUE"""),1.0)</f>
        <v>1</v>
      </c>
      <c r="P676" s="131">
        <f>IFERROR(__xludf.DUMMYFUNCTION("""COMPUTED_VALUE"""),371.0)</f>
        <v>371</v>
      </c>
      <c r="Q676" s="131" t="str">
        <f>IFERROR(__xludf.DUMMYFUNCTION("""COMPUTED_VALUE"""),"S48,G51")</f>
        <v>S48,G51</v>
      </c>
      <c r="R676" s="131"/>
      <c r="T676" s="131"/>
      <c r="U676" s="131"/>
      <c r="V676" s="131" t="str">
        <f>IFERROR(__xludf.DUMMYFUNCTION("""COMPUTED_VALUE"""),"589-594")</f>
        <v>589-594</v>
      </c>
      <c r="W676" s="144">
        <f>IFERROR(__xludf.DUMMYFUNCTION("""COMPUTED_VALUE"""),45810.0)</f>
        <v>45810</v>
      </c>
      <c r="X676" s="144">
        <f>IFERROR(__xludf.DUMMYFUNCTION("""COMPUTED_VALUE"""),45817.0)</f>
        <v>45817</v>
      </c>
      <c r="Y676" s="144">
        <f>IFERROR(__xludf.DUMMYFUNCTION("""COMPUTED_VALUE"""),45838.0)</f>
        <v>45838</v>
      </c>
      <c r="Z676" s="131" t="str">
        <f>IFERROR(__xludf.DUMMYFUNCTION("""COMPUTED_VALUE"""),"DC40")</f>
        <v>DC40</v>
      </c>
      <c r="AA676" s="131"/>
      <c r="AB676" s="131"/>
      <c r="AC676" s="131"/>
      <c r="AD676" s="131"/>
      <c r="AE676" s="131">
        <f>IFERROR(__xludf.DUMMYFUNCTION("""COMPUTED_VALUE"""),290.0)</f>
        <v>290</v>
      </c>
      <c r="AF676" s="131">
        <f>IFERROR(__xludf.DUMMYFUNCTION("""COMPUTED_VALUE"""),290.0)</f>
        <v>290</v>
      </c>
      <c r="AG676" s="131">
        <f>IFERROR(__xludf.DUMMYFUNCTION("""COMPUTED_VALUE"""),1.0)</f>
        <v>1</v>
      </c>
      <c r="AH676" s="131">
        <f>IFERROR(__xludf.DUMMYFUNCTION("""COMPUTED_VALUE"""),1.0)</f>
        <v>1</v>
      </c>
      <c r="AI676" s="131">
        <f>IFERROR(__xludf.DUMMYFUNCTION("""COMPUTED_VALUE"""),371.0)</f>
        <v>371</v>
      </c>
      <c r="AJ676" s="131" t="str">
        <f>IFERROR(__xludf.DUMMYFUNCTION("""COMPUTED_VALUE"""),"S48,G51")</f>
        <v>S48,G51</v>
      </c>
      <c r="AK676" s="131"/>
    </row>
    <row r="677">
      <c r="A677" s="124"/>
      <c r="B677" s="131"/>
      <c r="C677" s="131" t="str">
        <f>IFERROR(__xludf.DUMMYFUNCTION("""COMPUTED_VALUE"""),"589-594")</f>
        <v>589-594</v>
      </c>
      <c r="D677" s="144">
        <f>IFERROR(__xludf.DUMMYFUNCTION("""COMPUTED_VALUE"""),45810.0)</f>
        <v>45810</v>
      </c>
      <c r="E677" s="147">
        <f>IFERROR(__xludf.DUMMYFUNCTION("""COMPUTED_VALUE"""),45817.0)</f>
        <v>45817</v>
      </c>
      <c r="F677" s="147">
        <f>IFERROR(__xludf.DUMMYFUNCTION("""COMPUTED_VALUE"""),45838.0)</f>
        <v>45838</v>
      </c>
      <c r="G677" s="131" t="str">
        <f>IFERROR(__xludf.DUMMYFUNCTION("""COMPUTED_VALUE"""),"DC40")</f>
        <v>DC40</v>
      </c>
      <c r="H677" s="126"/>
      <c r="I677" s="126"/>
      <c r="J677" s="131"/>
      <c r="K677" s="131"/>
      <c r="L677" s="131">
        <f>IFERROR(__xludf.DUMMYFUNCTION("""COMPUTED_VALUE"""),290.0)</f>
        <v>290</v>
      </c>
      <c r="M677" s="131">
        <f>IFERROR(__xludf.DUMMYFUNCTION("""COMPUTED_VALUE"""),290.0)</f>
        <v>290</v>
      </c>
      <c r="N677" s="131">
        <f>IFERROR(__xludf.DUMMYFUNCTION("""COMPUTED_VALUE"""),1.0)</f>
        <v>1</v>
      </c>
      <c r="O677" s="131">
        <f>IFERROR(__xludf.DUMMYFUNCTION("""COMPUTED_VALUE"""),1.0)</f>
        <v>1</v>
      </c>
      <c r="P677" s="131">
        <f>IFERROR(__xludf.DUMMYFUNCTION("""COMPUTED_VALUE"""),371.0)</f>
        <v>371</v>
      </c>
      <c r="Q677" s="131" t="str">
        <f>IFERROR(__xludf.DUMMYFUNCTION("""COMPUTED_VALUE"""),"S48,G51")</f>
        <v>S48,G51</v>
      </c>
      <c r="R677" s="131"/>
      <c r="T677" s="131"/>
      <c r="U677" s="131"/>
      <c r="V677" s="131" t="str">
        <f>IFERROR(__xludf.DUMMYFUNCTION("""COMPUTED_VALUE"""),"589-594")</f>
        <v>589-594</v>
      </c>
      <c r="W677" s="144">
        <f>IFERROR(__xludf.DUMMYFUNCTION("""COMPUTED_VALUE"""),45810.0)</f>
        <v>45810</v>
      </c>
      <c r="X677" s="144">
        <f>IFERROR(__xludf.DUMMYFUNCTION("""COMPUTED_VALUE"""),45817.0)</f>
        <v>45817</v>
      </c>
      <c r="Y677" s="144">
        <f>IFERROR(__xludf.DUMMYFUNCTION("""COMPUTED_VALUE"""),45838.0)</f>
        <v>45838</v>
      </c>
      <c r="Z677" s="131" t="str">
        <f>IFERROR(__xludf.DUMMYFUNCTION("""COMPUTED_VALUE"""),"DC40")</f>
        <v>DC40</v>
      </c>
      <c r="AA677" s="131"/>
      <c r="AB677" s="131"/>
      <c r="AC677" s="131"/>
      <c r="AD677" s="131"/>
      <c r="AE677" s="131">
        <f>IFERROR(__xludf.DUMMYFUNCTION("""COMPUTED_VALUE"""),292.0)</f>
        <v>292</v>
      </c>
      <c r="AF677" s="131">
        <f>IFERROR(__xludf.DUMMYFUNCTION("""COMPUTED_VALUE"""),292.0)</f>
        <v>292</v>
      </c>
      <c r="AG677" s="131">
        <f>IFERROR(__xludf.DUMMYFUNCTION("""COMPUTED_VALUE"""),1.0)</f>
        <v>1</v>
      </c>
      <c r="AH677" s="131">
        <f>IFERROR(__xludf.DUMMYFUNCTION("""COMPUTED_VALUE"""),1.0)</f>
        <v>1</v>
      </c>
      <c r="AI677" s="131">
        <f>IFERROR(__xludf.DUMMYFUNCTION("""COMPUTED_VALUE"""),371.0)</f>
        <v>371</v>
      </c>
      <c r="AJ677" s="131" t="str">
        <f>IFERROR(__xludf.DUMMYFUNCTION("""COMPUTED_VALUE"""),"S48,G51")</f>
        <v>S48,G51</v>
      </c>
      <c r="AK677" s="131"/>
    </row>
    <row r="678">
      <c r="A678" s="124"/>
      <c r="B678" s="131"/>
      <c r="C678" s="131" t="str">
        <f>IFERROR(__xludf.DUMMYFUNCTION("""COMPUTED_VALUE"""),"589-594")</f>
        <v>589-594</v>
      </c>
      <c r="D678" s="144">
        <f>IFERROR(__xludf.DUMMYFUNCTION("""COMPUTED_VALUE"""),45810.0)</f>
        <v>45810</v>
      </c>
      <c r="E678" s="147">
        <f>IFERROR(__xludf.DUMMYFUNCTION("""COMPUTED_VALUE"""),45817.0)</f>
        <v>45817</v>
      </c>
      <c r="F678" s="147">
        <f>IFERROR(__xludf.DUMMYFUNCTION("""COMPUTED_VALUE"""),45838.0)</f>
        <v>45838</v>
      </c>
      <c r="G678" s="131" t="str">
        <f>IFERROR(__xludf.DUMMYFUNCTION("""COMPUTED_VALUE"""),"DC40")</f>
        <v>DC40</v>
      </c>
      <c r="H678" s="126"/>
      <c r="I678" s="126"/>
      <c r="J678" s="131"/>
      <c r="K678" s="131"/>
      <c r="L678" s="131">
        <f>IFERROR(__xludf.DUMMYFUNCTION("""COMPUTED_VALUE"""),292.0)</f>
        <v>292</v>
      </c>
      <c r="M678" s="131">
        <f>IFERROR(__xludf.DUMMYFUNCTION("""COMPUTED_VALUE"""),292.0)</f>
        <v>292</v>
      </c>
      <c r="N678" s="131">
        <f>IFERROR(__xludf.DUMMYFUNCTION("""COMPUTED_VALUE"""),1.0)</f>
        <v>1</v>
      </c>
      <c r="O678" s="131">
        <f>IFERROR(__xludf.DUMMYFUNCTION("""COMPUTED_VALUE"""),1.0)</f>
        <v>1</v>
      </c>
      <c r="P678" s="131">
        <f>IFERROR(__xludf.DUMMYFUNCTION("""COMPUTED_VALUE"""),371.0)</f>
        <v>371</v>
      </c>
      <c r="Q678" s="131" t="str">
        <f>IFERROR(__xludf.DUMMYFUNCTION("""COMPUTED_VALUE"""),"S48,G51")</f>
        <v>S48,G51</v>
      </c>
      <c r="R678" s="131"/>
      <c r="T678" s="131"/>
      <c r="U678" s="131" t="str">
        <f>IFERROR(__xludf.DUMMYFUNCTION("""COMPUTED_VALUE"""),"8")</f>
        <v>8</v>
      </c>
      <c r="V678" s="131" t="str">
        <f>IFERROR(__xludf.DUMMYFUNCTION("""COMPUTED_VALUE"""),"589-594")</f>
        <v>589-594</v>
      </c>
      <c r="W678" s="144">
        <f>IFERROR(__xludf.DUMMYFUNCTION("""COMPUTED_VALUE"""),45810.0)</f>
        <v>45810</v>
      </c>
      <c r="X678" s="144">
        <f>IFERROR(__xludf.DUMMYFUNCTION("""COMPUTED_VALUE"""),45817.0)</f>
        <v>45817</v>
      </c>
      <c r="Y678" s="144">
        <f>IFERROR(__xludf.DUMMYFUNCTION("""COMPUTED_VALUE"""),45838.0)</f>
        <v>45838</v>
      </c>
      <c r="Z678" s="131" t="str">
        <f>IFERROR(__xludf.DUMMYFUNCTION("""COMPUTED_VALUE"""),"BRG10")</f>
        <v>BRG10</v>
      </c>
      <c r="AA678" s="131"/>
      <c r="AB678" s="131"/>
      <c r="AC678" s="131"/>
      <c r="AD678" s="131"/>
      <c r="AE678" s="131">
        <f>IFERROR(__xludf.DUMMYFUNCTION("""COMPUTED_VALUE"""),296.0)</f>
        <v>296</v>
      </c>
      <c r="AF678" s="131">
        <f>IFERROR(__xludf.DUMMYFUNCTION("""COMPUTED_VALUE"""),296.0)</f>
        <v>296</v>
      </c>
      <c r="AG678" s="131">
        <f>IFERROR(__xludf.DUMMYFUNCTION("""COMPUTED_VALUE"""),1.0)</f>
        <v>1</v>
      </c>
      <c r="AH678" s="131">
        <f>IFERROR(__xludf.DUMMYFUNCTION("""COMPUTED_VALUE"""),1.0)</f>
        <v>1</v>
      </c>
      <c r="AI678" s="131">
        <f>IFERROR(__xludf.DUMMYFUNCTION("""COMPUTED_VALUE"""),371.0)</f>
        <v>371</v>
      </c>
      <c r="AJ678" s="131" t="str">
        <f>IFERROR(__xludf.DUMMYFUNCTION("""COMPUTED_VALUE"""),"S48,G51")</f>
        <v>S48,G51</v>
      </c>
      <c r="AK678" s="131"/>
    </row>
    <row r="679">
      <c r="A679" s="124"/>
      <c r="B679" s="131" t="str">
        <f>IFERROR(__xludf.DUMMYFUNCTION("""COMPUTED_VALUE"""),"8")</f>
        <v>8</v>
      </c>
      <c r="C679" s="131" t="str">
        <f>IFERROR(__xludf.DUMMYFUNCTION("""COMPUTED_VALUE"""),"589-594")</f>
        <v>589-594</v>
      </c>
      <c r="D679" s="144">
        <f>IFERROR(__xludf.DUMMYFUNCTION("""COMPUTED_VALUE"""),45810.0)</f>
        <v>45810</v>
      </c>
      <c r="E679" s="147">
        <f>IFERROR(__xludf.DUMMYFUNCTION("""COMPUTED_VALUE"""),45817.0)</f>
        <v>45817</v>
      </c>
      <c r="F679" s="147">
        <f>IFERROR(__xludf.DUMMYFUNCTION("""COMPUTED_VALUE"""),45838.0)</f>
        <v>45838</v>
      </c>
      <c r="G679" s="131" t="str">
        <f>IFERROR(__xludf.DUMMYFUNCTION("""COMPUTED_VALUE"""),"BRG10")</f>
        <v>BRG10</v>
      </c>
      <c r="H679" s="126"/>
      <c r="I679" s="126"/>
      <c r="J679" s="131"/>
      <c r="K679" s="131"/>
      <c r="L679" s="131">
        <f>IFERROR(__xludf.DUMMYFUNCTION("""COMPUTED_VALUE"""),296.0)</f>
        <v>296</v>
      </c>
      <c r="M679" s="131">
        <f>IFERROR(__xludf.DUMMYFUNCTION("""COMPUTED_VALUE"""),296.0)</f>
        <v>296</v>
      </c>
      <c r="N679" s="131">
        <f>IFERROR(__xludf.DUMMYFUNCTION("""COMPUTED_VALUE"""),1.0)</f>
        <v>1</v>
      </c>
      <c r="O679" s="131">
        <f>IFERROR(__xludf.DUMMYFUNCTION("""COMPUTED_VALUE"""),1.0)</f>
        <v>1</v>
      </c>
      <c r="P679" s="131">
        <f>IFERROR(__xludf.DUMMYFUNCTION("""COMPUTED_VALUE"""),371.0)</f>
        <v>371</v>
      </c>
      <c r="Q679" s="131" t="str">
        <f>IFERROR(__xludf.DUMMYFUNCTION("""COMPUTED_VALUE"""),"S48,G51")</f>
        <v>S48,G51</v>
      </c>
      <c r="R679" s="131"/>
      <c r="T679" s="131"/>
      <c r="U679" s="131" t="str">
        <f>IFERROR(__xludf.DUMMYFUNCTION("""COMPUTED_VALUE"""),"8")</f>
        <v>8</v>
      </c>
      <c r="V679" s="131" t="str">
        <f>IFERROR(__xludf.DUMMYFUNCTION("""COMPUTED_VALUE"""),"607-612")</f>
        <v>607-612</v>
      </c>
      <c r="W679" s="144">
        <f>IFERROR(__xludf.DUMMYFUNCTION("""COMPUTED_VALUE"""),45811.0)</f>
        <v>45811</v>
      </c>
      <c r="X679" s="144">
        <f>IFERROR(__xludf.DUMMYFUNCTION("""COMPUTED_VALUE"""),45818.0)</f>
        <v>45818</v>
      </c>
      <c r="Y679" s="144">
        <f>IFERROR(__xludf.DUMMYFUNCTION("""COMPUTED_VALUE"""),45839.0)</f>
        <v>45839</v>
      </c>
      <c r="Z679" s="131" t="str">
        <f>IFERROR(__xludf.DUMMYFUNCTION("""COMPUTED_VALUE"""),"D42-4R")</f>
        <v>D42-4R</v>
      </c>
      <c r="AA679" s="131">
        <f>IFERROR(__xludf.DUMMYFUNCTION("""COMPUTED_VALUE"""),55.0)</f>
        <v>55</v>
      </c>
      <c r="AB679" s="131">
        <f>IFERROR(__xludf.DUMMYFUNCTION("""COMPUTED_VALUE"""),177.0)</f>
        <v>177</v>
      </c>
      <c r="AC679" s="131">
        <f>IFERROR(__xludf.DUMMYFUNCTION("""COMPUTED_VALUE"""),62.0)</f>
        <v>62</v>
      </c>
      <c r="AD679" s="131"/>
      <c r="AE679" s="131">
        <f>IFERROR(__xludf.DUMMYFUNCTION("""COMPUTED_VALUE"""),2.0)</f>
        <v>2</v>
      </c>
      <c r="AF679" s="131">
        <f>IFERROR(__xludf.DUMMYFUNCTION("""COMPUTED_VALUE"""),28.0)</f>
        <v>28</v>
      </c>
      <c r="AG679" s="131">
        <f>IFERROR(__xludf.DUMMYFUNCTION("""COMPUTED_VALUE"""),14.0)</f>
        <v>14</v>
      </c>
      <c r="AH679" s="131"/>
      <c r="AI679" s="131">
        <f>IFERROR(__xludf.DUMMYFUNCTION("""COMPUTED_VALUE"""),374.0)</f>
        <v>374</v>
      </c>
      <c r="AJ679" s="131"/>
      <c r="AK679" s="131"/>
    </row>
    <row r="680">
      <c r="A680" s="124"/>
      <c r="B680" s="131" t="str">
        <f>IFERROR(__xludf.DUMMYFUNCTION("""COMPUTED_VALUE"""),"8")</f>
        <v>8</v>
      </c>
      <c r="C680" s="131" t="str">
        <f>IFERROR(__xludf.DUMMYFUNCTION("""COMPUTED_VALUE"""),"607-612")</f>
        <v>607-612</v>
      </c>
      <c r="D680" s="144">
        <f>IFERROR(__xludf.DUMMYFUNCTION("""COMPUTED_VALUE"""),45811.0)</f>
        <v>45811</v>
      </c>
      <c r="E680" s="147">
        <f>IFERROR(__xludf.DUMMYFUNCTION("""COMPUTED_VALUE"""),45818.0)</f>
        <v>45818</v>
      </c>
      <c r="F680" s="147">
        <f>IFERROR(__xludf.DUMMYFUNCTION("""COMPUTED_VALUE"""),45839.0)</f>
        <v>45839</v>
      </c>
      <c r="G680" s="131" t="str">
        <f>IFERROR(__xludf.DUMMYFUNCTION("""COMPUTED_VALUE"""),"D42-4R")</f>
        <v>D42-4R</v>
      </c>
      <c r="H680" s="126">
        <f>IFERROR(__xludf.DUMMYFUNCTION("""COMPUTED_VALUE"""),55.0)</f>
        <v>55</v>
      </c>
      <c r="I680" s="126">
        <f>IFERROR(__xludf.DUMMYFUNCTION("""COMPUTED_VALUE"""),177.0)</f>
        <v>177</v>
      </c>
      <c r="J680" s="131">
        <f>IFERROR(__xludf.DUMMYFUNCTION("""COMPUTED_VALUE"""),62.0)</f>
        <v>62</v>
      </c>
      <c r="K680" s="131"/>
      <c r="L680" s="131">
        <f>IFERROR(__xludf.DUMMYFUNCTION("""COMPUTED_VALUE"""),2.0)</f>
        <v>2</v>
      </c>
      <c r="M680" s="131">
        <f>IFERROR(__xludf.DUMMYFUNCTION("""COMPUTED_VALUE"""),28.0)</f>
        <v>28</v>
      </c>
      <c r="N680" s="131">
        <f>IFERROR(__xludf.DUMMYFUNCTION("""COMPUTED_VALUE"""),14.0)</f>
        <v>14</v>
      </c>
      <c r="O680" s="131"/>
      <c r="P680" s="131">
        <f>IFERROR(__xludf.DUMMYFUNCTION("""COMPUTED_VALUE"""),374.0)</f>
        <v>374</v>
      </c>
      <c r="Q680" s="131"/>
      <c r="R680" s="131"/>
      <c r="T680" s="131"/>
      <c r="U680" s="131" t="str">
        <f>IFERROR(__xludf.DUMMYFUNCTION("""COMPUTED_VALUE"""),"8")</f>
        <v>8</v>
      </c>
      <c r="V680" s="131" t="str">
        <f>IFERROR(__xludf.DUMMYFUNCTION("""COMPUTED_VALUE"""),"607-612")</f>
        <v>607-612</v>
      </c>
      <c r="W680" s="144">
        <f>IFERROR(__xludf.DUMMYFUNCTION("""COMPUTED_VALUE"""),45811.0)</f>
        <v>45811</v>
      </c>
      <c r="X680" s="144">
        <f>IFERROR(__xludf.DUMMYFUNCTION("""COMPUTED_VALUE"""),45818.0)</f>
        <v>45818</v>
      </c>
      <c r="Y680" s="144">
        <f>IFERROR(__xludf.DUMMYFUNCTION("""COMPUTED_VALUE"""),45839.0)</f>
        <v>45839</v>
      </c>
      <c r="Z680" s="131" t="str">
        <f>IFERROR(__xludf.DUMMYFUNCTION("""COMPUTED_VALUE"""),"D42-3R")</f>
        <v>D42-3R</v>
      </c>
      <c r="AA680" s="131"/>
      <c r="AB680" s="131"/>
      <c r="AC680" s="131"/>
      <c r="AD680" s="131"/>
      <c r="AE680" s="131">
        <f>IFERROR(__xludf.DUMMYFUNCTION("""COMPUTED_VALUE"""),264.0)</f>
        <v>264</v>
      </c>
      <c r="AF680" s="131">
        <f>IFERROR(__xludf.DUMMYFUNCTION("""COMPUTED_VALUE"""),308.0)</f>
        <v>308</v>
      </c>
      <c r="AG680" s="131">
        <f>IFERROR(__xludf.DUMMYFUNCTION("""COMPUTED_VALUE"""),23.0)</f>
        <v>23</v>
      </c>
      <c r="AH680" s="131"/>
      <c r="AI680" s="131">
        <f>IFERROR(__xludf.DUMMYFUNCTION("""COMPUTED_VALUE"""),374.0)</f>
        <v>374</v>
      </c>
      <c r="AJ680" s="131"/>
      <c r="AK680" s="131"/>
    </row>
    <row r="681">
      <c r="A681" s="124"/>
      <c r="B681" s="131" t="str">
        <f>IFERROR(__xludf.DUMMYFUNCTION("""COMPUTED_VALUE"""),"8")</f>
        <v>8</v>
      </c>
      <c r="C681" s="131" t="str">
        <f>IFERROR(__xludf.DUMMYFUNCTION("""COMPUTED_VALUE"""),"607-612")</f>
        <v>607-612</v>
      </c>
      <c r="D681" s="144">
        <f>IFERROR(__xludf.DUMMYFUNCTION("""COMPUTED_VALUE"""),45811.0)</f>
        <v>45811</v>
      </c>
      <c r="E681" s="147">
        <f>IFERROR(__xludf.DUMMYFUNCTION("""COMPUTED_VALUE"""),45818.0)</f>
        <v>45818</v>
      </c>
      <c r="F681" s="147">
        <f>IFERROR(__xludf.DUMMYFUNCTION("""COMPUTED_VALUE"""),45839.0)</f>
        <v>45839</v>
      </c>
      <c r="G681" s="131" t="str">
        <f>IFERROR(__xludf.DUMMYFUNCTION("""COMPUTED_VALUE"""),"D42-3R")</f>
        <v>D42-3R</v>
      </c>
      <c r="H681" s="126"/>
      <c r="I681" s="126"/>
      <c r="J681" s="131"/>
      <c r="K681" s="131"/>
      <c r="L681" s="131">
        <f>IFERROR(__xludf.DUMMYFUNCTION("""COMPUTED_VALUE"""),264.0)</f>
        <v>264</v>
      </c>
      <c r="M681" s="131">
        <f>IFERROR(__xludf.DUMMYFUNCTION("""COMPUTED_VALUE"""),308.0)</f>
        <v>308</v>
      </c>
      <c r="N681" s="131">
        <f>IFERROR(__xludf.DUMMYFUNCTION("""COMPUTED_VALUE"""),23.0)</f>
        <v>23</v>
      </c>
      <c r="O681" s="131"/>
      <c r="P681" s="131">
        <f>IFERROR(__xludf.DUMMYFUNCTION("""COMPUTED_VALUE"""),374.0)</f>
        <v>374</v>
      </c>
      <c r="Q681" s="131"/>
      <c r="R681" s="131"/>
      <c r="T681" s="131"/>
      <c r="U681" s="131" t="str">
        <f>IFERROR(__xludf.DUMMYFUNCTION("""COMPUTED_VALUE"""),"8")</f>
        <v>8</v>
      </c>
      <c r="V681" s="131" t="str">
        <f>IFERROR(__xludf.DUMMYFUNCTION("""COMPUTED_VALUE"""),"607-612")</f>
        <v>607-612</v>
      </c>
      <c r="W681" s="144">
        <f>IFERROR(__xludf.DUMMYFUNCTION("""COMPUTED_VALUE"""),45811.0)</f>
        <v>45811</v>
      </c>
      <c r="X681" s="144">
        <f>IFERROR(__xludf.DUMMYFUNCTION("""COMPUTED_VALUE"""),45818.0)</f>
        <v>45818</v>
      </c>
      <c r="Y681" s="144">
        <f>IFERROR(__xludf.DUMMYFUNCTION("""COMPUTED_VALUE"""),45839.0)</f>
        <v>45839</v>
      </c>
      <c r="Z681" s="131" t="str">
        <f>IFERROR(__xludf.DUMMYFUNCTION("""COMPUTED_VALUE"""),"D42-4L")</f>
        <v>D42-4L</v>
      </c>
      <c r="AA681" s="131"/>
      <c r="AB681" s="131"/>
      <c r="AC681" s="131"/>
      <c r="AD681" s="131"/>
      <c r="AE681" s="131">
        <f>IFERROR(__xludf.DUMMYFUNCTION("""COMPUTED_VALUE"""),2.0)</f>
        <v>2</v>
      </c>
      <c r="AF681" s="131">
        <f>IFERROR(__xludf.DUMMYFUNCTION("""COMPUTED_VALUE"""),18.0)</f>
        <v>18</v>
      </c>
      <c r="AG681" s="131">
        <f>IFERROR(__xludf.DUMMYFUNCTION("""COMPUTED_VALUE"""),9.0)</f>
        <v>9</v>
      </c>
      <c r="AH681" s="131"/>
      <c r="AI681" s="131">
        <f>IFERROR(__xludf.DUMMYFUNCTION("""COMPUTED_VALUE"""),374.0)</f>
        <v>374</v>
      </c>
      <c r="AJ681" s="131"/>
      <c r="AK681" s="131"/>
    </row>
    <row r="682">
      <c r="A682" s="124"/>
      <c r="B682" s="131" t="str">
        <f>IFERROR(__xludf.DUMMYFUNCTION("""COMPUTED_VALUE"""),"8")</f>
        <v>8</v>
      </c>
      <c r="C682" s="131" t="str">
        <f>IFERROR(__xludf.DUMMYFUNCTION("""COMPUTED_VALUE"""),"607-612")</f>
        <v>607-612</v>
      </c>
      <c r="D682" s="144">
        <f>IFERROR(__xludf.DUMMYFUNCTION("""COMPUTED_VALUE"""),45811.0)</f>
        <v>45811</v>
      </c>
      <c r="E682" s="147">
        <f>IFERROR(__xludf.DUMMYFUNCTION("""COMPUTED_VALUE"""),45818.0)</f>
        <v>45818</v>
      </c>
      <c r="F682" s="147">
        <f>IFERROR(__xludf.DUMMYFUNCTION("""COMPUTED_VALUE"""),45839.0)</f>
        <v>45839</v>
      </c>
      <c r="G682" s="131" t="str">
        <f>IFERROR(__xludf.DUMMYFUNCTION("""COMPUTED_VALUE"""),"D42-4L")</f>
        <v>D42-4L</v>
      </c>
      <c r="H682" s="126"/>
      <c r="I682" s="126"/>
      <c r="J682" s="131"/>
      <c r="K682" s="131"/>
      <c r="L682" s="131">
        <f>IFERROR(__xludf.DUMMYFUNCTION("""COMPUTED_VALUE"""),2.0)</f>
        <v>2</v>
      </c>
      <c r="M682" s="131">
        <f>IFERROR(__xludf.DUMMYFUNCTION("""COMPUTED_VALUE"""),18.0)</f>
        <v>18</v>
      </c>
      <c r="N682" s="131">
        <f>IFERROR(__xludf.DUMMYFUNCTION("""COMPUTED_VALUE"""),9.0)</f>
        <v>9</v>
      </c>
      <c r="O682" s="131"/>
      <c r="P682" s="131">
        <f>IFERROR(__xludf.DUMMYFUNCTION("""COMPUTED_VALUE"""),374.0)</f>
        <v>374</v>
      </c>
      <c r="Q682" s="131"/>
      <c r="R682" s="131"/>
      <c r="T682" s="131"/>
      <c r="U682" s="131" t="str">
        <f>IFERROR(__xludf.DUMMYFUNCTION("""COMPUTED_VALUE"""),"8")</f>
        <v>8</v>
      </c>
      <c r="V682" s="131"/>
      <c r="W682" s="144">
        <f>IFERROR(__xludf.DUMMYFUNCTION("""COMPUTED_VALUE"""),45824.0)</f>
        <v>45824</v>
      </c>
      <c r="X682" s="144">
        <f>IFERROR(__xludf.DUMMYFUNCTION("""COMPUTED_VALUE"""),45831.0)</f>
        <v>45831</v>
      </c>
      <c r="Y682" s="144">
        <f>IFERROR(__xludf.DUMMYFUNCTION("""COMPUTED_VALUE"""),45852.0)</f>
        <v>45852</v>
      </c>
      <c r="Z682" s="131" t="str">
        <f>IFERROR(__xludf.DUMMYFUNCTION("""COMPUTED_VALUE"""),"D31-1R")</f>
        <v>D31-1R</v>
      </c>
      <c r="AA682" s="131">
        <f>IFERROR(__xludf.DUMMYFUNCTION("""COMPUTED_VALUE"""),1.0)</f>
        <v>1</v>
      </c>
      <c r="AB682" s="131">
        <f>IFERROR(__xludf.DUMMYFUNCTION("""COMPUTED_VALUE"""),19.0)</f>
        <v>19</v>
      </c>
      <c r="AC682" s="131">
        <f>IFERROR(__xludf.DUMMYFUNCTION("""COMPUTED_VALUE"""),10.0)</f>
        <v>10</v>
      </c>
      <c r="AD682" s="131">
        <f>IFERROR(__xludf.DUMMYFUNCTION("""COMPUTED_VALUE"""),10.0)</f>
        <v>10</v>
      </c>
      <c r="AE682" s="131">
        <f>IFERROR(__xludf.DUMMYFUNCTION("""COMPUTED_VALUE"""),32.0)</f>
        <v>32</v>
      </c>
      <c r="AF682" s="131">
        <f>IFERROR(__xludf.DUMMYFUNCTION("""COMPUTED_VALUE"""),40.0)</f>
        <v>40</v>
      </c>
      <c r="AG682" s="131">
        <f>IFERROR(__xludf.DUMMYFUNCTION("""COMPUTED_VALUE"""),5.0)</f>
        <v>5</v>
      </c>
      <c r="AH682" s="131">
        <f>IFERROR(__xludf.DUMMYFUNCTION("""COMPUTED_VALUE"""),5.0)</f>
        <v>5</v>
      </c>
      <c r="AI682" s="131">
        <f>IFERROR(__xludf.DUMMYFUNCTION("""COMPUTED_VALUE"""),375.0)</f>
        <v>375</v>
      </c>
      <c r="AJ682" s="131" t="str">
        <f>IFERROR(__xludf.DUMMYFUNCTION("""COMPUTED_VALUE"""),"S48,G51")</f>
        <v>S48,G51</v>
      </c>
      <c r="AK682" s="131">
        <f>IFERROR(__xludf.DUMMYFUNCTION("""COMPUTED_VALUE"""),20.5)</f>
        <v>20.5</v>
      </c>
    </row>
    <row r="683">
      <c r="A683" s="124"/>
      <c r="B683" s="131" t="str">
        <f>IFERROR(__xludf.DUMMYFUNCTION("""COMPUTED_VALUE"""),"8")</f>
        <v>8</v>
      </c>
      <c r="C683" s="131"/>
      <c r="D683" s="144">
        <f>IFERROR(__xludf.DUMMYFUNCTION("""COMPUTED_VALUE"""),45824.0)</f>
        <v>45824</v>
      </c>
      <c r="E683" s="147">
        <f>IFERROR(__xludf.DUMMYFUNCTION("""COMPUTED_VALUE"""),45831.0)</f>
        <v>45831</v>
      </c>
      <c r="F683" s="147">
        <f>IFERROR(__xludf.DUMMYFUNCTION("""COMPUTED_VALUE"""),45852.0)</f>
        <v>45852</v>
      </c>
      <c r="G683" s="131" t="str">
        <f>IFERROR(__xludf.DUMMYFUNCTION("""COMPUTED_VALUE"""),"D31-1R")</f>
        <v>D31-1R</v>
      </c>
      <c r="H683" s="126">
        <f>IFERROR(__xludf.DUMMYFUNCTION("""COMPUTED_VALUE"""),1.0)</f>
        <v>1</v>
      </c>
      <c r="I683" s="126">
        <f>IFERROR(__xludf.DUMMYFUNCTION("""COMPUTED_VALUE"""),19.0)</f>
        <v>19</v>
      </c>
      <c r="J683" s="131">
        <f>IFERROR(__xludf.DUMMYFUNCTION("""COMPUTED_VALUE"""),10.0)</f>
        <v>10</v>
      </c>
      <c r="K683" s="131">
        <f>IFERROR(__xludf.DUMMYFUNCTION("""COMPUTED_VALUE"""),10.0)</f>
        <v>10</v>
      </c>
      <c r="L683" s="131">
        <f>IFERROR(__xludf.DUMMYFUNCTION("""COMPUTED_VALUE"""),32.0)</f>
        <v>32</v>
      </c>
      <c r="M683" s="131">
        <f>IFERROR(__xludf.DUMMYFUNCTION("""COMPUTED_VALUE"""),40.0)</f>
        <v>40</v>
      </c>
      <c r="N683" s="131">
        <f>IFERROR(__xludf.DUMMYFUNCTION("""COMPUTED_VALUE"""),5.0)</f>
        <v>5</v>
      </c>
      <c r="O683" s="131">
        <f>IFERROR(__xludf.DUMMYFUNCTION("""COMPUTED_VALUE"""),5.0)</f>
        <v>5</v>
      </c>
      <c r="P683" s="131">
        <f>IFERROR(__xludf.DUMMYFUNCTION("""COMPUTED_VALUE"""),375.0)</f>
        <v>375</v>
      </c>
      <c r="Q683" s="131" t="str">
        <f>IFERROR(__xludf.DUMMYFUNCTION("""COMPUTED_VALUE"""),"S48,G51")</f>
        <v>S48,G51</v>
      </c>
      <c r="R683" s="131">
        <f>IFERROR(__xludf.DUMMYFUNCTION("""COMPUTED_VALUE"""),20.5)</f>
        <v>20.5</v>
      </c>
      <c r="T683" s="131"/>
      <c r="U683" s="131" t="str">
        <f>IFERROR(__xludf.DUMMYFUNCTION("""COMPUTED_VALUE"""),"8")</f>
        <v>8</v>
      </c>
      <c r="V683" s="131"/>
      <c r="W683" s="144">
        <f>IFERROR(__xludf.DUMMYFUNCTION("""COMPUTED_VALUE"""),45824.0)</f>
        <v>45824</v>
      </c>
      <c r="X683" s="144">
        <f>IFERROR(__xludf.DUMMYFUNCTION("""COMPUTED_VALUE"""),45831.0)</f>
        <v>45831</v>
      </c>
      <c r="Y683" s="144">
        <f>IFERROR(__xludf.DUMMYFUNCTION("""COMPUTED_VALUE"""),45852.0)</f>
        <v>45852</v>
      </c>
      <c r="Z683" s="131" t="str">
        <f>IFERROR(__xludf.DUMMYFUNCTION("""COMPUTED_VALUE"""),"D31-1R")</f>
        <v>D31-1R</v>
      </c>
      <c r="AA683" s="131">
        <f>IFERROR(__xludf.DUMMYFUNCTION("""COMPUTED_VALUE"""),47.0)</f>
        <v>47</v>
      </c>
      <c r="AB683" s="131">
        <f>IFERROR(__xludf.DUMMYFUNCTION("""COMPUTED_VALUE"""),53.0)</f>
        <v>53</v>
      </c>
      <c r="AC683" s="131">
        <f>IFERROR(__xludf.DUMMYFUNCTION("""COMPUTED_VALUE"""),4.0)</f>
        <v>4</v>
      </c>
      <c r="AD683" s="131">
        <f>IFERROR(__xludf.DUMMYFUNCTION("""COMPUTED_VALUE"""),4.0)</f>
        <v>4</v>
      </c>
      <c r="AE683" s="131"/>
      <c r="AF683" s="131"/>
      <c r="AG683" s="131"/>
      <c r="AH683" s="131"/>
      <c r="AI683" s="131">
        <f>IFERROR(__xludf.DUMMYFUNCTION("""COMPUTED_VALUE"""),375.0)</f>
        <v>375</v>
      </c>
      <c r="AJ683" s="131" t="str">
        <f>IFERROR(__xludf.DUMMYFUNCTION("""COMPUTED_VALUE"""),"S48,G51")</f>
        <v>S48,G51</v>
      </c>
      <c r="AK683" s="131"/>
    </row>
    <row r="684">
      <c r="A684" s="124"/>
      <c r="B684" s="131" t="str">
        <f>IFERROR(__xludf.DUMMYFUNCTION("""COMPUTED_VALUE"""),"8")</f>
        <v>8</v>
      </c>
      <c r="C684" s="131"/>
      <c r="D684" s="144">
        <f>IFERROR(__xludf.DUMMYFUNCTION("""COMPUTED_VALUE"""),45824.0)</f>
        <v>45824</v>
      </c>
      <c r="E684" s="147">
        <f>IFERROR(__xludf.DUMMYFUNCTION("""COMPUTED_VALUE"""),45831.0)</f>
        <v>45831</v>
      </c>
      <c r="F684" s="147">
        <f>IFERROR(__xludf.DUMMYFUNCTION("""COMPUTED_VALUE"""),45852.0)</f>
        <v>45852</v>
      </c>
      <c r="G684" s="131" t="str">
        <f>IFERROR(__xludf.DUMMYFUNCTION("""COMPUTED_VALUE"""),"D31-1R")</f>
        <v>D31-1R</v>
      </c>
      <c r="H684" s="126">
        <f>IFERROR(__xludf.DUMMYFUNCTION("""COMPUTED_VALUE"""),47.0)</f>
        <v>47</v>
      </c>
      <c r="I684" s="126">
        <f>IFERROR(__xludf.DUMMYFUNCTION("""COMPUTED_VALUE"""),53.0)</f>
        <v>53</v>
      </c>
      <c r="J684" s="131">
        <f>IFERROR(__xludf.DUMMYFUNCTION("""COMPUTED_VALUE"""),4.0)</f>
        <v>4</v>
      </c>
      <c r="K684" s="131">
        <f>IFERROR(__xludf.DUMMYFUNCTION("""COMPUTED_VALUE"""),4.0)</f>
        <v>4</v>
      </c>
      <c r="L684" s="131"/>
      <c r="M684" s="131"/>
      <c r="N684" s="131"/>
      <c r="O684" s="131"/>
      <c r="P684" s="131">
        <f>IFERROR(__xludf.DUMMYFUNCTION("""COMPUTED_VALUE"""),375.0)</f>
        <v>375</v>
      </c>
      <c r="Q684" s="131" t="str">
        <f>IFERROR(__xludf.DUMMYFUNCTION("""COMPUTED_VALUE"""),"S48,G51")</f>
        <v>S48,G51</v>
      </c>
      <c r="R684" s="131"/>
      <c r="T684" s="131"/>
      <c r="U684" s="131" t="str">
        <f>IFERROR(__xludf.DUMMYFUNCTION("""COMPUTED_VALUE"""),"8")</f>
        <v>8</v>
      </c>
      <c r="V684" s="131"/>
      <c r="W684" s="144">
        <f>IFERROR(__xludf.DUMMYFUNCTION("""COMPUTED_VALUE"""),45824.0)</f>
        <v>45824</v>
      </c>
      <c r="X684" s="144">
        <f>IFERROR(__xludf.DUMMYFUNCTION("""COMPUTED_VALUE"""),45831.0)</f>
        <v>45831</v>
      </c>
      <c r="Y684" s="144">
        <f>IFERROR(__xludf.DUMMYFUNCTION("""COMPUTED_VALUE"""),45852.0)</f>
        <v>45852</v>
      </c>
      <c r="Z684" s="131" t="str">
        <f>IFERROR(__xludf.DUMMYFUNCTION("""COMPUTED_VALUE"""),"D31-1R")</f>
        <v>D31-1R</v>
      </c>
      <c r="AA684" s="131">
        <f>IFERROR(__xludf.DUMMYFUNCTION("""COMPUTED_VALUE"""),75.0)</f>
        <v>75</v>
      </c>
      <c r="AB684" s="131">
        <f>IFERROR(__xludf.DUMMYFUNCTION("""COMPUTED_VALUE"""),113.0)</f>
        <v>113</v>
      </c>
      <c r="AC684" s="131">
        <f>IFERROR(__xludf.DUMMYFUNCTION("""COMPUTED_VALUE"""),20.0)</f>
        <v>20</v>
      </c>
      <c r="AD684" s="131">
        <f>IFERROR(__xludf.DUMMYFUNCTION("""COMPUTED_VALUE"""),20.0)</f>
        <v>20</v>
      </c>
      <c r="AE684" s="131"/>
      <c r="AF684" s="131"/>
      <c r="AG684" s="131"/>
      <c r="AH684" s="131"/>
      <c r="AI684" s="131">
        <f>IFERROR(__xludf.DUMMYFUNCTION("""COMPUTED_VALUE"""),375.0)</f>
        <v>375</v>
      </c>
      <c r="AJ684" s="131" t="str">
        <f>IFERROR(__xludf.DUMMYFUNCTION("""COMPUTED_VALUE"""),"S48,G51")</f>
        <v>S48,G51</v>
      </c>
      <c r="AK684" s="131"/>
    </row>
    <row r="685">
      <c r="A685" s="124"/>
      <c r="B685" s="131" t="str">
        <f>IFERROR(__xludf.DUMMYFUNCTION("""COMPUTED_VALUE"""),"8")</f>
        <v>8</v>
      </c>
      <c r="C685" s="131"/>
      <c r="D685" s="144">
        <f>IFERROR(__xludf.DUMMYFUNCTION("""COMPUTED_VALUE"""),45824.0)</f>
        <v>45824</v>
      </c>
      <c r="E685" s="147">
        <f>IFERROR(__xludf.DUMMYFUNCTION("""COMPUTED_VALUE"""),45831.0)</f>
        <v>45831</v>
      </c>
      <c r="F685" s="147">
        <f>IFERROR(__xludf.DUMMYFUNCTION("""COMPUTED_VALUE"""),45852.0)</f>
        <v>45852</v>
      </c>
      <c r="G685" s="131" t="str">
        <f>IFERROR(__xludf.DUMMYFUNCTION("""COMPUTED_VALUE"""),"D31-1R")</f>
        <v>D31-1R</v>
      </c>
      <c r="H685" s="126">
        <f>IFERROR(__xludf.DUMMYFUNCTION("""COMPUTED_VALUE"""),75.0)</f>
        <v>75</v>
      </c>
      <c r="I685" s="126">
        <f>IFERROR(__xludf.DUMMYFUNCTION("""COMPUTED_VALUE"""),113.0)</f>
        <v>113</v>
      </c>
      <c r="J685" s="131">
        <f>IFERROR(__xludf.DUMMYFUNCTION("""COMPUTED_VALUE"""),20.0)</f>
        <v>20</v>
      </c>
      <c r="K685" s="131">
        <f>IFERROR(__xludf.DUMMYFUNCTION("""COMPUTED_VALUE"""),20.0)</f>
        <v>20</v>
      </c>
      <c r="L685" s="131"/>
      <c r="M685" s="131"/>
      <c r="N685" s="131"/>
      <c r="O685" s="131"/>
      <c r="P685" s="131">
        <f>IFERROR(__xludf.DUMMYFUNCTION("""COMPUTED_VALUE"""),375.0)</f>
        <v>375</v>
      </c>
      <c r="Q685" s="131" t="str">
        <f>IFERROR(__xludf.DUMMYFUNCTION("""COMPUTED_VALUE"""),"S48,G51")</f>
        <v>S48,G51</v>
      </c>
      <c r="R685" s="131"/>
      <c r="T685" s="131"/>
      <c r="U685" s="131" t="str">
        <f>IFERROR(__xludf.DUMMYFUNCTION("""COMPUTED_VALUE"""),"8")</f>
        <v>8</v>
      </c>
      <c r="V685" s="131"/>
      <c r="W685" s="144">
        <f>IFERROR(__xludf.DUMMYFUNCTION("""COMPUTED_VALUE"""),45824.0)</f>
        <v>45824</v>
      </c>
      <c r="X685" s="144">
        <f>IFERROR(__xludf.DUMMYFUNCTION("""COMPUTED_VALUE"""),45831.0)</f>
        <v>45831</v>
      </c>
      <c r="Y685" s="144">
        <f>IFERROR(__xludf.DUMMYFUNCTION("""COMPUTED_VALUE"""),45852.0)</f>
        <v>45852</v>
      </c>
      <c r="Z685" s="131" t="str">
        <f>IFERROR(__xludf.DUMMYFUNCTION("""COMPUTED_VALUE"""),"D31-1R")</f>
        <v>D31-1R</v>
      </c>
      <c r="AA685" s="131">
        <f>IFERROR(__xludf.DUMMYFUNCTION("""COMPUTED_VALUE"""),119.0)</f>
        <v>119</v>
      </c>
      <c r="AB685" s="131">
        <f>IFERROR(__xludf.DUMMYFUNCTION("""COMPUTED_VALUE"""),139.0)</f>
        <v>139</v>
      </c>
      <c r="AC685" s="131">
        <f>IFERROR(__xludf.DUMMYFUNCTION("""COMPUTED_VALUE"""),11.0)</f>
        <v>11</v>
      </c>
      <c r="AD685" s="131">
        <f>IFERROR(__xludf.DUMMYFUNCTION("""COMPUTED_VALUE"""),11.0)</f>
        <v>11</v>
      </c>
      <c r="AE685" s="131"/>
      <c r="AF685" s="131"/>
      <c r="AG685" s="131"/>
      <c r="AH685" s="131"/>
      <c r="AI685" s="131">
        <f>IFERROR(__xludf.DUMMYFUNCTION("""COMPUTED_VALUE"""),375.0)</f>
        <v>375</v>
      </c>
      <c r="AJ685" s="131" t="str">
        <f>IFERROR(__xludf.DUMMYFUNCTION("""COMPUTED_VALUE"""),"S48,G51")</f>
        <v>S48,G51</v>
      </c>
      <c r="AK685" s="131"/>
    </row>
    <row r="686">
      <c r="A686" s="124"/>
      <c r="B686" s="131" t="str">
        <f>IFERROR(__xludf.DUMMYFUNCTION("""COMPUTED_VALUE"""),"8")</f>
        <v>8</v>
      </c>
      <c r="C686" s="131"/>
      <c r="D686" s="144">
        <f>IFERROR(__xludf.DUMMYFUNCTION("""COMPUTED_VALUE"""),45824.0)</f>
        <v>45824</v>
      </c>
      <c r="E686" s="147">
        <f>IFERROR(__xludf.DUMMYFUNCTION("""COMPUTED_VALUE"""),45831.0)</f>
        <v>45831</v>
      </c>
      <c r="F686" s="147">
        <f>IFERROR(__xludf.DUMMYFUNCTION("""COMPUTED_VALUE"""),45852.0)</f>
        <v>45852</v>
      </c>
      <c r="G686" s="131" t="str">
        <f>IFERROR(__xludf.DUMMYFUNCTION("""COMPUTED_VALUE"""),"D31-1R")</f>
        <v>D31-1R</v>
      </c>
      <c r="H686" s="126">
        <f>IFERROR(__xludf.DUMMYFUNCTION("""COMPUTED_VALUE"""),119.0)</f>
        <v>119</v>
      </c>
      <c r="I686" s="126">
        <f>IFERROR(__xludf.DUMMYFUNCTION("""COMPUTED_VALUE"""),139.0)</f>
        <v>139</v>
      </c>
      <c r="J686" s="131">
        <f>IFERROR(__xludf.DUMMYFUNCTION("""COMPUTED_VALUE"""),11.0)</f>
        <v>11</v>
      </c>
      <c r="K686" s="131">
        <f>IFERROR(__xludf.DUMMYFUNCTION("""COMPUTED_VALUE"""),11.0)</f>
        <v>11</v>
      </c>
      <c r="L686" s="131"/>
      <c r="M686" s="131"/>
      <c r="N686" s="131"/>
      <c r="O686" s="131"/>
      <c r="P686" s="131">
        <f>IFERROR(__xludf.DUMMYFUNCTION("""COMPUTED_VALUE"""),375.0)</f>
        <v>375</v>
      </c>
      <c r="Q686" s="131" t="str">
        <f>IFERROR(__xludf.DUMMYFUNCTION("""COMPUTED_VALUE"""),"S48,G51")</f>
        <v>S48,G51</v>
      </c>
      <c r="R686" s="131"/>
      <c r="T686" s="131"/>
      <c r="U686" s="131" t="str">
        <f>IFERROR(__xludf.DUMMYFUNCTION("""COMPUTED_VALUE"""),"8")</f>
        <v>8</v>
      </c>
      <c r="V686" s="131"/>
      <c r="W686" s="144">
        <f>IFERROR(__xludf.DUMMYFUNCTION("""COMPUTED_VALUE"""),45824.0)</f>
        <v>45824</v>
      </c>
      <c r="X686" s="144">
        <f>IFERROR(__xludf.DUMMYFUNCTION("""COMPUTED_VALUE"""),45831.0)</f>
        <v>45831</v>
      </c>
      <c r="Y686" s="144">
        <f>IFERROR(__xludf.DUMMYFUNCTION("""COMPUTED_VALUE"""),45852.0)</f>
        <v>45852</v>
      </c>
      <c r="Z686" s="131" t="str">
        <f>IFERROR(__xludf.DUMMYFUNCTION("""COMPUTED_VALUE"""),"D31-1R")</f>
        <v>D31-1R</v>
      </c>
      <c r="AA686" s="131">
        <f>IFERROR(__xludf.DUMMYFUNCTION("""COMPUTED_VALUE"""),153.0)</f>
        <v>153</v>
      </c>
      <c r="AB686" s="131">
        <f>IFERROR(__xludf.DUMMYFUNCTION("""COMPUTED_VALUE"""),187.0)</f>
        <v>187</v>
      </c>
      <c r="AC686" s="131">
        <f>IFERROR(__xludf.DUMMYFUNCTION("""COMPUTED_VALUE"""),18.0)</f>
        <v>18</v>
      </c>
      <c r="AD686" s="131">
        <f>IFERROR(__xludf.DUMMYFUNCTION("""COMPUTED_VALUE"""),18.0)</f>
        <v>18</v>
      </c>
      <c r="AE686" s="131"/>
      <c r="AF686" s="131"/>
      <c r="AG686" s="131"/>
      <c r="AH686" s="131"/>
      <c r="AI686" s="131">
        <f>IFERROR(__xludf.DUMMYFUNCTION("""COMPUTED_VALUE"""),375.0)</f>
        <v>375</v>
      </c>
      <c r="AJ686" s="131" t="str">
        <f>IFERROR(__xludf.DUMMYFUNCTION("""COMPUTED_VALUE"""),"S48,G51")</f>
        <v>S48,G51</v>
      </c>
      <c r="AK686" s="131"/>
    </row>
    <row r="687">
      <c r="A687" s="124"/>
      <c r="B687" s="131" t="str">
        <f>IFERROR(__xludf.DUMMYFUNCTION("""COMPUTED_VALUE"""),"8")</f>
        <v>8</v>
      </c>
      <c r="C687" s="131"/>
      <c r="D687" s="144">
        <f>IFERROR(__xludf.DUMMYFUNCTION("""COMPUTED_VALUE"""),45824.0)</f>
        <v>45824</v>
      </c>
      <c r="E687" s="147">
        <f>IFERROR(__xludf.DUMMYFUNCTION("""COMPUTED_VALUE"""),45831.0)</f>
        <v>45831</v>
      </c>
      <c r="F687" s="147">
        <f>IFERROR(__xludf.DUMMYFUNCTION("""COMPUTED_VALUE"""),45852.0)</f>
        <v>45852</v>
      </c>
      <c r="G687" s="131" t="str">
        <f>IFERROR(__xludf.DUMMYFUNCTION("""COMPUTED_VALUE"""),"D31-1R")</f>
        <v>D31-1R</v>
      </c>
      <c r="H687" s="126">
        <f>IFERROR(__xludf.DUMMYFUNCTION("""COMPUTED_VALUE"""),153.0)</f>
        <v>153</v>
      </c>
      <c r="I687" s="126">
        <f>IFERROR(__xludf.DUMMYFUNCTION("""COMPUTED_VALUE"""),187.0)</f>
        <v>187</v>
      </c>
      <c r="J687" s="131">
        <f>IFERROR(__xludf.DUMMYFUNCTION("""COMPUTED_VALUE"""),18.0)</f>
        <v>18</v>
      </c>
      <c r="K687" s="131">
        <f>IFERROR(__xludf.DUMMYFUNCTION("""COMPUTED_VALUE"""),18.0)</f>
        <v>18</v>
      </c>
      <c r="L687" s="131"/>
      <c r="M687" s="131"/>
      <c r="N687" s="131"/>
      <c r="O687" s="131"/>
      <c r="P687" s="131">
        <f>IFERROR(__xludf.DUMMYFUNCTION("""COMPUTED_VALUE"""),375.0)</f>
        <v>375</v>
      </c>
      <c r="Q687" s="131" t="str">
        <f>IFERROR(__xludf.DUMMYFUNCTION("""COMPUTED_VALUE"""),"S48,G51")</f>
        <v>S48,G51</v>
      </c>
      <c r="R687" s="131"/>
      <c r="T687" s="131"/>
      <c r="U687" s="131" t="str">
        <f>IFERROR(__xludf.DUMMYFUNCTION("""COMPUTED_VALUE"""),"8")</f>
        <v>8</v>
      </c>
      <c r="V687" s="131"/>
      <c r="W687" s="144">
        <f>IFERROR(__xludf.DUMMYFUNCTION("""COMPUTED_VALUE"""),45825.0)</f>
        <v>45825</v>
      </c>
      <c r="X687" s="144">
        <f>IFERROR(__xludf.DUMMYFUNCTION("""COMPUTED_VALUE"""),45832.0)</f>
        <v>45832</v>
      </c>
      <c r="Y687" s="144">
        <f>IFERROR(__xludf.DUMMYFUNCTION("""COMPUTED_VALUE"""),45853.0)</f>
        <v>45853</v>
      </c>
      <c r="Z687" s="131" t="str">
        <f>IFERROR(__xludf.DUMMYFUNCTION("""COMPUTED_VALUE"""),"D31-1R")</f>
        <v>D31-1R</v>
      </c>
      <c r="AA687" s="131">
        <f>IFERROR(__xludf.DUMMYFUNCTION("""COMPUTED_VALUE"""),33.0)</f>
        <v>33</v>
      </c>
      <c r="AB687" s="131">
        <f>IFERROR(__xludf.DUMMYFUNCTION("""COMPUTED_VALUE"""),39.0)</f>
        <v>39</v>
      </c>
      <c r="AC687" s="131">
        <f>IFERROR(__xludf.DUMMYFUNCTION("""COMPUTED_VALUE"""),4.0)</f>
        <v>4</v>
      </c>
      <c r="AD687" s="131">
        <f>IFERROR(__xludf.DUMMYFUNCTION("""COMPUTED_VALUE"""),4.0)</f>
        <v>4</v>
      </c>
      <c r="AE687" s="131">
        <f>IFERROR(__xludf.DUMMYFUNCTION("""COMPUTED_VALUE"""),12.0)</f>
        <v>12</v>
      </c>
      <c r="AF687" s="131">
        <f>IFERROR(__xludf.DUMMYFUNCTION("""COMPUTED_VALUE"""),12.0)</f>
        <v>12</v>
      </c>
      <c r="AG687" s="131">
        <f>IFERROR(__xludf.DUMMYFUNCTION("""COMPUTED_VALUE"""),1.0)</f>
        <v>1</v>
      </c>
      <c r="AH687" s="131">
        <f>IFERROR(__xludf.DUMMYFUNCTION("""COMPUTED_VALUE"""),1.0)</f>
        <v>1</v>
      </c>
      <c r="AI687" s="131">
        <f>IFERROR(__xludf.DUMMYFUNCTION("""COMPUTED_VALUE"""),376.0)</f>
        <v>376</v>
      </c>
      <c r="AJ687" s="131" t="str">
        <f>IFERROR(__xludf.DUMMYFUNCTION("""COMPUTED_VALUE"""),"S48,G51")</f>
        <v>S48,G51</v>
      </c>
      <c r="AK687" s="131">
        <f>IFERROR(__xludf.DUMMYFUNCTION("""COMPUTED_VALUE"""),26.5)</f>
        <v>26.5</v>
      </c>
    </row>
    <row r="688">
      <c r="A688" s="124"/>
      <c r="B688" s="131" t="str">
        <f>IFERROR(__xludf.DUMMYFUNCTION("""COMPUTED_VALUE"""),"8")</f>
        <v>8</v>
      </c>
      <c r="C688" s="131"/>
      <c r="D688" s="144">
        <f>IFERROR(__xludf.DUMMYFUNCTION("""COMPUTED_VALUE"""),45825.0)</f>
        <v>45825</v>
      </c>
      <c r="E688" s="147">
        <f>IFERROR(__xludf.DUMMYFUNCTION("""COMPUTED_VALUE"""),45832.0)</f>
        <v>45832</v>
      </c>
      <c r="F688" s="147">
        <f>IFERROR(__xludf.DUMMYFUNCTION("""COMPUTED_VALUE"""),45853.0)</f>
        <v>45853</v>
      </c>
      <c r="G688" s="131" t="str">
        <f>IFERROR(__xludf.DUMMYFUNCTION("""COMPUTED_VALUE"""),"D31-1R")</f>
        <v>D31-1R</v>
      </c>
      <c r="H688" s="126">
        <f>IFERROR(__xludf.DUMMYFUNCTION("""COMPUTED_VALUE"""),33.0)</f>
        <v>33</v>
      </c>
      <c r="I688" s="126">
        <f>IFERROR(__xludf.DUMMYFUNCTION("""COMPUTED_VALUE"""),39.0)</f>
        <v>39</v>
      </c>
      <c r="J688" s="131">
        <f>IFERROR(__xludf.DUMMYFUNCTION("""COMPUTED_VALUE"""),4.0)</f>
        <v>4</v>
      </c>
      <c r="K688" s="131">
        <f>IFERROR(__xludf.DUMMYFUNCTION("""COMPUTED_VALUE"""),4.0)</f>
        <v>4</v>
      </c>
      <c r="L688" s="131">
        <f>IFERROR(__xludf.DUMMYFUNCTION("""COMPUTED_VALUE"""),12.0)</f>
        <v>12</v>
      </c>
      <c r="M688" s="131">
        <f>IFERROR(__xludf.DUMMYFUNCTION("""COMPUTED_VALUE"""),12.0)</f>
        <v>12</v>
      </c>
      <c r="N688" s="131">
        <f>IFERROR(__xludf.DUMMYFUNCTION("""COMPUTED_VALUE"""),1.0)</f>
        <v>1</v>
      </c>
      <c r="O688" s="131">
        <f>IFERROR(__xludf.DUMMYFUNCTION("""COMPUTED_VALUE"""),1.0)</f>
        <v>1</v>
      </c>
      <c r="P688" s="131">
        <f>IFERROR(__xludf.DUMMYFUNCTION("""COMPUTED_VALUE"""),376.0)</f>
        <v>376</v>
      </c>
      <c r="Q688" s="131" t="str">
        <f>IFERROR(__xludf.DUMMYFUNCTION("""COMPUTED_VALUE"""),"S48,G51")</f>
        <v>S48,G51</v>
      </c>
      <c r="R688" s="131">
        <f>IFERROR(__xludf.DUMMYFUNCTION("""COMPUTED_VALUE"""),26.5)</f>
        <v>26.5</v>
      </c>
      <c r="T688" s="131"/>
      <c r="U688" s="131" t="str">
        <f>IFERROR(__xludf.DUMMYFUNCTION("""COMPUTED_VALUE"""),"8")</f>
        <v>8</v>
      </c>
      <c r="V688" s="131"/>
      <c r="W688" s="144">
        <f>IFERROR(__xludf.DUMMYFUNCTION("""COMPUTED_VALUE"""),45825.0)</f>
        <v>45825</v>
      </c>
      <c r="X688" s="144">
        <f>IFERROR(__xludf.DUMMYFUNCTION("""COMPUTED_VALUE"""),45832.0)</f>
        <v>45832</v>
      </c>
      <c r="Y688" s="144">
        <f>IFERROR(__xludf.DUMMYFUNCTION("""COMPUTED_VALUE"""),45853.0)</f>
        <v>45853</v>
      </c>
      <c r="Z688" s="131" t="str">
        <f>IFERROR(__xludf.DUMMYFUNCTION("""COMPUTED_VALUE"""),"D31-1R")</f>
        <v>D31-1R</v>
      </c>
      <c r="AA688" s="131">
        <f>IFERROR(__xludf.DUMMYFUNCTION("""COMPUTED_VALUE"""),189.0)</f>
        <v>189</v>
      </c>
      <c r="AB688" s="131">
        <f>IFERROR(__xludf.DUMMYFUNCTION("""COMPUTED_VALUE"""),253.0)</f>
        <v>253</v>
      </c>
      <c r="AC688" s="131">
        <f>IFERROR(__xludf.DUMMYFUNCTION("""COMPUTED_VALUE"""),33.0)</f>
        <v>33</v>
      </c>
      <c r="AD688" s="131">
        <f>IFERROR(__xludf.DUMMYFUNCTION("""COMPUTED_VALUE"""),33.0)</f>
        <v>33</v>
      </c>
      <c r="AE688" s="131">
        <f>IFERROR(__xludf.DUMMYFUNCTION("""COMPUTED_VALUE"""),6.0)</f>
        <v>6</v>
      </c>
      <c r="AF688" s="131">
        <f>IFERROR(__xludf.DUMMYFUNCTION("""COMPUTED_VALUE"""),20.0)</f>
        <v>20</v>
      </c>
      <c r="AG688" s="131">
        <f>IFERROR(__xludf.DUMMYFUNCTION("""COMPUTED_VALUE"""),8.0)</f>
        <v>8</v>
      </c>
      <c r="AH688" s="131">
        <f>IFERROR(__xludf.DUMMYFUNCTION("""COMPUTED_VALUE"""),8.0)</f>
        <v>8</v>
      </c>
      <c r="AI688" s="131">
        <f>IFERROR(__xludf.DUMMYFUNCTION("""COMPUTED_VALUE"""),376.0)</f>
        <v>376</v>
      </c>
      <c r="AJ688" s="131" t="str">
        <f>IFERROR(__xludf.DUMMYFUNCTION("""COMPUTED_VALUE"""),"S48,G51")</f>
        <v>S48,G51</v>
      </c>
      <c r="AK688" s="131"/>
    </row>
    <row r="689">
      <c r="A689" s="124"/>
      <c r="B689" s="131" t="str">
        <f>IFERROR(__xludf.DUMMYFUNCTION("""COMPUTED_VALUE"""),"8")</f>
        <v>8</v>
      </c>
      <c r="C689" s="131"/>
      <c r="D689" s="144">
        <f>IFERROR(__xludf.DUMMYFUNCTION("""COMPUTED_VALUE"""),45825.0)</f>
        <v>45825</v>
      </c>
      <c r="E689" s="147">
        <f>IFERROR(__xludf.DUMMYFUNCTION("""COMPUTED_VALUE"""),45832.0)</f>
        <v>45832</v>
      </c>
      <c r="F689" s="147">
        <f>IFERROR(__xludf.DUMMYFUNCTION("""COMPUTED_VALUE"""),45853.0)</f>
        <v>45853</v>
      </c>
      <c r="G689" s="131" t="str">
        <f>IFERROR(__xludf.DUMMYFUNCTION("""COMPUTED_VALUE"""),"D31-1R")</f>
        <v>D31-1R</v>
      </c>
      <c r="H689" s="126">
        <f>IFERROR(__xludf.DUMMYFUNCTION("""COMPUTED_VALUE"""),189.0)</f>
        <v>189</v>
      </c>
      <c r="I689" s="126">
        <f>IFERROR(__xludf.DUMMYFUNCTION("""COMPUTED_VALUE"""),253.0)</f>
        <v>253</v>
      </c>
      <c r="J689" s="131">
        <f>IFERROR(__xludf.DUMMYFUNCTION("""COMPUTED_VALUE"""),33.0)</f>
        <v>33</v>
      </c>
      <c r="K689" s="131">
        <f>IFERROR(__xludf.DUMMYFUNCTION("""COMPUTED_VALUE"""),33.0)</f>
        <v>33</v>
      </c>
      <c r="L689" s="131">
        <f>IFERROR(__xludf.DUMMYFUNCTION("""COMPUTED_VALUE"""),6.0)</f>
        <v>6</v>
      </c>
      <c r="M689" s="131">
        <f>IFERROR(__xludf.DUMMYFUNCTION("""COMPUTED_VALUE"""),20.0)</f>
        <v>20</v>
      </c>
      <c r="N689" s="131">
        <f>IFERROR(__xludf.DUMMYFUNCTION("""COMPUTED_VALUE"""),8.0)</f>
        <v>8</v>
      </c>
      <c r="O689" s="131">
        <f>IFERROR(__xludf.DUMMYFUNCTION("""COMPUTED_VALUE"""),8.0)</f>
        <v>8</v>
      </c>
      <c r="P689" s="131">
        <f>IFERROR(__xludf.DUMMYFUNCTION("""COMPUTED_VALUE"""),376.0)</f>
        <v>376</v>
      </c>
      <c r="Q689" s="131" t="str">
        <f>IFERROR(__xludf.DUMMYFUNCTION("""COMPUTED_VALUE"""),"S48,G51")</f>
        <v>S48,G51</v>
      </c>
      <c r="R689" s="131"/>
      <c r="T689" s="131"/>
      <c r="U689" s="131" t="str">
        <f>IFERROR(__xludf.DUMMYFUNCTION("""COMPUTED_VALUE"""),"8")</f>
        <v>8</v>
      </c>
      <c r="V689" s="131"/>
      <c r="W689" s="144">
        <f>IFERROR(__xludf.DUMMYFUNCTION("""COMPUTED_VALUE"""),45825.0)</f>
        <v>45825</v>
      </c>
      <c r="X689" s="144">
        <f>IFERROR(__xludf.DUMMYFUNCTION("""COMPUTED_VALUE"""),45832.0)</f>
        <v>45832</v>
      </c>
      <c r="Y689" s="144">
        <f>IFERROR(__xludf.DUMMYFUNCTION("""COMPUTED_VALUE"""),45853.0)</f>
        <v>45853</v>
      </c>
      <c r="Z689" s="131" t="str">
        <f>IFERROR(__xludf.DUMMYFUNCTION("""COMPUTED_VALUE"""),"D31-1R")</f>
        <v>D31-1R</v>
      </c>
      <c r="AA689" s="131"/>
      <c r="AB689" s="131"/>
      <c r="AC689" s="131"/>
      <c r="AD689" s="131"/>
      <c r="AE689" s="131">
        <f>IFERROR(__xludf.DUMMYFUNCTION("""COMPUTED_VALUE"""),48.0)</f>
        <v>48</v>
      </c>
      <c r="AF689" s="131">
        <f>IFERROR(__xludf.DUMMYFUNCTION("""COMPUTED_VALUE"""),52.0)</f>
        <v>52</v>
      </c>
      <c r="AG689" s="131">
        <f>IFERROR(__xludf.DUMMYFUNCTION("""COMPUTED_VALUE"""),3.0)</f>
        <v>3</v>
      </c>
      <c r="AH689" s="131">
        <f>IFERROR(__xludf.DUMMYFUNCTION("""COMPUTED_VALUE"""),3.0)</f>
        <v>3</v>
      </c>
      <c r="AI689" s="131">
        <f>IFERROR(__xludf.DUMMYFUNCTION("""COMPUTED_VALUE"""),376.0)</f>
        <v>376</v>
      </c>
      <c r="AJ689" s="131" t="str">
        <f>IFERROR(__xludf.DUMMYFUNCTION("""COMPUTED_VALUE"""),"S48,G51")</f>
        <v>S48,G51</v>
      </c>
      <c r="AK689" s="131"/>
    </row>
    <row r="690">
      <c r="A690" s="124"/>
      <c r="B690" s="131" t="str">
        <f>IFERROR(__xludf.DUMMYFUNCTION("""COMPUTED_VALUE"""),"8")</f>
        <v>8</v>
      </c>
      <c r="C690" s="131"/>
      <c r="D690" s="144">
        <f>IFERROR(__xludf.DUMMYFUNCTION("""COMPUTED_VALUE"""),45825.0)</f>
        <v>45825</v>
      </c>
      <c r="E690" s="147">
        <f>IFERROR(__xludf.DUMMYFUNCTION("""COMPUTED_VALUE"""),45832.0)</f>
        <v>45832</v>
      </c>
      <c r="F690" s="147">
        <f>IFERROR(__xludf.DUMMYFUNCTION("""COMPUTED_VALUE"""),45853.0)</f>
        <v>45853</v>
      </c>
      <c r="G690" s="131" t="str">
        <f>IFERROR(__xludf.DUMMYFUNCTION("""COMPUTED_VALUE"""),"D31-1R")</f>
        <v>D31-1R</v>
      </c>
      <c r="H690" s="126"/>
      <c r="I690" s="126"/>
      <c r="J690" s="131"/>
      <c r="K690" s="131"/>
      <c r="L690" s="131">
        <f>IFERROR(__xludf.DUMMYFUNCTION("""COMPUTED_VALUE"""),48.0)</f>
        <v>48</v>
      </c>
      <c r="M690" s="131">
        <f>IFERROR(__xludf.DUMMYFUNCTION("""COMPUTED_VALUE"""),52.0)</f>
        <v>52</v>
      </c>
      <c r="N690" s="131">
        <f>IFERROR(__xludf.DUMMYFUNCTION("""COMPUTED_VALUE"""),3.0)</f>
        <v>3</v>
      </c>
      <c r="O690" s="131">
        <f>IFERROR(__xludf.DUMMYFUNCTION("""COMPUTED_VALUE"""),3.0)</f>
        <v>3</v>
      </c>
      <c r="P690" s="131">
        <f>IFERROR(__xludf.DUMMYFUNCTION("""COMPUTED_VALUE"""),376.0)</f>
        <v>376</v>
      </c>
      <c r="Q690" s="131" t="str">
        <f>IFERROR(__xludf.DUMMYFUNCTION("""COMPUTED_VALUE"""),"S48,G51")</f>
        <v>S48,G51</v>
      </c>
      <c r="R690" s="131"/>
      <c r="T690" s="131"/>
      <c r="U690" s="131" t="str">
        <f>IFERROR(__xludf.DUMMYFUNCTION("""COMPUTED_VALUE"""),"8")</f>
        <v>8</v>
      </c>
      <c r="V690" s="131"/>
      <c r="W690" s="144">
        <f>IFERROR(__xludf.DUMMYFUNCTION("""COMPUTED_VALUE"""),45825.0)</f>
        <v>45825</v>
      </c>
      <c r="X690" s="144">
        <f>IFERROR(__xludf.DUMMYFUNCTION("""COMPUTED_VALUE"""),45832.0)</f>
        <v>45832</v>
      </c>
      <c r="Y690" s="144">
        <f>IFERROR(__xludf.DUMMYFUNCTION("""COMPUTED_VALUE"""),45853.0)</f>
        <v>45853</v>
      </c>
      <c r="Z690" s="131" t="str">
        <f>IFERROR(__xludf.DUMMYFUNCTION("""COMPUTED_VALUE"""),"D31-1R")</f>
        <v>D31-1R</v>
      </c>
      <c r="AA690" s="131"/>
      <c r="AB690" s="131"/>
      <c r="AC690" s="131"/>
      <c r="AD690" s="131"/>
      <c r="AE690" s="131">
        <f>IFERROR(__xludf.DUMMYFUNCTION("""COMPUTED_VALUE"""),78.0)</f>
        <v>78</v>
      </c>
      <c r="AF690" s="131">
        <f>IFERROR(__xludf.DUMMYFUNCTION("""COMPUTED_VALUE"""),112.0)</f>
        <v>112</v>
      </c>
      <c r="AG690" s="131">
        <f>IFERROR(__xludf.DUMMYFUNCTION("""COMPUTED_VALUE"""),18.0)</f>
        <v>18</v>
      </c>
      <c r="AH690" s="131">
        <f>IFERROR(__xludf.DUMMYFUNCTION("""COMPUTED_VALUE"""),18.0)</f>
        <v>18</v>
      </c>
      <c r="AI690" s="131">
        <f>IFERROR(__xludf.DUMMYFUNCTION("""COMPUTED_VALUE"""),376.0)</f>
        <v>376</v>
      </c>
      <c r="AJ690" s="131" t="str">
        <f>IFERROR(__xludf.DUMMYFUNCTION("""COMPUTED_VALUE"""),"S48,G51")</f>
        <v>S48,G51</v>
      </c>
      <c r="AK690" s="131"/>
    </row>
    <row r="691">
      <c r="A691" s="124"/>
      <c r="B691" s="131" t="str">
        <f>IFERROR(__xludf.DUMMYFUNCTION("""COMPUTED_VALUE"""),"8")</f>
        <v>8</v>
      </c>
      <c r="C691" s="131"/>
      <c r="D691" s="144">
        <f>IFERROR(__xludf.DUMMYFUNCTION("""COMPUTED_VALUE"""),45825.0)</f>
        <v>45825</v>
      </c>
      <c r="E691" s="147">
        <f>IFERROR(__xludf.DUMMYFUNCTION("""COMPUTED_VALUE"""),45832.0)</f>
        <v>45832</v>
      </c>
      <c r="F691" s="147">
        <f>IFERROR(__xludf.DUMMYFUNCTION("""COMPUTED_VALUE"""),45853.0)</f>
        <v>45853</v>
      </c>
      <c r="G691" s="131" t="str">
        <f>IFERROR(__xludf.DUMMYFUNCTION("""COMPUTED_VALUE"""),"D31-1R")</f>
        <v>D31-1R</v>
      </c>
      <c r="H691" s="126"/>
      <c r="I691" s="126"/>
      <c r="J691" s="131"/>
      <c r="K691" s="131"/>
      <c r="L691" s="131">
        <f>IFERROR(__xludf.DUMMYFUNCTION("""COMPUTED_VALUE"""),78.0)</f>
        <v>78</v>
      </c>
      <c r="M691" s="131">
        <f>IFERROR(__xludf.DUMMYFUNCTION("""COMPUTED_VALUE"""),112.0)</f>
        <v>112</v>
      </c>
      <c r="N691" s="131">
        <f>IFERROR(__xludf.DUMMYFUNCTION("""COMPUTED_VALUE"""),18.0)</f>
        <v>18</v>
      </c>
      <c r="O691" s="131">
        <f>IFERROR(__xludf.DUMMYFUNCTION("""COMPUTED_VALUE"""),18.0)</f>
        <v>18</v>
      </c>
      <c r="P691" s="131">
        <f>IFERROR(__xludf.DUMMYFUNCTION("""COMPUTED_VALUE"""),376.0)</f>
        <v>376</v>
      </c>
      <c r="Q691" s="131" t="str">
        <f>IFERROR(__xludf.DUMMYFUNCTION("""COMPUTED_VALUE"""),"S48,G51")</f>
        <v>S48,G51</v>
      </c>
      <c r="R691" s="131"/>
      <c r="T691" s="131"/>
      <c r="U691" s="131" t="str">
        <f>IFERROR(__xludf.DUMMYFUNCTION("""COMPUTED_VALUE"""),"8")</f>
        <v>8</v>
      </c>
      <c r="V691" s="131"/>
      <c r="W691" s="144">
        <f>IFERROR(__xludf.DUMMYFUNCTION("""COMPUTED_VALUE"""),45825.0)</f>
        <v>45825</v>
      </c>
      <c r="X691" s="144">
        <f>IFERROR(__xludf.DUMMYFUNCTION("""COMPUTED_VALUE"""),45832.0)</f>
        <v>45832</v>
      </c>
      <c r="Y691" s="144">
        <f>IFERROR(__xludf.DUMMYFUNCTION("""COMPUTED_VALUE"""),45853.0)</f>
        <v>45853</v>
      </c>
      <c r="Z691" s="131" t="str">
        <f>IFERROR(__xludf.DUMMYFUNCTION("""COMPUTED_VALUE"""),"D31-1R")</f>
        <v>D31-1R</v>
      </c>
      <c r="AA691" s="131"/>
      <c r="AB691" s="131"/>
      <c r="AC691" s="131"/>
      <c r="AD691" s="131"/>
      <c r="AE691" s="131">
        <f>IFERROR(__xludf.DUMMYFUNCTION("""COMPUTED_VALUE"""),122.0)</f>
        <v>122</v>
      </c>
      <c r="AF691" s="131">
        <f>IFERROR(__xludf.DUMMYFUNCTION("""COMPUTED_VALUE"""),140.0)</f>
        <v>140</v>
      </c>
      <c r="AG691" s="131">
        <f>IFERROR(__xludf.DUMMYFUNCTION("""COMPUTED_VALUE"""),10.0)</f>
        <v>10</v>
      </c>
      <c r="AH691" s="131">
        <f>IFERROR(__xludf.DUMMYFUNCTION("""COMPUTED_VALUE"""),10.0)</f>
        <v>10</v>
      </c>
      <c r="AI691" s="131">
        <f>IFERROR(__xludf.DUMMYFUNCTION("""COMPUTED_VALUE"""),376.0)</f>
        <v>376</v>
      </c>
      <c r="AJ691" s="131" t="str">
        <f>IFERROR(__xludf.DUMMYFUNCTION("""COMPUTED_VALUE"""),"S48,G51")</f>
        <v>S48,G51</v>
      </c>
      <c r="AK691" s="131"/>
    </row>
    <row r="692">
      <c r="A692" s="124"/>
      <c r="B692" s="131" t="str">
        <f>IFERROR(__xludf.DUMMYFUNCTION("""COMPUTED_VALUE"""),"8")</f>
        <v>8</v>
      </c>
      <c r="C692" s="131"/>
      <c r="D692" s="144">
        <f>IFERROR(__xludf.DUMMYFUNCTION("""COMPUTED_VALUE"""),45825.0)</f>
        <v>45825</v>
      </c>
      <c r="E692" s="147">
        <f>IFERROR(__xludf.DUMMYFUNCTION("""COMPUTED_VALUE"""),45832.0)</f>
        <v>45832</v>
      </c>
      <c r="F692" s="147">
        <f>IFERROR(__xludf.DUMMYFUNCTION("""COMPUTED_VALUE"""),45853.0)</f>
        <v>45853</v>
      </c>
      <c r="G692" s="131" t="str">
        <f>IFERROR(__xludf.DUMMYFUNCTION("""COMPUTED_VALUE"""),"D31-1R")</f>
        <v>D31-1R</v>
      </c>
      <c r="H692" s="126"/>
      <c r="I692" s="126"/>
      <c r="J692" s="131"/>
      <c r="K692" s="131"/>
      <c r="L692" s="131">
        <f>IFERROR(__xludf.DUMMYFUNCTION("""COMPUTED_VALUE"""),122.0)</f>
        <v>122</v>
      </c>
      <c r="M692" s="131">
        <f>IFERROR(__xludf.DUMMYFUNCTION("""COMPUTED_VALUE"""),140.0)</f>
        <v>140</v>
      </c>
      <c r="N692" s="131">
        <f>IFERROR(__xludf.DUMMYFUNCTION("""COMPUTED_VALUE"""),10.0)</f>
        <v>10</v>
      </c>
      <c r="O692" s="131">
        <f>IFERROR(__xludf.DUMMYFUNCTION("""COMPUTED_VALUE"""),10.0)</f>
        <v>10</v>
      </c>
      <c r="P692" s="131">
        <f>IFERROR(__xludf.DUMMYFUNCTION("""COMPUTED_VALUE"""),376.0)</f>
        <v>376</v>
      </c>
      <c r="Q692" s="131" t="str">
        <f>IFERROR(__xludf.DUMMYFUNCTION("""COMPUTED_VALUE"""),"S48,G51")</f>
        <v>S48,G51</v>
      </c>
      <c r="R692" s="131"/>
      <c r="T692" s="131"/>
      <c r="U692" s="131" t="str">
        <f>IFERROR(__xludf.DUMMYFUNCTION("""COMPUTED_VALUE"""),"8")</f>
        <v>8</v>
      </c>
      <c r="V692" s="131"/>
      <c r="W692" s="144">
        <f>IFERROR(__xludf.DUMMYFUNCTION("""COMPUTED_VALUE"""),45825.0)</f>
        <v>45825</v>
      </c>
      <c r="X692" s="144">
        <f>IFERROR(__xludf.DUMMYFUNCTION("""COMPUTED_VALUE"""),45832.0)</f>
        <v>45832</v>
      </c>
      <c r="Y692" s="144">
        <f>IFERROR(__xludf.DUMMYFUNCTION("""COMPUTED_VALUE"""),45853.0)</f>
        <v>45853</v>
      </c>
      <c r="Z692" s="131" t="str">
        <f>IFERROR(__xludf.DUMMYFUNCTION("""COMPUTED_VALUE"""),"D31-1R")</f>
        <v>D31-1R</v>
      </c>
      <c r="AA692" s="131"/>
      <c r="AB692" s="131"/>
      <c r="AC692" s="131"/>
      <c r="AD692" s="131"/>
      <c r="AE692" s="131">
        <f>IFERROR(__xludf.DUMMYFUNCTION("""COMPUTED_VALUE"""),156.0)</f>
        <v>156</v>
      </c>
      <c r="AF692" s="131">
        <f>IFERROR(__xludf.DUMMYFUNCTION("""COMPUTED_VALUE"""),170.0)</f>
        <v>170</v>
      </c>
      <c r="AG692" s="131">
        <f>IFERROR(__xludf.DUMMYFUNCTION("""COMPUTED_VALUE"""),8.0)</f>
        <v>8</v>
      </c>
      <c r="AH692" s="131">
        <f>IFERROR(__xludf.DUMMYFUNCTION("""COMPUTED_VALUE"""),8.0)</f>
        <v>8</v>
      </c>
      <c r="AI692" s="131">
        <f>IFERROR(__xludf.DUMMYFUNCTION("""COMPUTED_VALUE"""),376.0)</f>
        <v>376</v>
      </c>
      <c r="AJ692" s="131" t="str">
        <f>IFERROR(__xludf.DUMMYFUNCTION("""COMPUTED_VALUE"""),"S48,G51")</f>
        <v>S48,G51</v>
      </c>
      <c r="AK692" s="131"/>
    </row>
    <row r="693">
      <c r="A693" s="124"/>
      <c r="B693" s="131" t="str">
        <f>IFERROR(__xludf.DUMMYFUNCTION("""COMPUTED_VALUE"""),"8")</f>
        <v>8</v>
      </c>
      <c r="C693" s="131"/>
      <c r="D693" s="144">
        <f>IFERROR(__xludf.DUMMYFUNCTION("""COMPUTED_VALUE"""),45825.0)</f>
        <v>45825</v>
      </c>
      <c r="E693" s="147">
        <f>IFERROR(__xludf.DUMMYFUNCTION("""COMPUTED_VALUE"""),45832.0)</f>
        <v>45832</v>
      </c>
      <c r="F693" s="147">
        <f>IFERROR(__xludf.DUMMYFUNCTION("""COMPUTED_VALUE"""),45853.0)</f>
        <v>45853</v>
      </c>
      <c r="G693" s="131" t="str">
        <f>IFERROR(__xludf.DUMMYFUNCTION("""COMPUTED_VALUE"""),"D31-1R")</f>
        <v>D31-1R</v>
      </c>
      <c r="H693" s="126"/>
      <c r="I693" s="126"/>
      <c r="J693" s="131"/>
      <c r="K693" s="131"/>
      <c r="L693" s="131">
        <f>IFERROR(__xludf.DUMMYFUNCTION("""COMPUTED_VALUE"""),156.0)</f>
        <v>156</v>
      </c>
      <c r="M693" s="131">
        <f>IFERROR(__xludf.DUMMYFUNCTION("""COMPUTED_VALUE"""),170.0)</f>
        <v>170</v>
      </c>
      <c r="N693" s="131">
        <f>IFERROR(__xludf.DUMMYFUNCTION("""COMPUTED_VALUE"""),8.0)</f>
        <v>8</v>
      </c>
      <c r="O693" s="131">
        <f>IFERROR(__xludf.DUMMYFUNCTION("""COMPUTED_VALUE"""),8.0)</f>
        <v>8</v>
      </c>
      <c r="P693" s="131">
        <f>IFERROR(__xludf.DUMMYFUNCTION("""COMPUTED_VALUE"""),376.0)</f>
        <v>376</v>
      </c>
      <c r="Q693" s="131" t="str">
        <f>IFERROR(__xludf.DUMMYFUNCTION("""COMPUTED_VALUE"""),"S48,G51")</f>
        <v>S48,G51</v>
      </c>
      <c r="R693" s="131"/>
      <c r="T693" s="131"/>
      <c r="U693" s="131" t="str">
        <f>IFERROR(__xludf.DUMMYFUNCTION("""COMPUTED_VALUE"""),"8")</f>
        <v>8</v>
      </c>
      <c r="V693" s="131"/>
      <c r="W693" s="144">
        <f>IFERROR(__xludf.DUMMYFUNCTION("""COMPUTED_VALUE"""),45826.0)</f>
        <v>45826</v>
      </c>
      <c r="X693" s="144">
        <f>IFERROR(__xludf.DUMMYFUNCTION("""COMPUTED_VALUE"""),45833.0)</f>
        <v>45833</v>
      </c>
      <c r="Y693" s="144">
        <f>IFERROR(__xludf.DUMMYFUNCTION("""COMPUTED_VALUE"""),45854.0)</f>
        <v>45854</v>
      </c>
      <c r="Z693" s="131" t="str">
        <f>IFERROR(__xludf.DUMMYFUNCTION("""COMPUTED_VALUE"""),"D31-1R")</f>
        <v>D31-1R</v>
      </c>
      <c r="AA693" s="131"/>
      <c r="AB693" s="131"/>
      <c r="AC693" s="131"/>
      <c r="AD693" s="131"/>
      <c r="AE693" s="131">
        <f>IFERROR(__xludf.DUMMYFUNCTION("""COMPUTED_VALUE"""),172.0)</f>
        <v>172</v>
      </c>
      <c r="AF693" s="131">
        <f>IFERROR(__xludf.DUMMYFUNCTION("""COMPUTED_VALUE"""),202.0)</f>
        <v>202</v>
      </c>
      <c r="AG693" s="131">
        <f>IFERROR(__xludf.DUMMYFUNCTION("""COMPUTED_VALUE"""),16.0)</f>
        <v>16</v>
      </c>
      <c r="AH693" s="131">
        <f>IFERROR(__xludf.DUMMYFUNCTION("""COMPUTED_VALUE"""),16.0)</f>
        <v>16</v>
      </c>
      <c r="AI693" s="131">
        <f>IFERROR(__xludf.DUMMYFUNCTION("""COMPUTED_VALUE"""),377.0)</f>
        <v>377</v>
      </c>
      <c r="AJ693" s="131" t="str">
        <f>IFERROR(__xludf.DUMMYFUNCTION("""COMPUTED_VALUE"""),"S49,G52")</f>
        <v>S49,G52</v>
      </c>
      <c r="AK693" s="131">
        <f>IFERROR(__xludf.DUMMYFUNCTION("""COMPUTED_VALUE"""),25.6)</f>
        <v>25.6</v>
      </c>
    </row>
    <row r="694">
      <c r="A694" s="124"/>
      <c r="B694" s="131" t="str">
        <f>IFERROR(__xludf.DUMMYFUNCTION("""COMPUTED_VALUE"""),"8")</f>
        <v>8</v>
      </c>
      <c r="C694" s="131"/>
      <c r="D694" s="144">
        <f>IFERROR(__xludf.DUMMYFUNCTION("""COMPUTED_VALUE"""),45826.0)</f>
        <v>45826</v>
      </c>
      <c r="E694" s="147">
        <f>IFERROR(__xludf.DUMMYFUNCTION("""COMPUTED_VALUE"""),45833.0)</f>
        <v>45833</v>
      </c>
      <c r="F694" s="147">
        <f>IFERROR(__xludf.DUMMYFUNCTION("""COMPUTED_VALUE"""),45854.0)</f>
        <v>45854</v>
      </c>
      <c r="G694" s="131" t="str">
        <f>IFERROR(__xludf.DUMMYFUNCTION("""COMPUTED_VALUE"""),"D31-1R")</f>
        <v>D31-1R</v>
      </c>
      <c r="H694" s="126"/>
      <c r="I694" s="126"/>
      <c r="J694" s="131"/>
      <c r="K694" s="131"/>
      <c r="L694" s="131">
        <f>IFERROR(__xludf.DUMMYFUNCTION("""COMPUTED_VALUE"""),172.0)</f>
        <v>172</v>
      </c>
      <c r="M694" s="131">
        <f>IFERROR(__xludf.DUMMYFUNCTION("""COMPUTED_VALUE"""),202.0)</f>
        <v>202</v>
      </c>
      <c r="N694" s="131">
        <f>IFERROR(__xludf.DUMMYFUNCTION("""COMPUTED_VALUE"""),16.0)</f>
        <v>16</v>
      </c>
      <c r="O694" s="131">
        <f>IFERROR(__xludf.DUMMYFUNCTION("""COMPUTED_VALUE"""),16.0)</f>
        <v>16</v>
      </c>
      <c r="P694" s="131">
        <f>IFERROR(__xludf.DUMMYFUNCTION("""COMPUTED_VALUE"""),377.0)</f>
        <v>377</v>
      </c>
      <c r="Q694" s="131" t="str">
        <f>IFERROR(__xludf.DUMMYFUNCTION("""COMPUTED_VALUE"""),"S49,G52")</f>
        <v>S49,G52</v>
      </c>
      <c r="R694" s="131">
        <f>IFERROR(__xludf.DUMMYFUNCTION("""COMPUTED_VALUE"""),25.6)</f>
        <v>25.6</v>
      </c>
      <c r="T694" s="131"/>
      <c r="U694" s="131" t="str">
        <f>IFERROR(__xludf.DUMMYFUNCTION("""COMPUTED_VALUE"""),"8")</f>
        <v>8</v>
      </c>
      <c r="V694" s="131"/>
      <c r="W694" s="144">
        <f>IFERROR(__xludf.DUMMYFUNCTION("""COMPUTED_VALUE"""),45826.0)</f>
        <v>45826</v>
      </c>
      <c r="X694" s="144">
        <f>IFERROR(__xludf.DUMMYFUNCTION("""COMPUTED_VALUE"""),45833.0)</f>
        <v>45833</v>
      </c>
      <c r="Y694" s="144">
        <f>IFERROR(__xludf.DUMMYFUNCTION("""COMPUTED_VALUE"""),45854.0)</f>
        <v>45854</v>
      </c>
      <c r="Z694" s="131" t="str">
        <f>IFERROR(__xludf.DUMMYFUNCTION("""COMPUTED_VALUE"""),"D31-1R")</f>
        <v>D31-1R</v>
      </c>
      <c r="AA694" s="131"/>
      <c r="AB694" s="131"/>
      <c r="AC694" s="131"/>
      <c r="AD694" s="131"/>
      <c r="AE694" s="131">
        <f>IFERROR(__xludf.DUMMYFUNCTION("""COMPUTED_VALUE"""),206.0)</f>
        <v>206</v>
      </c>
      <c r="AF694" s="131">
        <f>IFERROR(__xludf.DUMMYFUNCTION("""COMPUTED_VALUE"""),250.0)</f>
        <v>250</v>
      </c>
      <c r="AG694" s="131">
        <f>IFERROR(__xludf.DUMMYFUNCTION("""COMPUTED_VALUE"""),23.0)</f>
        <v>23</v>
      </c>
      <c r="AH694" s="131">
        <f>IFERROR(__xludf.DUMMYFUNCTION("""COMPUTED_VALUE"""),23.0)</f>
        <v>23</v>
      </c>
      <c r="AI694" s="131">
        <f>IFERROR(__xludf.DUMMYFUNCTION("""COMPUTED_VALUE"""),377.0)</f>
        <v>377</v>
      </c>
      <c r="AJ694" s="131" t="str">
        <f>IFERROR(__xludf.DUMMYFUNCTION("""COMPUTED_VALUE"""),"S49,G52")</f>
        <v>S49,G52</v>
      </c>
      <c r="AK694" s="131"/>
    </row>
    <row r="695">
      <c r="A695" s="124"/>
      <c r="B695" s="131" t="str">
        <f>IFERROR(__xludf.DUMMYFUNCTION("""COMPUTED_VALUE"""),"8")</f>
        <v>8</v>
      </c>
      <c r="C695" s="131"/>
      <c r="D695" s="144">
        <f>IFERROR(__xludf.DUMMYFUNCTION("""COMPUTED_VALUE"""),45826.0)</f>
        <v>45826</v>
      </c>
      <c r="E695" s="147">
        <f>IFERROR(__xludf.DUMMYFUNCTION("""COMPUTED_VALUE"""),45833.0)</f>
        <v>45833</v>
      </c>
      <c r="F695" s="147">
        <f>IFERROR(__xludf.DUMMYFUNCTION("""COMPUTED_VALUE"""),45854.0)</f>
        <v>45854</v>
      </c>
      <c r="G695" s="131" t="str">
        <f>IFERROR(__xludf.DUMMYFUNCTION("""COMPUTED_VALUE"""),"D31-1R")</f>
        <v>D31-1R</v>
      </c>
      <c r="H695" s="126"/>
      <c r="I695" s="126"/>
      <c r="J695" s="131"/>
      <c r="K695" s="131"/>
      <c r="L695" s="131">
        <f>IFERROR(__xludf.DUMMYFUNCTION("""COMPUTED_VALUE"""),206.0)</f>
        <v>206</v>
      </c>
      <c r="M695" s="131">
        <f>IFERROR(__xludf.DUMMYFUNCTION("""COMPUTED_VALUE"""),250.0)</f>
        <v>250</v>
      </c>
      <c r="N695" s="131">
        <f>IFERROR(__xludf.DUMMYFUNCTION("""COMPUTED_VALUE"""),23.0)</f>
        <v>23</v>
      </c>
      <c r="O695" s="131">
        <f>IFERROR(__xludf.DUMMYFUNCTION("""COMPUTED_VALUE"""),23.0)</f>
        <v>23</v>
      </c>
      <c r="P695" s="131">
        <f>IFERROR(__xludf.DUMMYFUNCTION("""COMPUTED_VALUE"""),377.0)</f>
        <v>377</v>
      </c>
      <c r="Q695" s="131" t="str">
        <f>IFERROR(__xludf.DUMMYFUNCTION("""COMPUTED_VALUE"""),"S49,G52")</f>
        <v>S49,G52</v>
      </c>
      <c r="R695" s="131"/>
      <c r="T695" s="131"/>
      <c r="U695" s="131" t="str">
        <f>IFERROR(__xludf.DUMMYFUNCTION("""COMPUTED_VALUE"""),"8")</f>
        <v>8</v>
      </c>
      <c r="V695" s="131"/>
      <c r="W695" s="144">
        <f>IFERROR(__xludf.DUMMYFUNCTION("""COMPUTED_VALUE"""),45826.0)</f>
        <v>45826</v>
      </c>
      <c r="X695" s="144">
        <f>IFERROR(__xludf.DUMMYFUNCTION("""COMPUTED_VALUE"""),45833.0)</f>
        <v>45833</v>
      </c>
      <c r="Y695" s="144">
        <f>IFERROR(__xludf.DUMMYFUNCTION("""COMPUTED_VALUE"""),45854.0)</f>
        <v>45854</v>
      </c>
      <c r="Z695" s="131" t="str">
        <f>IFERROR(__xludf.DUMMYFUNCTION("""COMPUTED_VALUE"""),"D31-1R")</f>
        <v>D31-1R</v>
      </c>
      <c r="AA695" s="131"/>
      <c r="AB695" s="131"/>
      <c r="AC695" s="131"/>
      <c r="AD695" s="131"/>
      <c r="AE695" s="131">
        <f>IFERROR(__xludf.DUMMYFUNCTION("""COMPUTED_VALUE"""),254.0)</f>
        <v>254</v>
      </c>
      <c r="AF695" s="131">
        <f>IFERROR(__xludf.DUMMYFUNCTION("""COMPUTED_VALUE"""),254.0)</f>
        <v>254</v>
      </c>
      <c r="AG695" s="131">
        <f>IFERROR(__xludf.DUMMYFUNCTION("""COMPUTED_VALUE"""),1.0)</f>
        <v>1</v>
      </c>
      <c r="AH695" s="131">
        <f>IFERROR(__xludf.DUMMYFUNCTION("""COMPUTED_VALUE"""),1.0)</f>
        <v>1</v>
      </c>
      <c r="AI695" s="131">
        <f>IFERROR(__xludf.DUMMYFUNCTION("""COMPUTED_VALUE"""),377.0)</f>
        <v>377</v>
      </c>
      <c r="AJ695" s="131" t="str">
        <f>IFERROR(__xludf.DUMMYFUNCTION("""COMPUTED_VALUE"""),"S49,G52")</f>
        <v>S49,G52</v>
      </c>
      <c r="AK695" s="131"/>
    </row>
    <row r="696">
      <c r="A696" s="124"/>
      <c r="B696" s="131" t="str">
        <f>IFERROR(__xludf.DUMMYFUNCTION("""COMPUTED_VALUE"""),"8")</f>
        <v>8</v>
      </c>
      <c r="C696" s="131"/>
      <c r="D696" s="144">
        <f>IFERROR(__xludf.DUMMYFUNCTION("""COMPUTED_VALUE"""),45826.0)</f>
        <v>45826</v>
      </c>
      <c r="E696" s="147">
        <f>IFERROR(__xludf.DUMMYFUNCTION("""COMPUTED_VALUE"""),45833.0)</f>
        <v>45833</v>
      </c>
      <c r="F696" s="147">
        <f>IFERROR(__xludf.DUMMYFUNCTION("""COMPUTED_VALUE"""),45854.0)</f>
        <v>45854</v>
      </c>
      <c r="G696" s="131" t="str">
        <f>IFERROR(__xludf.DUMMYFUNCTION("""COMPUTED_VALUE"""),"D31-1R")</f>
        <v>D31-1R</v>
      </c>
      <c r="H696" s="126"/>
      <c r="I696" s="126"/>
      <c r="J696" s="131"/>
      <c r="K696" s="131"/>
      <c r="L696" s="131">
        <f>IFERROR(__xludf.DUMMYFUNCTION("""COMPUTED_VALUE"""),254.0)</f>
        <v>254</v>
      </c>
      <c r="M696" s="131">
        <f>IFERROR(__xludf.DUMMYFUNCTION("""COMPUTED_VALUE"""),254.0)</f>
        <v>254</v>
      </c>
      <c r="N696" s="131">
        <f>IFERROR(__xludf.DUMMYFUNCTION("""COMPUTED_VALUE"""),1.0)</f>
        <v>1</v>
      </c>
      <c r="O696" s="131">
        <f>IFERROR(__xludf.DUMMYFUNCTION("""COMPUTED_VALUE"""),1.0)</f>
        <v>1</v>
      </c>
      <c r="P696" s="131">
        <f>IFERROR(__xludf.DUMMYFUNCTION("""COMPUTED_VALUE"""),377.0)</f>
        <v>377</v>
      </c>
      <c r="Q696" s="131" t="str">
        <f>IFERROR(__xludf.DUMMYFUNCTION("""COMPUTED_VALUE"""),"S49,G52")</f>
        <v>S49,G52</v>
      </c>
      <c r="R696" s="131"/>
      <c r="T696" s="131"/>
      <c r="U696" s="131" t="str">
        <f>IFERROR(__xludf.DUMMYFUNCTION("""COMPUTED_VALUE"""),"8")</f>
        <v>8</v>
      </c>
      <c r="V696" s="131"/>
      <c r="W696" s="144">
        <f>IFERROR(__xludf.DUMMYFUNCTION("""COMPUTED_VALUE"""),45826.0)</f>
        <v>45826</v>
      </c>
      <c r="X696" s="144">
        <f>IFERROR(__xludf.DUMMYFUNCTION("""COMPUTED_VALUE"""),45833.0)</f>
        <v>45833</v>
      </c>
      <c r="Y696" s="144">
        <f>IFERROR(__xludf.DUMMYFUNCTION("""COMPUTED_VALUE"""),45854.0)</f>
        <v>45854</v>
      </c>
      <c r="Z696" s="131" t="str">
        <f>IFERROR(__xludf.DUMMYFUNCTION("""COMPUTED_VALUE"""),"D31-2R")</f>
        <v>D31-2R</v>
      </c>
      <c r="AA696" s="131">
        <f>IFERROR(__xludf.DUMMYFUNCTION("""COMPUTED_VALUE"""),23.0)</f>
        <v>23</v>
      </c>
      <c r="AB696" s="131">
        <f>IFERROR(__xludf.DUMMYFUNCTION("""COMPUTED_VALUE"""),27.0)</f>
        <v>27</v>
      </c>
      <c r="AC696" s="131">
        <f>IFERROR(__xludf.DUMMYFUNCTION("""COMPUTED_VALUE"""),3.0)</f>
        <v>3</v>
      </c>
      <c r="AD696" s="131">
        <f>IFERROR(__xludf.DUMMYFUNCTION("""COMPUTED_VALUE"""),3.0)</f>
        <v>3</v>
      </c>
      <c r="AE696" s="131"/>
      <c r="AF696" s="131"/>
      <c r="AG696" s="131"/>
      <c r="AH696" s="131"/>
      <c r="AI696" s="131">
        <f>IFERROR(__xludf.DUMMYFUNCTION("""COMPUTED_VALUE"""),377.0)</f>
        <v>377</v>
      </c>
      <c r="AJ696" s="131" t="str">
        <f>IFERROR(__xludf.DUMMYFUNCTION("""COMPUTED_VALUE"""),"S49,G52")</f>
        <v>S49,G52</v>
      </c>
      <c r="AK696" s="131"/>
    </row>
    <row r="697">
      <c r="A697" s="124"/>
      <c r="B697" s="131" t="str">
        <f>IFERROR(__xludf.DUMMYFUNCTION("""COMPUTED_VALUE"""),"8")</f>
        <v>8</v>
      </c>
      <c r="C697" s="131"/>
      <c r="D697" s="144">
        <f>IFERROR(__xludf.DUMMYFUNCTION("""COMPUTED_VALUE"""),45826.0)</f>
        <v>45826</v>
      </c>
      <c r="E697" s="147">
        <f>IFERROR(__xludf.DUMMYFUNCTION("""COMPUTED_VALUE"""),45833.0)</f>
        <v>45833</v>
      </c>
      <c r="F697" s="147">
        <f>IFERROR(__xludf.DUMMYFUNCTION("""COMPUTED_VALUE"""),45854.0)</f>
        <v>45854</v>
      </c>
      <c r="G697" s="131" t="str">
        <f>IFERROR(__xludf.DUMMYFUNCTION("""COMPUTED_VALUE"""),"D31-2R")</f>
        <v>D31-2R</v>
      </c>
      <c r="H697" s="126">
        <f>IFERROR(__xludf.DUMMYFUNCTION("""COMPUTED_VALUE"""),23.0)</f>
        <v>23</v>
      </c>
      <c r="I697" s="126">
        <f>IFERROR(__xludf.DUMMYFUNCTION("""COMPUTED_VALUE"""),27.0)</f>
        <v>27</v>
      </c>
      <c r="J697" s="131">
        <f>IFERROR(__xludf.DUMMYFUNCTION("""COMPUTED_VALUE"""),3.0)</f>
        <v>3</v>
      </c>
      <c r="K697" s="131">
        <f>IFERROR(__xludf.DUMMYFUNCTION("""COMPUTED_VALUE"""),3.0)</f>
        <v>3</v>
      </c>
      <c r="L697" s="131"/>
      <c r="M697" s="131"/>
      <c r="N697" s="131"/>
      <c r="O697" s="131"/>
      <c r="P697" s="131">
        <f>IFERROR(__xludf.DUMMYFUNCTION("""COMPUTED_VALUE"""),377.0)</f>
        <v>377</v>
      </c>
      <c r="Q697" s="131" t="str">
        <f>IFERROR(__xludf.DUMMYFUNCTION("""COMPUTED_VALUE"""),"S49,G52")</f>
        <v>S49,G52</v>
      </c>
      <c r="R697" s="131"/>
      <c r="T697" s="131"/>
      <c r="U697" s="131" t="str">
        <f>IFERROR(__xludf.DUMMYFUNCTION("""COMPUTED_VALUE"""),"8")</f>
        <v>8</v>
      </c>
      <c r="V697" s="131"/>
      <c r="W697" s="144">
        <f>IFERROR(__xludf.DUMMYFUNCTION("""COMPUTED_VALUE"""),45826.0)</f>
        <v>45826</v>
      </c>
      <c r="X697" s="144">
        <f>IFERROR(__xludf.DUMMYFUNCTION("""COMPUTED_VALUE"""),45833.0)</f>
        <v>45833</v>
      </c>
      <c r="Y697" s="144">
        <f>IFERROR(__xludf.DUMMYFUNCTION("""COMPUTED_VALUE"""),45854.0)</f>
        <v>45854</v>
      </c>
      <c r="Z697" s="131" t="str">
        <f>IFERROR(__xludf.DUMMYFUNCTION("""COMPUTED_VALUE"""),"D31-2R")</f>
        <v>D31-2R</v>
      </c>
      <c r="AA697" s="131">
        <f>IFERROR(__xludf.DUMMYFUNCTION("""COMPUTED_VALUE"""),35.0)</f>
        <v>35</v>
      </c>
      <c r="AB697" s="131">
        <f>IFERROR(__xludf.DUMMYFUNCTION("""COMPUTED_VALUE"""),63.0)</f>
        <v>63</v>
      </c>
      <c r="AC697" s="131">
        <f>IFERROR(__xludf.DUMMYFUNCTION("""COMPUTED_VALUE"""),15.0)</f>
        <v>15</v>
      </c>
      <c r="AD697" s="131">
        <f>IFERROR(__xludf.DUMMYFUNCTION("""COMPUTED_VALUE"""),15.0)</f>
        <v>15</v>
      </c>
      <c r="AE697" s="131"/>
      <c r="AF697" s="131"/>
      <c r="AG697" s="131"/>
      <c r="AH697" s="131"/>
      <c r="AI697" s="131">
        <f>IFERROR(__xludf.DUMMYFUNCTION("""COMPUTED_VALUE"""),377.0)</f>
        <v>377</v>
      </c>
      <c r="AJ697" s="131" t="str">
        <f>IFERROR(__xludf.DUMMYFUNCTION("""COMPUTED_VALUE"""),"S49,G52")</f>
        <v>S49,G52</v>
      </c>
      <c r="AK697" s="131"/>
    </row>
    <row r="698">
      <c r="A698" s="124"/>
      <c r="B698" s="131" t="str">
        <f>IFERROR(__xludf.DUMMYFUNCTION("""COMPUTED_VALUE"""),"8")</f>
        <v>8</v>
      </c>
      <c r="C698" s="131"/>
      <c r="D698" s="144">
        <f>IFERROR(__xludf.DUMMYFUNCTION("""COMPUTED_VALUE"""),45826.0)</f>
        <v>45826</v>
      </c>
      <c r="E698" s="147">
        <f>IFERROR(__xludf.DUMMYFUNCTION("""COMPUTED_VALUE"""),45833.0)</f>
        <v>45833</v>
      </c>
      <c r="F698" s="147">
        <f>IFERROR(__xludf.DUMMYFUNCTION("""COMPUTED_VALUE"""),45854.0)</f>
        <v>45854</v>
      </c>
      <c r="G698" s="131" t="str">
        <f>IFERROR(__xludf.DUMMYFUNCTION("""COMPUTED_VALUE"""),"D31-2R")</f>
        <v>D31-2R</v>
      </c>
      <c r="H698" s="126">
        <f>IFERROR(__xludf.DUMMYFUNCTION("""COMPUTED_VALUE"""),35.0)</f>
        <v>35</v>
      </c>
      <c r="I698" s="126">
        <f>IFERROR(__xludf.DUMMYFUNCTION("""COMPUTED_VALUE"""),63.0)</f>
        <v>63</v>
      </c>
      <c r="J698" s="131">
        <f>IFERROR(__xludf.DUMMYFUNCTION("""COMPUTED_VALUE"""),15.0)</f>
        <v>15</v>
      </c>
      <c r="K698" s="131">
        <f>IFERROR(__xludf.DUMMYFUNCTION("""COMPUTED_VALUE"""),15.0)</f>
        <v>15</v>
      </c>
      <c r="L698" s="131"/>
      <c r="M698" s="131"/>
      <c r="N698" s="131"/>
      <c r="O698" s="131"/>
      <c r="P698" s="131">
        <f>IFERROR(__xludf.DUMMYFUNCTION("""COMPUTED_VALUE"""),377.0)</f>
        <v>377</v>
      </c>
      <c r="Q698" s="131" t="str">
        <f>IFERROR(__xludf.DUMMYFUNCTION("""COMPUTED_VALUE"""),"S49,G52")</f>
        <v>S49,G52</v>
      </c>
      <c r="R698" s="131"/>
      <c r="T698" s="131"/>
      <c r="U698" s="131" t="str">
        <f>IFERROR(__xludf.DUMMYFUNCTION("""COMPUTED_VALUE"""),"8")</f>
        <v>8</v>
      </c>
      <c r="V698" s="131"/>
      <c r="W698" s="144">
        <f>IFERROR(__xludf.DUMMYFUNCTION("""COMPUTED_VALUE"""),45826.0)</f>
        <v>45826</v>
      </c>
      <c r="X698" s="144">
        <f>IFERROR(__xludf.DUMMYFUNCTION("""COMPUTED_VALUE"""),45833.0)</f>
        <v>45833</v>
      </c>
      <c r="Y698" s="144">
        <f>IFERROR(__xludf.DUMMYFUNCTION("""COMPUTED_VALUE"""),45854.0)</f>
        <v>45854</v>
      </c>
      <c r="Z698" s="131" t="str">
        <f>IFERROR(__xludf.DUMMYFUNCTION("""COMPUTED_VALUE"""),"D31-2R")</f>
        <v>D31-2R</v>
      </c>
      <c r="AA698" s="131">
        <f>IFERROR(__xludf.DUMMYFUNCTION("""COMPUTED_VALUE"""),77.0)</f>
        <v>77</v>
      </c>
      <c r="AB698" s="131">
        <f>IFERROR(__xludf.DUMMYFUNCTION("""COMPUTED_VALUE"""),119.0)</f>
        <v>119</v>
      </c>
      <c r="AC698" s="131">
        <f>IFERROR(__xludf.DUMMYFUNCTION("""COMPUTED_VALUE"""),22.0)</f>
        <v>22</v>
      </c>
      <c r="AD698" s="131">
        <f>IFERROR(__xludf.DUMMYFUNCTION("""COMPUTED_VALUE"""),22.0)</f>
        <v>22</v>
      </c>
      <c r="AE698" s="131"/>
      <c r="AF698" s="131"/>
      <c r="AG698" s="131"/>
      <c r="AH698" s="131"/>
      <c r="AI698" s="131">
        <f>IFERROR(__xludf.DUMMYFUNCTION("""COMPUTED_VALUE"""),377.0)</f>
        <v>377</v>
      </c>
      <c r="AJ698" s="131" t="str">
        <f>IFERROR(__xludf.DUMMYFUNCTION("""COMPUTED_VALUE"""),"S49,G52")</f>
        <v>S49,G52</v>
      </c>
      <c r="AK698" s="131"/>
    </row>
    <row r="699">
      <c r="A699" s="124"/>
      <c r="B699" s="131" t="str">
        <f>IFERROR(__xludf.DUMMYFUNCTION("""COMPUTED_VALUE"""),"8")</f>
        <v>8</v>
      </c>
      <c r="C699" s="131"/>
      <c r="D699" s="144">
        <f>IFERROR(__xludf.DUMMYFUNCTION("""COMPUTED_VALUE"""),45826.0)</f>
        <v>45826</v>
      </c>
      <c r="E699" s="147">
        <f>IFERROR(__xludf.DUMMYFUNCTION("""COMPUTED_VALUE"""),45833.0)</f>
        <v>45833</v>
      </c>
      <c r="F699" s="147">
        <f>IFERROR(__xludf.DUMMYFUNCTION("""COMPUTED_VALUE"""),45854.0)</f>
        <v>45854</v>
      </c>
      <c r="G699" s="131" t="str">
        <f>IFERROR(__xludf.DUMMYFUNCTION("""COMPUTED_VALUE"""),"D31-2R")</f>
        <v>D31-2R</v>
      </c>
      <c r="H699" s="126">
        <f>IFERROR(__xludf.DUMMYFUNCTION("""COMPUTED_VALUE"""),77.0)</f>
        <v>77</v>
      </c>
      <c r="I699" s="126">
        <f>IFERROR(__xludf.DUMMYFUNCTION("""COMPUTED_VALUE"""),119.0)</f>
        <v>119</v>
      </c>
      <c r="J699" s="131">
        <f>IFERROR(__xludf.DUMMYFUNCTION("""COMPUTED_VALUE"""),22.0)</f>
        <v>22</v>
      </c>
      <c r="K699" s="131">
        <f>IFERROR(__xludf.DUMMYFUNCTION("""COMPUTED_VALUE"""),22.0)</f>
        <v>22</v>
      </c>
      <c r="L699" s="131"/>
      <c r="M699" s="131"/>
      <c r="N699" s="131"/>
      <c r="O699" s="131"/>
      <c r="P699" s="131">
        <f>IFERROR(__xludf.DUMMYFUNCTION("""COMPUTED_VALUE"""),377.0)</f>
        <v>377</v>
      </c>
      <c r="Q699" s="131" t="str">
        <f>IFERROR(__xludf.DUMMYFUNCTION("""COMPUTED_VALUE"""),"S49,G52")</f>
        <v>S49,G52</v>
      </c>
      <c r="R699" s="131"/>
      <c r="T699" s="131"/>
      <c r="U699" s="131" t="str">
        <f>IFERROR(__xludf.DUMMYFUNCTION("""COMPUTED_VALUE"""),"8")</f>
        <v>8</v>
      </c>
      <c r="V699" s="131"/>
      <c r="W699" s="144">
        <f>IFERROR(__xludf.DUMMYFUNCTION("""COMPUTED_VALUE"""),45826.0)</f>
        <v>45826</v>
      </c>
      <c r="X699" s="144">
        <f>IFERROR(__xludf.DUMMYFUNCTION("""COMPUTED_VALUE"""),45833.0)</f>
        <v>45833</v>
      </c>
      <c r="Y699" s="144">
        <f>IFERROR(__xludf.DUMMYFUNCTION("""COMPUTED_VALUE"""),45854.0)</f>
        <v>45854</v>
      </c>
      <c r="Z699" s="131" t="str">
        <f>IFERROR(__xludf.DUMMYFUNCTION("""COMPUTED_VALUE"""),"D31-2R")</f>
        <v>D31-2R</v>
      </c>
      <c r="AA699" s="131">
        <f>IFERROR(__xludf.DUMMYFUNCTION("""COMPUTED_VALUE"""),127.0)</f>
        <v>127</v>
      </c>
      <c r="AB699" s="131">
        <f>IFERROR(__xludf.DUMMYFUNCTION("""COMPUTED_VALUE"""),135.0)</f>
        <v>135</v>
      </c>
      <c r="AC699" s="131">
        <f>IFERROR(__xludf.DUMMYFUNCTION("""COMPUTED_VALUE"""),5.0)</f>
        <v>5</v>
      </c>
      <c r="AD699" s="131">
        <f>IFERROR(__xludf.DUMMYFUNCTION("""COMPUTED_VALUE"""),5.0)</f>
        <v>5</v>
      </c>
      <c r="AE699" s="131"/>
      <c r="AF699" s="131"/>
      <c r="AG699" s="131"/>
      <c r="AH699" s="131"/>
      <c r="AI699" s="131">
        <f>IFERROR(__xludf.DUMMYFUNCTION("""COMPUTED_VALUE"""),377.0)</f>
        <v>377</v>
      </c>
      <c r="AJ699" s="131" t="str">
        <f>IFERROR(__xludf.DUMMYFUNCTION("""COMPUTED_VALUE"""),"S49,G52")</f>
        <v>S49,G52</v>
      </c>
      <c r="AK699" s="131"/>
    </row>
    <row r="700">
      <c r="A700" s="124"/>
      <c r="B700" s="131" t="str">
        <f>IFERROR(__xludf.DUMMYFUNCTION("""COMPUTED_VALUE"""),"8")</f>
        <v>8</v>
      </c>
      <c r="C700" s="131"/>
      <c r="D700" s="144">
        <f>IFERROR(__xludf.DUMMYFUNCTION("""COMPUTED_VALUE"""),45826.0)</f>
        <v>45826</v>
      </c>
      <c r="E700" s="147">
        <f>IFERROR(__xludf.DUMMYFUNCTION("""COMPUTED_VALUE"""),45833.0)</f>
        <v>45833</v>
      </c>
      <c r="F700" s="147">
        <f>IFERROR(__xludf.DUMMYFUNCTION("""COMPUTED_VALUE"""),45854.0)</f>
        <v>45854</v>
      </c>
      <c r="G700" s="131" t="str">
        <f>IFERROR(__xludf.DUMMYFUNCTION("""COMPUTED_VALUE"""),"D31-2R")</f>
        <v>D31-2R</v>
      </c>
      <c r="H700" s="126">
        <f>IFERROR(__xludf.DUMMYFUNCTION("""COMPUTED_VALUE"""),127.0)</f>
        <v>127</v>
      </c>
      <c r="I700" s="126">
        <f>IFERROR(__xludf.DUMMYFUNCTION("""COMPUTED_VALUE"""),135.0)</f>
        <v>135</v>
      </c>
      <c r="J700" s="131">
        <f>IFERROR(__xludf.DUMMYFUNCTION("""COMPUTED_VALUE"""),5.0)</f>
        <v>5</v>
      </c>
      <c r="K700" s="131">
        <f>IFERROR(__xludf.DUMMYFUNCTION("""COMPUTED_VALUE"""),5.0)</f>
        <v>5</v>
      </c>
      <c r="L700" s="131"/>
      <c r="M700" s="131"/>
      <c r="N700" s="131"/>
      <c r="O700" s="131"/>
      <c r="P700" s="131">
        <f>IFERROR(__xludf.DUMMYFUNCTION("""COMPUTED_VALUE"""),377.0)</f>
        <v>377</v>
      </c>
      <c r="Q700" s="131" t="str">
        <f>IFERROR(__xludf.DUMMYFUNCTION("""COMPUTED_VALUE"""),"S49,G52")</f>
        <v>S49,G52</v>
      </c>
      <c r="R700" s="131"/>
      <c r="T700" s="131"/>
      <c r="U700" s="131" t="str">
        <f>IFERROR(__xludf.DUMMYFUNCTION("""COMPUTED_VALUE"""),"8")</f>
        <v>8</v>
      </c>
      <c r="V700" s="131"/>
      <c r="W700" s="144">
        <f>IFERROR(__xludf.DUMMYFUNCTION("""COMPUTED_VALUE"""),45827.0)</f>
        <v>45827</v>
      </c>
      <c r="X700" s="144">
        <f>IFERROR(__xludf.DUMMYFUNCTION("""COMPUTED_VALUE"""),45834.0)</f>
        <v>45834</v>
      </c>
      <c r="Y700" s="144">
        <f>IFERROR(__xludf.DUMMYFUNCTION("""COMPUTED_VALUE"""),45855.0)</f>
        <v>45855</v>
      </c>
      <c r="Z700" s="131" t="str">
        <f>IFERROR(__xludf.DUMMYFUNCTION("""COMPUTED_VALUE"""),"D31-2R")</f>
        <v>D31-2R</v>
      </c>
      <c r="AA700" s="131">
        <f>IFERROR(__xludf.DUMMYFUNCTION("""COMPUTED_VALUE"""),137.0)</f>
        <v>137</v>
      </c>
      <c r="AB700" s="131">
        <f>IFERROR(__xludf.DUMMYFUNCTION("""COMPUTED_VALUE"""),169.0)</f>
        <v>169</v>
      </c>
      <c r="AC700" s="131">
        <f>IFERROR(__xludf.DUMMYFUNCTION("""COMPUTED_VALUE"""),17.0)</f>
        <v>17</v>
      </c>
      <c r="AD700" s="131">
        <f>IFERROR(__xludf.DUMMYFUNCTION("""COMPUTED_VALUE"""),17.0)</f>
        <v>17</v>
      </c>
      <c r="AE700" s="131">
        <f>IFERROR(__xludf.DUMMYFUNCTION("""COMPUTED_VALUE"""),172.0)</f>
        <v>172</v>
      </c>
      <c r="AF700" s="131">
        <f>IFERROR(__xludf.DUMMYFUNCTION("""COMPUTED_VALUE"""),176.0)</f>
        <v>176</v>
      </c>
      <c r="AG700" s="131">
        <f>IFERROR(__xludf.DUMMYFUNCTION("""COMPUTED_VALUE"""),3.0)</f>
        <v>3</v>
      </c>
      <c r="AH700" s="131">
        <f>IFERROR(__xludf.DUMMYFUNCTION("""COMPUTED_VALUE"""),3.0)</f>
        <v>3</v>
      </c>
      <c r="AI700" s="131">
        <f>IFERROR(__xludf.DUMMYFUNCTION("""COMPUTED_VALUE"""),378.0)</f>
        <v>378</v>
      </c>
      <c r="AJ700" s="131" t="str">
        <f>IFERROR(__xludf.DUMMYFUNCTION("""COMPUTED_VALUE"""),"S49,G52")</f>
        <v>S49,G52</v>
      </c>
      <c r="AK700" s="131">
        <f>IFERROR(__xludf.DUMMYFUNCTION("""COMPUTED_VALUE"""),27.0)</f>
        <v>27</v>
      </c>
    </row>
    <row r="701">
      <c r="A701" s="124"/>
      <c r="B701" s="131" t="str">
        <f>IFERROR(__xludf.DUMMYFUNCTION("""COMPUTED_VALUE"""),"8")</f>
        <v>8</v>
      </c>
      <c r="C701" s="131"/>
      <c r="D701" s="144">
        <f>IFERROR(__xludf.DUMMYFUNCTION("""COMPUTED_VALUE"""),45827.0)</f>
        <v>45827</v>
      </c>
      <c r="E701" s="147">
        <f>IFERROR(__xludf.DUMMYFUNCTION("""COMPUTED_VALUE"""),45834.0)</f>
        <v>45834</v>
      </c>
      <c r="F701" s="147">
        <f>IFERROR(__xludf.DUMMYFUNCTION("""COMPUTED_VALUE"""),45855.0)</f>
        <v>45855</v>
      </c>
      <c r="G701" s="131" t="str">
        <f>IFERROR(__xludf.DUMMYFUNCTION("""COMPUTED_VALUE"""),"D31-2R")</f>
        <v>D31-2R</v>
      </c>
      <c r="H701" s="126">
        <f>IFERROR(__xludf.DUMMYFUNCTION("""COMPUTED_VALUE"""),137.0)</f>
        <v>137</v>
      </c>
      <c r="I701" s="126">
        <f>IFERROR(__xludf.DUMMYFUNCTION("""COMPUTED_VALUE"""),169.0)</f>
        <v>169</v>
      </c>
      <c r="J701" s="131">
        <f>IFERROR(__xludf.DUMMYFUNCTION("""COMPUTED_VALUE"""),17.0)</f>
        <v>17</v>
      </c>
      <c r="K701" s="131">
        <f>IFERROR(__xludf.DUMMYFUNCTION("""COMPUTED_VALUE"""),17.0)</f>
        <v>17</v>
      </c>
      <c r="L701" s="131">
        <f>IFERROR(__xludf.DUMMYFUNCTION("""COMPUTED_VALUE"""),172.0)</f>
        <v>172</v>
      </c>
      <c r="M701" s="131">
        <f>IFERROR(__xludf.DUMMYFUNCTION("""COMPUTED_VALUE"""),176.0)</f>
        <v>176</v>
      </c>
      <c r="N701" s="131">
        <f>IFERROR(__xludf.DUMMYFUNCTION("""COMPUTED_VALUE"""),3.0)</f>
        <v>3</v>
      </c>
      <c r="O701" s="131">
        <f>IFERROR(__xludf.DUMMYFUNCTION("""COMPUTED_VALUE"""),3.0)</f>
        <v>3</v>
      </c>
      <c r="P701" s="131">
        <f>IFERROR(__xludf.DUMMYFUNCTION("""COMPUTED_VALUE"""),378.0)</f>
        <v>378</v>
      </c>
      <c r="Q701" s="131" t="str">
        <f>IFERROR(__xludf.DUMMYFUNCTION("""COMPUTED_VALUE"""),"S49,G52")</f>
        <v>S49,G52</v>
      </c>
      <c r="R701" s="131">
        <f>IFERROR(__xludf.DUMMYFUNCTION("""COMPUTED_VALUE"""),27.0)</f>
        <v>27</v>
      </c>
      <c r="T701" s="131"/>
      <c r="U701" s="131" t="str">
        <f>IFERROR(__xludf.DUMMYFUNCTION("""COMPUTED_VALUE"""),"8")</f>
        <v>8</v>
      </c>
      <c r="V701" s="131"/>
      <c r="W701" s="144">
        <f>IFERROR(__xludf.DUMMYFUNCTION("""COMPUTED_VALUE"""),45827.0)</f>
        <v>45827</v>
      </c>
      <c r="X701" s="144">
        <f>IFERROR(__xludf.DUMMYFUNCTION("""COMPUTED_VALUE"""),45834.0)</f>
        <v>45834</v>
      </c>
      <c r="Y701" s="144">
        <f>IFERROR(__xludf.DUMMYFUNCTION("""COMPUTED_VALUE"""),45855.0)</f>
        <v>45855</v>
      </c>
      <c r="Z701" s="131" t="str">
        <f>IFERROR(__xludf.DUMMYFUNCTION("""COMPUTED_VALUE"""),"D31-2R")</f>
        <v>D31-2R</v>
      </c>
      <c r="AA701" s="131">
        <f>IFERROR(__xludf.DUMMYFUNCTION("""COMPUTED_VALUE"""),185.0)</f>
        <v>185</v>
      </c>
      <c r="AB701" s="131">
        <f>IFERROR(__xludf.DUMMYFUNCTION("""COMPUTED_VALUE"""),203.0)</f>
        <v>203</v>
      </c>
      <c r="AC701" s="131">
        <f>IFERROR(__xludf.DUMMYFUNCTION("""COMPUTED_VALUE"""),10.0)</f>
        <v>10</v>
      </c>
      <c r="AD701" s="131">
        <f>IFERROR(__xludf.DUMMYFUNCTION("""COMPUTED_VALUE"""),10.0)</f>
        <v>10</v>
      </c>
      <c r="AE701" s="131"/>
      <c r="AF701" s="131"/>
      <c r="AG701" s="131"/>
      <c r="AH701" s="131"/>
      <c r="AI701" s="131">
        <f>IFERROR(__xludf.DUMMYFUNCTION("""COMPUTED_VALUE"""),378.0)</f>
        <v>378</v>
      </c>
      <c r="AJ701" s="131" t="str">
        <f>IFERROR(__xludf.DUMMYFUNCTION("""COMPUTED_VALUE"""),"S49,G52")</f>
        <v>S49,G52</v>
      </c>
      <c r="AK701" s="131"/>
    </row>
    <row r="702">
      <c r="A702" s="124"/>
      <c r="B702" s="131" t="str">
        <f>IFERROR(__xludf.DUMMYFUNCTION("""COMPUTED_VALUE"""),"8")</f>
        <v>8</v>
      </c>
      <c r="C702" s="131"/>
      <c r="D702" s="144">
        <f>IFERROR(__xludf.DUMMYFUNCTION("""COMPUTED_VALUE"""),45827.0)</f>
        <v>45827</v>
      </c>
      <c r="E702" s="147">
        <f>IFERROR(__xludf.DUMMYFUNCTION("""COMPUTED_VALUE"""),45834.0)</f>
        <v>45834</v>
      </c>
      <c r="F702" s="147">
        <f>IFERROR(__xludf.DUMMYFUNCTION("""COMPUTED_VALUE"""),45855.0)</f>
        <v>45855</v>
      </c>
      <c r="G702" s="131" t="str">
        <f>IFERROR(__xludf.DUMMYFUNCTION("""COMPUTED_VALUE"""),"D31-2R")</f>
        <v>D31-2R</v>
      </c>
      <c r="H702" s="126">
        <f>IFERROR(__xludf.DUMMYFUNCTION("""COMPUTED_VALUE"""),185.0)</f>
        <v>185</v>
      </c>
      <c r="I702" s="126">
        <f>IFERROR(__xludf.DUMMYFUNCTION("""COMPUTED_VALUE"""),203.0)</f>
        <v>203</v>
      </c>
      <c r="J702" s="131">
        <f>IFERROR(__xludf.DUMMYFUNCTION("""COMPUTED_VALUE"""),10.0)</f>
        <v>10</v>
      </c>
      <c r="K702" s="131">
        <f>IFERROR(__xludf.DUMMYFUNCTION("""COMPUTED_VALUE"""),10.0)</f>
        <v>10</v>
      </c>
      <c r="L702" s="131"/>
      <c r="M702" s="131"/>
      <c r="N702" s="131"/>
      <c r="O702" s="131"/>
      <c r="P702" s="131">
        <f>IFERROR(__xludf.DUMMYFUNCTION("""COMPUTED_VALUE"""),378.0)</f>
        <v>378</v>
      </c>
      <c r="Q702" s="131" t="str">
        <f>IFERROR(__xludf.DUMMYFUNCTION("""COMPUTED_VALUE"""),"S49,G52")</f>
        <v>S49,G52</v>
      </c>
      <c r="R702" s="131"/>
      <c r="T702" s="131"/>
      <c r="U702" s="131" t="str">
        <f>IFERROR(__xludf.DUMMYFUNCTION("""COMPUTED_VALUE"""),"8")</f>
        <v>8</v>
      </c>
      <c r="V702" s="131"/>
      <c r="W702" s="144">
        <f>IFERROR(__xludf.DUMMYFUNCTION("""COMPUTED_VALUE"""),45827.0)</f>
        <v>45827</v>
      </c>
      <c r="X702" s="144">
        <f>IFERROR(__xludf.DUMMYFUNCTION("""COMPUTED_VALUE"""),45834.0)</f>
        <v>45834</v>
      </c>
      <c r="Y702" s="144">
        <f>IFERROR(__xludf.DUMMYFUNCTION("""COMPUTED_VALUE"""),45855.0)</f>
        <v>45855</v>
      </c>
      <c r="Z702" s="131" t="str">
        <f>IFERROR(__xludf.DUMMYFUNCTION("""COMPUTED_VALUE"""),"D31-2R")</f>
        <v>D31-2R</v>
      </c>
      <c r="AA702" s="131"/>
      <c r="AB702" s="131"/>
      <c r="AC702" s="131"/>
      <c r="AD702" s="131"/>
      <c r="AE702" s="131">
        <f>IFERROR(__xludf.DUMMYFUNCTION("""COMPUTED_VALUE"""),206.0)</f>
        <v>206</v>
      </c>
      <c r="AF702" s="131">
        <f>IFERROR(__xludf.DUMMYFUNCTION("""COMPUTED_VALUE"""),302.0)</f>
        <v>302</v>
      </c>
      <c r="AG702" s="131">
        <f>IFERROR(__xludf.DUMMYFUNCTION("""COMPUTED_VALUE"""),49.0)</f>
        <v>49</v>
      </c>
      <c r="AH702" s="131">
        <f>IFERROR(__xludf.DUMMYFUNCTION("""COMPUTED_VALUE"""),49.0)</f>
        <v>49</v>
      </c>
      <c r="AI702" s="131">
        <f>IFERROR(__xludf.DUMMYFUNCTION("""COMPUTED_VALUE"""),378.0)</f>
        <v>378</v>
      </c>
      <c r="AJ702" s="131" t="str">
        <f>IFERROR(__xludf.DUMMYFUNCTION("""COMPUTED_VALUE"""),"S49,G52")</f>
        <v>S49,G52</v>
      </c>
      <c r="AK702" s="131"/>
    </row>
    <row r="703">
      <c r="A703" s="124"/>
      <c r="B703" s="131" t="str">
        <f>IFERROR(__xludf.DUMMYFUNCTION("""COMPUTED_VALUE"""),"8")</f>
        <v>8</v>
      </c>
      <c r="C703" s="131"/>
      <c r="D703" s="144">
        <f>IFERROR(__xludf.DUMMYFUNCTION("""COMPUTED_VALUE"""),45827.0)</f>
        <v>45827</v>
      </c>
      <c r="E703" s="147">
        <f>IFERROR(__xludf.DUMMYFUNCTION("""COMPUTED_VALUE"""),45834.0)</f>
        <v>45834</v>
      </c>
      <c r="F703" s="147">
        <f>IFERROR(__xludf.DUMMYFUNCTION("""COMPUTED_VALUE"""),45855.0)</f>
        <v>45855</v>
      </c>
      <c r="G703" s="131" t="str">
        <f>IFERROR(__xludf.DUMMYFUNCTION("""COMPUTED_VALUE"""),"D31-2R")</f>
        <v>D31-2R</v>
      </c>
      <c r="H703" s="126"/>
      <c r="I703" s="126"/>
      <c r="J703" s="131"/>
      <c r="K703" s="131"/>
      <c r="L703" s="131">
        <f>IFERROR(__xludf.DUMMYFUNCTION("""COMPUTED_VALUE"""),206.0)</f>
        <v>206</v>
      </c>
      <c r="M703" s="131">
        <f>IFERROR(__xludf.DUMMYFUNCTION("""COMPUTED_VALUE"""),302.0)</f>
        <v>302</v>
      </c>
      <c r="N703" s="131">
        <f>IFERROR(__xludf.DUMMYFUNCTION("""COMPUTED_VALUE"""),49.0)</f>
        <v>49</v>
      </c>
      <c r="O703" s="131">
        <f>IFERROR(__xludf.DUMMYFUNCTION("""COMPUTED_VALUE"""),49.0)</f>
        <v>49</v>
      </c>
      <c r="P703" s="131">
        <f>IFERROR(__xludf.DUMMYFUNCTION("""COMPUTED_VALUE"""),378.0)</f>
        <v>378</v>
      </c>
      <c r="Q703" s="131" t="str">
        <f>IFERROR(__xludf.DUMMYFUNCTION("""COMPUTED_VALUE"""),"S49,G52")</f>
        <v>S49,G52</v>
      </c>
      <c r="R703" s="131"/>
      <c r="T703" s="131"/>
      <c r="U703" s="131" t="str">
        <f>IFERROR(__xludf.DUMMYFUNCTION("""COMPUTED_VALUE"""),"8")</f>
        <v>8</v>
      </c>
      <c r="V703" s="131"/>
      <c r="W703" s="144">
        <f>IFERROR(__xludf.DUMMYFUNCTION("""COMPUTED_VALUE"""),45827.0)</f>
        <v>45827</v>
      </c>
      <c r="X703" s="144">
        <f>IFERROR(__xludf.DUMMYFUNCTION("""COMPUTED_VALUE"""),45834.0)</f>
        <v>45834</v>
      </c>
      <c r="Y703" s="144">
        <f>IFERROR(__xludf.DUMMYFUNCTION("""COMPUTED_VALUE"""),45855.0)</f>
        <v>45855</v>
      </c>
      <c r="Z703" s="131" t="str">
        <f>IFERROR(__xludf.DUMMYFUNCTION("""COMPUTED_VALUE"""),"D31-2R")</f>
        <v>D31-2R</v>
      </c>
      <c r="AA703" s="131"/>
      <c r="AB703" s="131"/>
      <c r="AC703" s="131"/>
      <c r="AD703" s="131"/>
      <c r="AE703" s="131">
        <f>IFERROR(__xludf.DUMMYFUNCTION("""COMPUTED_VALUE"""),24.0)</f>
        <v>24</v>
      </c>
      <c r="AF703" s="131">
        <f>IFERROR(__xludf.DUMMYFUNCTION("""COMPUTED_VALUE"""),26.0)</f>
        <v>26</v>
      </c>
      <c r="AG703" s="131">
        <f>IFERROR(__xludf.DUMMYFUNCTION("""COMPUTED_VALUE"""),2.0)</f>
        <v>2</v>
      </c>
      <c r="AH703" s="131">
        <f>IFERROR(__xludf.DUMMYFUNCTION("""COMPUTED_VALUE"""),2.0)</f>
        <v>2</v>
      </c>
      <c r="AI703" s="131">
        <f>IFERROR(__xludf.DUMMYFUNCTION("""COMPUTED_VALUE"""),378.0)</f>
        <v>378</v>
      </c>
      <c r="AJ703" s="131" t="str">
        <f>IFERROR(__xludf.DUMMYFUNCTION("""COMPUTED_VALUE"""),"S49,G52")</f>
        <v>S49,G52</v>
      </c>
      <c r="AK703" s="131"/>
    </row>
    <row r="704">
      <c r="A704" s="124"/>
      <c r="B704" s="131" t="str">
        <f>IFERROR(__xludf.DUMMYFUNCTION("""COMPUTED_VALUE"""),"8")</f>
        <v>8</v>
      </c>
      <c r="C704" s="131"/>
      <c r="D704" s="144">
        <f>IFERROR(__xludf.DUMMYFUNCTION("""COMPUTED_VALUE"""),45827.0)</f>
        <v>45827</v>
      </c>
      <c r="E704" s="147">
        <f>IFERROR(__xludf.DUMMYFUNCTION("""COMPUTED_VALUE"""),45834.0)</f>
        <v>45834</v>
      </c>
      <c r="F704" s="147">
        <f>IFERROR(__xludf.DUMMYFUNCTION("""COMPUTED_VALUE"""),45855.0)</f>
        <v>45855</v>
      </c>
      <c r="G704" s="131" t="str">
        <f>IFERROR(__xludf.DUMMYFUNCTION("""COMPUTED_VALUE"""),"D31-2R")</f>
        <v>D31-2R</v>
      </c>
      <c r="H704" s="126"/>
      <c r="I704" s="126"/>
      <c r="J704" s="131"/>
      <c r="K704" s="131"/>
      <c r="L704" s="131">
        <f>IFERROR(__xludf.DUMMYFUNCTION("""COMPUTED_VALUE"""),24.0)</f>
        <v>24</v>
      </c>
      <c r="M704" s="131">
        <f>IFERROR(__xludf.DUMMYFUNCTION("""COMPUTED_VALUE"""),26.0)</f>
        <v>26</v>
      </c>
      <c r="N704" s="131">
        <f>IFERROR(__xludf.DUMMYFUNCTION("""COMPUTED_VALUE"""),2.0)</f>
        <v>2</v>
      </c>
      <c r="O704" s="131">
        <f>IFERROR(__xludf.DUMMYFUNCTION("""COMPUTED_VALUE"""),2.0)</f>
        <v>2</v>
      </c>
      <c r="P704" s="131">
        <f>IFERROR(__xludf.DUMMYFUNCTION("""COMPUTED_VALUE"""),378.0)</f>
        <v>378</v>
      </c>
      <c r="Q704" s="131" t="str">
        <f>IFERROR(__xludf.DUMMYFUNCTION("""COMPUTED_VALUE"""),"S49,G52")</f>
        <v>S49,G52</v>
      </c>
      <c r="R704" s="131"/>
      <c r="T704" s="131"/>
      <c r="U704" s="131" t="str">
        <f>IFERROR(__xludf.DUMMYFUNCTION("""COMPUTED_VALUE"""),"8")</f>
        <v>8</v>
      </c>
      <c r="V704" s="131"/>
      <c r="W704" s="144">
        <f>IFERROR(__xludf.DUMMYFUNCTION("""COMPUTED_VALUE"""),45827.0)</f>
        <v>45827</v>
      </c>
      <c r="X704" s="144">
        <f>IFERROR(__xludf.DUMMYFUNCTION("""COMPUTED_VALUE"""),45834.0)</f>
        <v>45834</v>
      </c>
      <c r="Y704" s="144">
        <f>IFERROR(__xludf.DUMMYFUNCTION("""COMPUTED_VALUE"""),45855.0)</f>
        <v>45855</v>
      </c>
      <c r="Z704" s="131" t="str">
        <f>IFERROR(__xludf.DUMMYFUNCTION("""COMPUTED_VALUE"""),"D31-2R")</f>
        <v>D31-2R</v>
      </c>
      <c r="AA704" s="131"/>
      <c r="AB704" s="131"/>
      <c r="AC704" s="131"/>
      <c r="AD704" s="131"/>
      <c r="AE704" s="131">
        <f>IFERROR(__xludf.DUMMYFUNCTION("""COMPUTED_VALUE"""),36.0)</f>
        <v>36</v>
      </c>
      <c r="AF704" s="131">
        <f>IFERROR(__xludf.DUMMYFUNCTION("""COMPUTED_VALUE"""),42.0)</f>
        <v>42</v>
      </c>
      <c r="AG704" s="131">
        <f>IFERROR(__xludf.DUMMYFUNCTION("""COMPUTED_VALUE"""),4.0)</f>
        <v>4</v>
      </c>
      <c r="AH704" s="131">
        <f>IFERROR(__xludf.DUMMYFUNCTION("""COMPUTED_VALUE"""),4.0)</f>
        <v>4</v>
      </c>
      <c r="AI704" s="131">
        <f>IFERROR(__xludf.DUMMYFUNCTION("""COMPUTED_VALUE"""),378.0)</f>
        <v>378</v>
      </c>
      <c r="AJ704" s="131" t="str">
        <f>IFERROR(__xludf.DUMMYFUNCTION("""COMPUTED_VALUE"""),"S49,G52")</f>
        <v>S49,G52</v>
      </c>
      <c r="AK704" s="131"/>
    </row>
    <row r="705">
      <c r="A705" s="124"/>
      <c r="B705" s="131" t="str">
        <f>IFERROR(__xludf.DUMMYFUNCTION("""COMPUTED_VALUE"""),"8")</f>
        <v>8</v>
      </c>
      <c r="C705" s="131"/>
      <c r="D705" s="144">
        <f>IFERROR(__xludf.DUMMYFUNCTION("""COMPUTED_VALUE"""),45827.0)</f>
        <v>45827</v>
      </c>
      <c r="E705" s="147">
        <f>IFERROR(__xludf.DUMMYFUNCTION("""COMPUTED_VALUE"""),45834.0)</f>
        <v>45834</v>
      </c>
      <c r="F705" s="147">
        <f>IFERROR(__xludf.DUMMYFUNCTION("""COMPUTED_VALUE"""),45855.0)</f>
        <v>45855</v>
      </c>
      <c r="G705" s="131" t="str">
        <f>IFERROR(__xludf.DUMMYFUNCTION("""COMPUTED_VALUE"""),"D31-2R")</f>
        <v>D31-2R</v>
      </c>
      <c r="H705" s="126"/>
      <c r="I705" s="126"/>
      <c r="J705" s="131"/>
      <c r="K705" s="131"/>
      <c r="L705" s="131">
        <f>IFERROR(__xludf.DUMMYFUNCTION("""COMPUTED_VALUE"""),36.0)</f>
        <v>36</v>
      </c>
      <c r="M705" s="131">
        <f>IFERROR(__xludf.DUMMYFUNCTION("""COMPUTED_VALUE"""),42.0)</f>
        <v>42</v>
      </c>
      <c r="N705" s="131">
        <f>IFERROR(__xludf.DUMMYFUNCTION("""COMPUTED_VALUE"""),4.0)</f>
        <v>4</v>
      </c>
      <c r="O705" s="131">
        <f>IFERROR(__xludf.DUMMYFUNCTION("""COMPUTED_VALUE"""),4.0)</f>
        <v>4</v>
      </c>
      <c r="P705" s="131">
        <f>IFERROR(__xludf.DUMMYFUNCTION("""COMPUTED_VALUE"""),378.0)</f>
        <v>378</v>
      </c>
      <c r="Q705" s="131" t="str">
        <f>IFERROR(__xludf.DUMMYFUNCTION("""COMPUTED_VALUE"""),"S49,G52")</f>
        <v>S49,G52</v>
      </c>
      <c r="R705" s="131"/>
      <c r="T705" s="131"/>
      <c r="U705" s="131" t="str">
        <f>IFERROR(__xludf.DUMMYFUNCTION("""COMPUTED_VALUE"""),"8")</f>
        <v>8</v>
      </c>
      <c r="V705" s="131"/>
      <c r="W705" s="144">
        <f>IFERROR(__xludf.DUMMYFUNCTION("""COMPUTED_VALUE"""),45829.0)</f>
        <v>45829</v>
      </c>
      <c r="X705" s="144">
        <f>IFERROR(__xludf.DUMMYFUNCTION("""COMPUTED_VALUE"""),45836.0)</f>
        <v>45836</v>
      </c>
      <c r="Y705" s="144">
        <f>IFERROR(__xludf.DUMMYFUNCTION("""COMPUTED_VALUE"""),45857.0)</f>
        <v>45857</v>
      </c>
      <c r="Z705" s="131" t="str">
        <f>IFERROR(__xludf.DUMMYFUNCTION("""COMPUTED_VALUE"""),"D31-2R")</f>
        <v>D31-2R</v>
      </c>
      <c r="AA705" s="131">
        <f>IFERROR(__xludf.DUMMYFUNCTION("""COMPUTED_VALUE"""),171.0)</f>
        <v>171</v>
      </c>
      <c r="AB705" s="131">
        <f>IFERROR(__xludf.DUMMYFUNCTION("""COMPUTED_VALUE"""),177.0)</f>
        <v>177</v>
      </c>
      <c r="AC705" s="131">
        <f>IFERROR(__xludf.DUMMYFUNCTION("""COMPUTED_VALUE"""),4.0)</f>
        <v>4</v>
      </c>
      <c r="AD705" s="131">
        <f>IFERROR(__xludf.DUMMYFUNCTION("""COMPUTED_VALUE"""),4.0)</f>
        <v>4</v>
      </c>
      <c r="AE705" s="131">
        <f>IFERROR(__xludf.DUMMYFUNCTION("""COMPUTED_VALUE"""),46.0)</f>
        <v>46</v>
      </c>
      <c r="AF705" s="131">
        <f>IFERROR(__xludf.DUMMYFUNCTION("""COMPUTED_VALUE"""),62.0)</f>
        <v>62</v>
      </c>
      <c r="AG705" s="131">
        <f>IFERROR(__xludf.DUMMYFUNCTION("""COMPUTED_VALUE"""),9.0)</f>
        <v>9</v>
      </c>
      <c r="AH705" s="131">
        <f>IFERROR(__xludf.DUMMYFUNCTION("""COMPUTED_VALUE"""),9.0)</f>
        <v>9</v>
      </c>
      <c r="AI705" s="131">
        <f>IFERROR(__xludf.DUMMYFUNCTION("""COMPUTED_VALUE"""),379.0)</f>
        <v>379</v>
      </c>
      <c r="AJ705" s="131" t="str">
        <f>IFERROR(__xludf.DUMMYFUNCTION("""COMPUTED_VALUE"""),"S49,G52")</f>
        <v>S49,G52</v>
      </c>
      <c r="AK705" s="131">
        <f>IFERROR(__xludf.DUMMYFUNCTION("""COMPUTED_VALUE"""),25.0)</f>
        <v>25</v>
      </c>
    </row>
    <row r="706">
      <c r="A706" s="124"/>
      <c r="B706" s="131" t="str">
        <f>IFERROR(__xludf.DUMMYFUNCTION("""COMPUTED_VALUE"""),"8")</f>
        <v>8</v>
      </c>
      <c r="C706" s="131"/>
      <c r="D706" s="144">
        <f>IFERROR(__xludf.DUMMYFUNCTION("""COMPUTED_VALUE"""),45829.0)</f>
        <v>45829</v>
      </c>
      <c r="E706" s="147">
        <f>IFERROR(__xludf.DUMMYFUNCTION("""COMPUTED_VALUE"""),45836.0)</f>
        <v>45836</v>
      </c>
      <c r="F706" s="147">
        <f>IFERROR(__xludf.DUMMYFUNCTION("""COMPUTED_VALUE"""),45857.0)</f>
        <v>45857</v>
      </c>
      <c r="G706" s="131" t="str">
        <f>IFERROR(__xludf.DUMMYFUNCTION("""COMPUTED_VALUE"""),"D31-2R")</f>
        <v>D31-2R</v>
      </c>
      <c r="H706" s="126">
        <f>IFERROR(__xludf.DUMMYFUNCTION("""COMPUTED_VALUE"""),171.0)</f>
        <v>171</v>
      </c>
      <c r="I706" s="126">
        <f>IFERROR(__xludf.DUMMYFUNCTION("""COMPUTED_VALUE"""),177.0)</f>
        <v>177</v>
      </c>
      <c r="J706" s="131">
        <f>IFERROR(__xludf.DUMMYFUNCTION("""COMPUTED_VALUE"""),4.0)</f>
        <v>4</v>
      </c>
      <c r="K706" s="131">
        <f>IFERROR(__xludf.DUMMYFUNCTION("""COMPUTED_VALUE"""),4.0)</f>
        <v>4</v>
      </c>
      <c r="L706" s="131">
        <f>IFERROR(__xludf.DUMMYFUNCTION("""COMPUTED_VALUE"""),46.0)</f>
        <v>46</v>
      </c>
      <c r="M706" s="131">
        <f>IFERROR(__xludf.DUMMYFUNCTION("""COMPUTED_VALUE"""),62.0)</f>
        <v>62</v>
      </c>
      <c r="N706" s="131">
        <f>IFERROR(__xludf.DUMMYFUNCTION("""COMPUTED_VALUE"""),9.0)</f>
        <v>9</v>
      </c>
      <c r="O706" s="131">
        <f>IFERROR(__xludf.DUMMYFUNCTION("""COMPUTED_VALUE"""),9.0)</f>
        <v>9</v>
      </c>
      <c r="P706" s="131">
        <f>IFERROR(__xludf.DUMMYFUNCTION("""COMPUTED_VALUE"""),379.0)</f>
        <v>379</v>
      </c>
      <c r="Q706" s="131" t="str">
        <f>IFERROR(__xludf.DUMMYFUNCTION("""COMPUTED_VALUE"""),"S49,G52")</f>
        <v>S49,G52</v>
      </c>
      <c r="R706" s="131">
        <f>IFERROR(__xludf.DUMMYFUNCTION("""COMPUTED_VALUE"""),25.0)</f>
        <v>25</v>
      </c>
      <c r="T706" s="131"/>
      <c r="U706" s="131" t="str">
        <f>IFERROR(__xludf.DUMMYFUNCTION("""COMPUTED_VALUE"""),"8")</f>
        <v>8</v>
      </c>
      <c r="V706" s="131"/>
      <c r="W706" s="144">
        <f>IFERROR(__xludf.DUMMYFUNCTION("""COMPUTED_VALUE"""),45829.0)</f>
        <v>45829</v>
      </c>
      <c r="X706" s="144">
        <f>IFERROR(__xludf.DUMMYFUNCTION("""COMPUTED_VALUE"""),45836.0)</f>
        <v>45836</v>
      </c>
      <c r="Y706" s="144">
        <f>IFERROR(__xludf.DUMMYFUNCTION("""COMPUTED_VALUE"""),45857.0)</f>
        <v>45857</v>
      </c>
      <c r="Z706" s="131" t="str">
        <f>IFERROR(__xludf.DUMMYFUNCTION("""COMPUTED_VALUE"""),"D31-2R")</f>
        <v>D31-2R</v>
      </c>
      <c r="AA706" s="131">
        <f>IFERROR(__xludf.DUMMYFUNCTION("""COMPUTED_VALUE"""),205.0)</f>
        <v>205</v>
      </c>
      <c r="AB706" s="131">
        <f>IFERROR(__xludf.DUMMYFUNCTION("""COMPUTED_VALUE"""),235.0)</f>
        <v>235</v>
      </c>
      <c r="AC706" s="131">
        <f>IFERROR(__xludf.DUMMYFUNCTION("""COMPUTED_VALUE"""),16.0)</f>
        <v>16</v>
      </c>
      <c r="AD706" s="131">
        <f>IFERROR(__xludf.DUMMYFUNCTION("""COMPUTED_VALUE"""),16.0)</f>
        <v>16</v>
      </c>
      <c r="AE706" s="131">
        <f>IFERROR(__xludf.DUMMYFUNCTION("""COMPUTED_VALUE"""),80.0)</f>
        <v>80</v>
      </c>
      <c r="AF706" s="131">
        <f>IFERROR(__xludf.DUMMYFUNCTION("""COMPUTED_VALUE"""),120.0)</f>
        <v>120</v>
      </c>
      <c r="AG706" s="131">
        <f>IFERROR(__xludf.DUMMYFUNCTION("""COMPUTED_VALUE"""),21.0)</f>
        <v>21</v>
      </c>
      <c r="AH706" s="131">
        <f>IFERROR(__xludf.DUMMYFUNCTION("""COMPUTED_VALUE"""),21.0)</f>
        <v>21</v>
      </c>
      <c r="AI706" s="131">
        <f>IFERROR(__xludf.DUMMYFUNCTION("""COMPUTED_VALUE"""),379.0)</f>
        <v>379</v>
      </c>
      <c r="AJ706" s="131" t="str">
        <f>IFERROR(__xludf.DUMMYFUNCTION("""COMPUTED_VALUE"""),"S49,G52")</f>
        <v>S49,G52</v>
      </c>
      <c r="AK706" s="131"/>
    </row>
    <row r="707">
      <c r="A707" s="124"/>
      <c r="B707" s="131" t="str">
        <f>IFERROR(__xludf.DUMMYFUNCTION("""COMPUTED_VALUE"""),"8")</f>
        <v>8</v>
      </c>
      <c r="C707" s="131"/>
      <c r="D707" s="144">
        <f>IFERROR(__xludf.DUMMYFUNCTION("""COMPUTED_VALUE"""),45829.0)</f>
        <v>45829</v>
      </c>
      <c r="E707" s="147">
        <f>IFERROR(__xludf.DUMMYFUNCTION("""COMPUTED_VALUE"""),45836.0)</f>
        <v>45836</v>
      </c>
      <c r="F707" s="147">
        <f>IFERROR(__xludf.DUMMYFUNCTION("""COMPUTED_VALUE"""),45857.0)</f>
        <v>45857</v>
      </c>
      <c r="G707" s="131" t="str">
        <f>IFERROR(__xludf.DUMMYFUNCTION("""COMPUTED_VALUE"""),"D31-2R")</f>
        <v>D31-2R</v>
      </c>
      <c r="H707" s="126">
        <f>IFERROR(__xludf.DUMMYFUNCTION("""COMPUTED_VALUE"""),205.0)</f>
        <v>205</v>
      </c>
      <c r="I707" s="126">
        <f>IFERROR(__xludf.DUMMYFUNCTION("""COMPUTED_VALUE"""),235.0)</f>
        <v>235</v>
      </c>
      <c r="J707" s="131">
        <f>IFERROR(__xludf.DUMMYFUNCTION("""COMPUTED_VALUE"""),16.0)</f>
        <v>16</v>
      </c>
      <c r="K707" s="131">
        <f>IFERROR(__xludf.DUMMYFUNCTION("""COMPUTED_VALUE"""),16.0)</f>
        <v>16</v>
      </c>
      <c r="L707" s="131">
        <f>IFERROR(__xludf.DUMMYFUNCTION("""COMPUTED_VALUE"""),80.0)</f>
        <v>80</v>
      </c>
      <c r="M707" s="131">
        <f>IFERROR(__xludf.DUMMYFUNCTION("""COMPUTED_VALUE"""),120.0)</f>
        <v>120</v>
      </c>
      <c r="N707" s="131">
        <f>IFERROR(__xludf.DUMMYFUNCTION("""COMPUTED_VALUE"""),21.0)</f>
        <v>21</v>
      </c>
      <c r="O707" s="131">
        <f>IFERROR(__xludf.DUMMYFUNCTION("""COMPUTED_VALUE"""),21.0)</f>
        <v>21</v>
      </c>
      <c r="P707" s="131">
        <f>IFERROR(__xludf.DUMMYFUNCTION("""COMPUTED_VALUE"""),379.0)</f>
        <v>379</v>
      </c>
      <c r="Q707" s="131" t="str">
        <f>IFERROR(__xludf.DUMMYFUNCTION("""COMPUTED_VALUE"""),"S49,G52")</f>
        <v>S49,G52</v>
      </c>
      <c r="R707" s="131"/>
      <c r="T707" s="131"/>
      <c r="U707" s="131" t="str">
        <f>IFERROR(__xludf.DUMMYFUNCTION("""COMPUTED_VALUE"""),"8")</f>
        <v>8</v>
      </c>
      <c r="V707" s="131"/>
      <c r="W707" s="144">
        <f>IFERROR(__xludf.DUMMYFUNCTION("""COMPUTED_VALUE"""),45829.0)</f>
        <v>45829</v>
      </c>
      <c r="X707" s="144">
        <f>IFERROR(__xludf.DUMMYFUNCTION("""COMPUTED_VALUE"""),45836.0)</f>
        <v>45836</v>
      </c>
      <c r="Y707" s="144">
        <f>IFERROR(__xludf.DUMMYFUNCTION("""COMPUTED_VALUE"""),45857.0)</f>
        <v>45857</v>
      </c>
      <c r="Z707" s="131" t="str">
        <f>IFERROR(__xludf.DUMMYFUNCTION("""COMPUTED_VALUE"""),"D31-2R")</f>
        <v>D31-2R</v>
      </c>
      <c r="AA707" s="131">
        <f>IFERROR(__xludf.DUMMYFUNCTION("""COMPUTED_VALUE"""),239.0)</f>
        <v>239</v>
      </c>
      <c r="AB707" s="131">
        <f>IFERROR(__xludf.DUMMYFUNCTION("""COMPUTED_VALUE"""),243.0)</f>
        <v>243</v>
      </c>
      <c r="AC707" s="131">
        <f>IFERROR(__xludf.DUMMYFUNCTION("""COMPUTED_VALUE"""),3.0)</f>
        <v>3</v>
      </c>
      <c r="AD707" s="131">
        <f>IFERROR(__xludf.DUMMYFUNCTION("""COMPUTED_VALUE"""),3.0)</f>
        <v>3</v>
      </c>
      <c r="AE707" s="131">
        <f>IFERROR(__xludf.DUMMYFUNCTION("""COMPUTED_VALUE"""),130.0)</f>
        <v>130</v>
      </c>
      <c r="AF707" s="131">
        <f>IFERROR(__xludf.DUMMYFUNCTION("""COMPUTED_VALUE"""),168.0)</f>
        <v>168</v>
      </c>
      <c r="AG707" s="131">
        <f>IFERROR(__xludf.DUMMYFUNCTION("""COMPUTED_VALUE"""),20.0)</f>
        <v>20</v>
      </c>
      <c r="AH707" s="131">
        <f>IFERROR(__xludf.DUMMYFUNCTION("""COMPUTED_VALUE"""),20.0)</f>
        <v>20</v>
      </c>
      <c r="AI707" s="131">
        <f>IFERROR(__xludf.DUMMYFUNCTION("""COMPUTED_VALUE"""),379.0)</f>
        <v>379</v>
      </c>
      <c r="AJ707" s="131" t="str">
        <f>IFERROR(__xludf.DUMMYFUNCTION("""COMPUTED_VALUE"""),"S49,G52")</f>
        <v>S49,G52</v>
      </c>
      <c r="AK707" s="131"/>
    </row>
    <row r="708">
      <c r="A708" s="124"/>
      <c r="B708" s="131" t="str">
        <f>IFERROR(__xludf.DUMMYFUNCTION("""COMPUTED_VALUE"""),"8")</f>
        <v>8</v>
      </c>
      <c r="C708" s="131"/>
      <c r="D708" s="144">
        <f>IFERROR(__xludf.DUMMYFUNCTION("""COMPUTED_VALUE"""),45829.0)</f>
        <v>45829</v>
      </c>
      <c r="E708" s="147">
        <f>IFERROR(__xludf.DUMMYFUNCTION("""COMPUTED_VALUE"""),45836.0)</f>
        <v>45836</v>
      </c>
      <c r="F708" s="147">
        <f>IFERROR(__xludf.DUMMYFUNCTION("""COMPUTED_VALUE"""),45857.0)</f>
        <v>45857</v>
      </c>
      <c r="G708" s="131" t="str">
        <f>IFERROR(__xludf.DUMMYFUNCTION("""COMPUTED_VALUE"""),"D31-2R")</f>
        <v>D31-2R</v>
      </c>
      <c r="H708" s="126">
        <f>IFERROR(__xludf.DUMMYFUNCTION("""COMPUTED_VALUE"""),239.0)</f>
        <v>239</v>
      </c>
      <c r="I708" s="126">
        <f>IFERROR(__xludf.DUMMYFUNCTION("""COMPUTED_VALUE"""),243.0)</f>
        <v>243</v>
      </c>
      <c r="J708" s="131">
        <f>IFERROR(__xludf.DUMMYFUNCTION("""COMPUTED_VALUE"""),3.0)</f>
        <v>3</v>
      </c>
      <c r="K708" s="131">
        <f>IFERROR(__xludf.DUMMYFUNCTION("""COMPUTED_VALUE"""),3.0)</f>
        <v>3</v>
      </c>
      <c r="L708" s="131">
        <f>IFERROR(__xludf.DUMMYFUNCTION("""COMPUTED_VALUE"""),130.0)</f>
        <v>130</v>
      </c>
      <c r="M708" s="131">
        <f>IFERROR(__xludf.DUMMYFUNCTION("""COMPUTED_VALUE"""),168.0)</f>
        <v>168</v>
      </c>
      <c r="N708" s="131">
        <f>IFERROR(__xludf.DUMMYFUNCTION("""COMPUTED_VALUE"""),20.0)</f>
        <v>20</v>
      </c>
      <c r="O708" s="131">
        <f>IFERROR(__xludf.DUMMYFUNCTION("""COMPUTED_VALUE"""),20.0)</f>
        <v>20</v>
      </c>
      <c r="P708" s="131">
        <f>IFERROR(__xludf.DUMMYFUNCTION("""COMPUTED_VALUE"""),379.0)</f>
        <v>379</v>
      </c>
      <c r="Q708" s="131" t="str">
        <f>IFERROR(__xludf.DUMMYFUNCTION("""COMPUTED_VALUE"""),"S49,G52")</f>
        <v>S49,G52</v>
      </c>
      <c r="R708" s="131"/>
      <c r="T708" s="131"/>
      <c r="U708" s="131" t="str">
        <f>IFERROR(__xludf.DUMMYFUNCTION("""COMPUTED_VALUE"""),"8")</f>
        <v>8</v>
      </c>
      <c r="V708" s="131"/>
      <c r="W708" s="144">
        <f>IFERROR(__xludf.DUMMYFUNCTION("""COMPUTED_VALUE"""),45829.0)</f>
        <v>45829</v>
      </c>
      <c r="X708" s="144">
        <f>IFERROR(__xludf.DUMMYFUNCTION("""COMPUTED_VALUE"""),45836.0)</f>
        <v>45836</v>
      </c>
      <c r="Y708" s="144">
        <f>IFERROR(__xludf.DUMMYFUNCTION("""COMPUTED_VALUE"""),45857.0)</f>
        <v>45857</v>
      </c>
      <c r="Z708" s="131" t="str">
        <f>IFERROR(__xludf.DUMMYFUNCTION("""COMPUTED_VALUE"""),"D31-2R")</f>
        <v>D31-2R</v>
      </c>
      <c r="AA708" s="131"/>
      <c r="AB708" s="131"/>
      <c r="AC708" s="131"/>
      <c r="AD708" s="131"/>
      <c r="AE708" s="131">
        <f>IFERROR(__xludf.DUMMYFUNCTION("""COMPUTED_VALUE"""),170.0)</f>
        <v>170</v>
      </c>
      <c r="AF708" s="131">
        <f>IFERROR(__xludf.DUMMYFUNCTION("""COMPUTED_VALUE"""),170.0)</f>
        <v>170</v>
      </c>
      <c r="AG708" s="131">
        <f>IFERROR(__xludf.DUMMYFUNCTION("""COMPUTED_VALUE"""),1.0)</f>
        <v>1</v>
      </c>
      <c r="AH708" s="131">
        <f>IFERROR(__xludf.DUMMYFUNCTION("""COMPUTED_VALUE"""),1.0)</f>
        <v>1</v>
      </c>
      <c r="AI708" s="131">
        <f>IFERROR(__xludf.DUMMYFUNCTION("""COMPUTED_VALUE"""),379.0)</f>
        <v>379</v>
      </c>
      <c r="AJ708" s="131" t="str">
        <f>IFERROR(__xludf.DUMMYFUNCTION("""COMPUTED_VALUE"""),"S49,G52")</f>
        <v>S49,G52</v>
      </c>
      <c r="AK708" s="131"/>
    </row>
    <row r="709">
      <c r="A709" s="124"/>
      <c r="B709" s="131" t="str">
        <f>IFERROR(__xludf.DUMMYFUNCTION("""COMPUTED_VALUE"""),"8")</f>
        <v>8</v>
      </c>
      <c r="C709" s="131"/>
      <c r="D709" s="144">
        <f>IFERROR(__xludf.DUMMYFUNCTION("""COMPUTED_VALUE"""),45829.0)</f>
        <v>45829</v>
      </c>
      <c r="E709" s="147">
        <f>IFERROR(__xludf.DUMMYFUNCTION("""COMPUTED_VALUE"""),45836.0)</f>
        <v>45836</v>
      </c>
      <c r="F709" s="147">
        <f>IFERROR(__xludf.DUMMYFUNCTION("""COMPUTED_VALUE"""),45857.0)</f>
        <v>45857</v>
      </c>
      <c r="G709" s="131" t="str">
        <f>IFERROR(__xludf.DUMMYFUNCTION("""COMPUTED_VALUE"""),"D31-2R")</f>
        <v>D31-2R</v>
      </c>
      <c r="H709" s="126"/>
      <c r="I709" s="126"/>
      <c r="J709" s="131"/>
      <c r="K709" s="131"/>
      <c r="L709" s="131">
        <f>IFERROR(__xludf.DUMMYFUNCTION("""COMPUTED_VALUE"""),170.0)</f>
        <v>170</v>
      </c>
      <c r="M709" s="131">
        <f>IFERROR(__xludf.DUMMYFUNCTION("""COMPUTED_VALUE"""),170.0)</f>
        <v>170</v>
      </c>
      <c r="N709" s="131">
        <f>IFERROR(__xludf.DUMMYFUNCTION("""COMPUTED_VALUE"""),1.0)</f>
        <v>1</v>
      </c>
      <c r="O709" s="131">
        <f>IFERROR(__xludf.DUMMYFUNCTION("""COMPUTED_VALUE"""),1.0)</f>
        <v>1</v>
      </c>
      <c r="P709" s="131">
        <f>IFERROR(__xludf.DUMMYFUNCTION("""COMPUTED_VALUE"""),379.0)</f>
        <v>379</v>
      </c>
      <c r="Q709" s="131" t="str">
        <f>IFERROR(__xludf.DUMMYFUNCTION("""COMPUTED_VALUE"""),"S49,G52")</f>
        <v>S49,G52</v>
      </c>
      <c r="R709" s="131"/>
      <c r="T709" s="131"/>
      <c r="U709" s="131" t="str">
        <f>IFERROR(__xludf.DUMMYFUNCTION("""COMPUTED_VALUE"""),"8")</f>
        <v>8</v>
      </c>
      <c r="V709" s="131"/>
      <c r="W709" s="144">
        <f>IFERROR(__xludf.DUMMYFUNCTION("""COMPUTED_VALUE"""),45829.0)</f>
        <v>45829</v>
      </c>
      <c r="X709" s="144">
        <f>IFERROR(__xludf.DUMMYFUNCTION("""COMPUTED_VALUE"""),45836.0)</f>
        <v>45836</v>
      </c>
      <c r="Y709" s="144">
        <f>IFERROR(__xludf.DUMMYFUNCTION("""COMPUTED_VALUE"""),45857.0)</f>
        <v>45857</v>
      </c>
      <c r="Z709" s="131" t="str">
        <f>IFERROR(__xludf.DUMMYFUNCTION("""COMPUTED_VALUE"""),"D31-2R")</f>
        <v>D31-2R</v>
      </c>
      <c r="AA709" s="131"/>
      <c r="AB709" s="131"/>
      <c r="AC709" s="131"/>
      <c r="AD709" s="131"/>
      <c r="AE709" s="131">
        <f>IFERROR(__xludf.DUMMYFUNCTION("""COMPUTED_VALUE"""),188.0)</f>
        <v>188</v>
      </c>
      <c r="AF709" s="131">
        <f>IFERROR(__xludf.DUMMYFUNCTION("""COMPUTED_VALUE"""),204.0)</f>
        <v>204</v>
      </c>
      <c r="AG709" s="131">
        <f>IFERROR(__xludf.DUMMYFUNCTION("""COMPUTED_VALUE"""),9.0)</f>
        <v>9</v>
      </c>
      <c r="AH709" s="131">
        <f>IFERROR(__xludf.DUMMYFUNCTION("""COMPUTED_VALUE"""),9.0)</f>
        <v>9</v>
      </c>
      <c r="AI709" s="131">
        <f>IFERROR(__xludf.DUMMYFUNCTION("""COMPUTED_VALUE"""),379.0)</f>
        <v>379</v>
      </c>
      <c r="AJ709" s="131" t="str">
        <f>IFERROR(__xludf.DUMMYFUNCTION("""COMPUTED_VALUE"""),"S49,G52")</f>
        <v>S49,G52</v>
      </c>
      <c r="AK709" s="131"/>
    </row>
    <row r="710">
      <c r="A710" s="124"/>
      <c r="B710" s="131" t="str">
        <f>IFERROR(__xludf.DUMMYFUNCTION("""COMPUTED_VALUE"""),"8")</f>
        <v>8</v>
      </c>
      <c r="C710" s="131"/>
      <c r="D710" s="144">
        <f>IFERROR(__xludf.DUMMYFUNCTION("""COMPUTED_VALUE"""),45829.0)</f>
        <v>45829</v>
      </c>
      <c r="E710" s="147">
        <f>IFERROR(__xludf.DUMMYFUNCTION("""COMPUTED_VALUE"""),45836.0)</f>
        <v>45836</v>
      </c>
      <c r="F710" s="147">
        <f>IFERROR(__xludf.DUMMYFUNCTION("""COMPUTED_VALUE"""),45857.0)</f>
        <v>45857</v>
      </c>
      <c r="G710" s="131" t="str">
        <f>IFERROR(__xludf.DUMMYFUNCTION("""COMPUTED_VALUE"""),"D31-2R")</f>
        <v>D31-2R</v>
      </c>
      <c r="H710" s="126"/>
      <c r="I710" s="126"/>
      <c r="J710" s="131"/>
      <c r="K710" s="131"/>
      <c r="L710" s="131">
        <f>IFERROR(__xludf.DUMMYFUNCTION("""COMPUTED_VALUE"""),188.0)</f>
        <v>188</v>
      </c>
      <c r="M710" s="131">
        <f>IFERROR(__xludf.DUMMYFUNCTION("""COMPUTED_VALUE"""),204.0)</f>
        <v>204</v>
      </c>
      <c r="N710" s="131">
        <f>IFERROR(__xludf.DUMMYFUNCTION("""COMPUTED_VALUE"""),9.0)</f>
        <v>9</v>
      </c>
      <c r="O710" s="131">
        <f>IFERROR(__xludf.DUMMYFUNCTION("""COMPUTED_VALUE"""),9.0)</f>
        <v>9</v>
      </c>
      <c r="P710" s="131">
        <f>IFERROR(__xludf.DUMMYFUNCTION("""COMPUTED_VALUE"""),379.0)</f>
        <v>379</v>
      </c>
      <c r="Q710" s="131" t="str">
        <f>IFERROR(__xludf.DUMMYFUNCTION("""COMPUTED_VALUE"""),"S49,G52")</f>
        <v>S49,G52</v>
      </c>
      <c r="R710" s="131"/>
      <c r="T710" s="131"/>
      <c r="U710" s="131" t="str">
        <f>IFERROR(__xludf.DUMMYFUNCTION("""COMPUTED_VALUE"""),"8")</f>
        <v>8</v>
      </c>
      <c r="V710" s="131"/>
      <c r="W710" s="144">
        <f>IFERROR(__xludf.DUMMYFUNCTION("""COMPUTED_VALUE"""),45831.0)</f>
        <v>45831</v>
      </c>
      <c r="X710" s="144">
        <f>IFERROR(__xludf.DUMMYFUNCTION("""COMPUTED_VALUE"""),45838.0)</f>
        <v>45838</v>
      </c>
      <c r="Y710" s="144">
        <f>IFERROR(__xludf.DUMMYFUNCTION("""COMPUTED_VALUE"""),45859.0)</f>
        <v>45859</v>
      </c>
      <c r="Z710" s="131" t="str">
        <f>IFERROR(__xludf.DUMMYFUNCTION("""COMPUTED_VALUE"""),"D31-2R")</f>
        <v>D31-2R</v>
      </c>
      <c r="AA710" s="131">
        <f>IFERROR(__xludf.DUMMYFUNCTION("""COMPUTED_VALUE"""),245.0)</f>
        <v>245</v>
      </c>
      <c r="AB710" s="131">
        <f>IFERROR(__xludf.DUMMYFUNCTION("""COMPUTED_VALUE"""),299.0)</f>
        <v>299</v>
      </c>
      <c r="AC710" s="131">
        <f>IFERROR(__xludf.DUMMYFUNCTION("""COMPUTED_VALUE"""),28.0)</f>
        <v>28</v>
      </c>
      <c r="AD710" s="131">
        <f>IFERROR(__xludf.DUMMYFUNCTION("""COMPUTED_VALUE"""),28.0)</f>
        <v>28</v>
      </c>
      <c r="AE710" s="131"/>
      <c r="AF710" s="131"/>
      <c r="AG710" s="131"/>
      <c r="AH710" s="131"/>
      <c r="AI710" s="131">
        <f>IFERROR(__xludf.DUMMYFUNCTION("""COMPUTED_VALUE"""),380.0)</f>
        <v>380</v>
      </c>
      <c r="AJ710" s="131" t="str">
        <f>IFERROR(__xludf.DUMMYFUNCTION("""COMPUTED_VALUE"""),"S49,G52")</f>
        <v>S49,G52</v>
      </c>
      <c r="AK710" s="131">
        <f>IFERROR(__xludf.DUMMYFUNCTION("""COMPUTED_VALUE"""),24.16)</f>
        <v>24.16</v>
      </c>
    </row>
    <row r="711">
      <c r="A711" s="124"/>
      <c r="B711" s="131" t="str">
        <f>IFERROR(__xludf.DUMMYFUNCTION("""COMPUTED_VALUE"""),"8")</f>
        <v>8</v>
      </c>
      <c r="C711" s="131"/>
      <c r="D711" s="144">
        <f>IFERROR(__xludf.DUMMYFUNCTION("""COMPUTED_VALUE"""),45831.0)</f>
        <v>45831</v>
      </c>
      <c r="E711" s="147">
        <f>IFERROR(__xludf.DUMMYFUNCTION("""COMPUTED_VALUE"""),45838.0)</f>
        <v>45838</v>
      </c>
      <c r="F711" s="147">
        <f>IFERROR(__xludf.DUMMYFUNCTION("""COMPUTED_VALUE"""),45859.0)</f>
        <v>45859</v>
      </c>
      <c r="G711" s="131" t="str">
        <f>IFERROR(__xludf.DUMMYFUNCTION("""COMPUTED_VALUE"""),"D31-2R")</f>
        <v>D31-2R</v>
      </c>
      <c r="H711" s="126">
        <f>IFERROR(__xludf.DUMMYFUNCTION("""COMPUTED_VALUE"""),245.0)</f>
        <v>245</v>
      </c>
      <c r="I711" s="126">
        <f>IFERROR(__xludf.DUMMYFUNCTION("""COMPUTED_VALUE"""),299.0)</f>
        <v>299</v>
      </c>
      <c r="J711" s="131">
        <f>IFERROR(__xludf.DUMMYFUNCTION("""COMPUTED_VALUE"""),28.0)</f>
        <v>28</v>
      </c>
      <c r="K711" s="131">
        <f>IFERROR(__xludf.DUMMYFUNCTION("""COMPUTED_VALUE"""),28.0)</f>
        <v>28</v>
      </c>
      <c r="L711" s="131"/>
      <c r="M711" s="131"/>
      <c r="N711" s="131"/>
      <c r="O711" s="131"/>
      <c r="P711" s="131">
        <f>IFERROR(__xludf.DUMMYFUNCTION("""COMPUTED_VALUE"""),380.0)</f>
        <v>380</v>
      </c>
      <c r="Q711" s="131" t="str">
        <f>IFERROR(__xludf.DUMMYFUNCTION("""COMPUTED_VALUE"""),"S49,G52")</f>
        <v>S49,G52</v>
      </c>
      <c r="R711" s="131">
        <f>IFERROR(__xludf.DUMMYFUNCTION("""COMPUTED_VALUE"""),24.16)</f>
        <v>24.16</v>
      </c>
      <c r="T711" s="131"/>
      <c r="U711" s="131" t="str">
        <f>IFERROR(__xludf.DUMMYFUNCTION("""COMPUTED_VALUE"""),"8")</f>
        <v>8</v>
      </c>
      <c r="V711" s="131"/>
      <c r="W711" s="144">
        <f>IFERROR(__xludf.DUMMYFUNCTION("""COMPUTED_VALUE"""),45831.0)</f>
        <v>45831</v>
      </c>
      <c r="X711" s="144">
        <f>IFERROR(__xludf.DUMMYFUNCTION("""COMPUTED_VALUE"""),45838.0)</f>
        <v>45838</v>
      </c>
      <c r="Y711" s="144">
        <f>IFERROR(__xludf.DUMMYFUNCTION("""COMPUTED_VALUE"""),45859.0)</f>
        <v>45859</v>
      </c>
      <c r="Z711" s="131" t="str">
        <f>IFERROR(__xludf.DUMMYFUNCTION("""COMPUTED_VALUE"""),"D31-2R")</f>
        <v>D31-2R</v>
      </c>
      <c r="AA711" s="131">
        <f>IFERROR(__xludf.DUMMYFUNCTION("""COMPUTED_VALUE"""),303.0)</f>
        <v>303</v>
      </c>
      <c r="AB711" s="131">
        <f>IFERROR(__xludf.DUMMYFUNCTION("""COMPUTED_VALUE"""),303.0)</f>
        <v>303</v>
      </c>
      <c r="AC711" s="131">
        <f>IFERROR(__xludf.DUMMYFUNCTION("""COMPUTED_VALUE"""),1.0)</f>
        <v>1</v>
      </c>
      <c r="AD711" s="131">
        <f>IFERROR(__xludf.DUMMYFUNCTION("""COMPUTED_VALUE"""),1.0)</f>
        <v>1</v>
      </c>
      <c r="AE711" s="131"/>
      <c r="AF711" s="131"/>
      <c r="AG711" s="131"/>
      <c r="AH711" s="131"/>
      <c r="AI711" s="131">
        <f>IFERROR(__xludf.DUMMYFUNCTION("""COMPUTED_VALUE"""),380.0)</f>
        <v>380</v>
      </c>
      <c r="AJ711" s="131" t="str">
        <f>IFERROR(__xludf.DUMMYFUNCTION("""COMPUTED_VALUE"""),"S49,G52")</f>
        <v>S49,G52</v>
      </c>
      <c r="AK711" s="131"/>
    </row>
    <row r="712">
      <c r="A712" s="124"/>
      <c r="B712" s="131" t="str">
        <f>IFERROR(__xludf.DUMMYFUNCTION("""COMPUTED_VALUE"""),"8")</f>
        <v>8</v>
      </c>
      <c r="C712" s="131"/>
      <c r="D712" s="144">
        <f>IFERROR(__xludf.DUMMYFUNCTION("""COMPUTED_VALUE"""),45831.0)</f>
        <v>45831</v>
      </c>
      <c r="E712" s="147">
        <f>IFERROR(__xludf.DUMMYFUNCTION("""COMPUTED_VALUE"""),45838.0)</f>
        <v>45838</v>
      </c>
      <c r="F712" s="147">
        <f>IFERROR(__xludf.DUMMYFUNCTION("""COMPUTED_VALUE"""),45859.0)</f>
        <v>45859</v>
      </c>
      <c r="G712" s="131" t="str">
        <f>IFERROR(__xludf.DUMMYFUNCTION("""COMPUTED_VALUE"""),"D31-2R")</f>
        <v>D31-2R</v>
      </c>
      <c r="H712" s="126">
        <f>IFERROR(__xludf.DUMMYFUNCTION("""COMPUTED_VALUE"""),303.0)</f>
        <v>303</v>
      </c>
      <c r="I712" s="126">
        <f>IFERROR(__xludf.DUMMYFUNCTION("""COMPUTED_VALUE"""),303.0)</f>
        <v>303</v>
      </c>
      <c r="J712" s="131">
        <f>IFERROR(__xludf.DUMMYFUNCTION("""COMPUTED_VALUE"""),1.0)</f>
        <v>1</v>
      </c>
      <c r="K712" s="131">
        <f>IFERROR(__xludf.DUMMYFUNCTION("""COMPUTED_VALUE"""),1.0)</f>
        <v>1</v>
      </c>
      <c r="L712" s="131"/>
      <c r="M712" s="131"/>
      <c r="N712" s="131"/>
      <c r="O712" s="131"/>
      <c r="P712" s="131">
        <f>IFERROR(__xludf.DUMMYFUNCTION("""COMPUTED_VALUE"""),380.0)</f>
        <v>380</v>
      </c>
      <c r="Q712" s="131" t="str">
        <f>IFERROR(__xludf.DUMMYFUNCTION("""COMPUTED_VALUE"""),"S49,G52")</f>
        <v>S49,G52</v>
      </c>
      <c r="R712" s="131"/>
      <c r="T712" s="131"/>
      <c r="U712" s="131" t="str">
        <f>IFERROR(__xludf.DUMMYFUNCTION("""COMPUTED_VALUE"""),"8")</f>
        <v>8</v>
      </c>
      <c r="V712" s="131"/>
      <c r="W712" s="144">
        <f>IFERROR(__xludf.DUMMYFUNCTION("""COMPUTED_VALUE"""),45831.0)</f>
        <v>45831</v>
      </c>
      <c r="X712" s="144">
        <f>IFERROR(__xludf.DUMMYFUNCTION("""COMPUTED_VALUE"""),45838.0)</f>
        <v>45838</v>
      </c>
      <c r="Y712" s="144">
        <f>IFERROR(__xludf.DUMMYFUNCTION("""COMPUTED_VALUE"""),45859.0)</f>
        <v>45859</v>
      </c>
      <c r="Z712" s="131" t="str">
        <f>IFERROR(__xludf.DUMMYFUNCTION("""COMPUTED_VALUE"""),"D31-3R")</f>
        <v>D31-3R</v>
      </c>
      <c r="AA712" s="131">
        <f>IFERROR(__xludf.DUMMYFUNCTION("""COMPUTED_VALUE"""),15.0)</f>
        <v>15</v>
      </c>
      <c r="AB712" s="131">
        <f>IFERROR(__xludf.DUMMYFUNCTION("""COMPUTED_VALUE"""),63.0)</f>
        <v>63</v>
      </c>
      <c r="AC712" s="131">
        <f>IFERROR(__xludf.DUMMYFUNCTION("""COMPUTED_VALUE"""),25.0)</f>
        <v>25</v>
      </c>
      <c r="AD712" s="131">
        <f>IFERROR(__xludf.DUMMYFUNCTION("""COMPUTED_VALUE"""),25.0)</f>
        <v>25</v>
      </c>
      <c r="AE712" s="131">
        <f>IFERROR(__xludf.DUMMYFUNCTION("""COMPUTED_VALUE"""),84.0)</f>
        <v>84</v>
      </c>
      <c r="AF712" s="131">
        <f>IFERROR(__xludf.DUMMYFUNCTION("""COMPUTED_VALUE"""),104.0)</f>
        <v>104</v>
      </c>
      <c r="AG712" s="131">
        <f>IFERROR(__xludf.DUMMYFUNCTION("""COMPUTED_VALUE"""),11.0)</f>
        <v>11</v>
      </c>
      <c r="AH712" s="131">
        <f>IFERROR(__xludf.DUMMYFUNCTION("""COMPUTED_VALUE"""),11.0)</f>
        <v>11</v>
      </c>
      <c r="AI712" s="131">
        <f>IFERROR(__xludf.DUMMYFUNCTION("""COMPUTED_VALUE"""),380.0)</f>
        <v>380</v>
      </c>
      <c r="AJ712" s="131" t="str">
        <f>IFERROR(__xludf.DUMMYFUNCTION("""COMPUTED_VALUE"""),"S49,G52")</f>
        <v>S49,G52</v>
      </c>
      <c r="AK712" s="131"/>
    </row>
    <row r="713">
      <c r="A713" s="124"/>
      <c r="B713" s="131" t="str">
        <f>IFERROR(__xludf.DUMMYFUNCTION("""COMPUTED_VALUE"""),"8")</f>
        <v>8</v>
      </c>
      <c r="C713" s="131"/>
      <c r="D713" s="144">
        <f>IFERROR(__xludf.DUMMYFUNCTION("""COMPUTED_VALUE"""),45831.0)</f>
        <v>45831</v>
      </c>
      <c r="E713" s="147">
        <f>IFERROR(__xludf.DUMMYFUNCTION("""COMPUTED_VALUE"""),45838.0)</f>
        <v>45838</v>
      </c>
      <c r="F713" s="147">
        <f>IFERROR(__xludf.DUMMYFUNCTION("""COMPUTED_VALUE"""),45859.0)</f>
        <v>45859</v>
      </c>
      <c r="G713" s="131" t="str">
        <f>IFERROR(__xludf.DUMMYFUNCTION("""COMPUTED_VALUE"""),"D31-3R")</f>
        <v>D31-3R</v>
      </c>
      <c r="H713" s="126">
        <f>IFERROR(__xludf.DUMMYFUNCTION("""COMPUTED_VALUE"""),15.0)</f>
        <v>15</v>
      </c>
      <c r="I713" s="126">
        <f>IFERROR(__xludf.DUMMYFUNCTION("""COMPUTED_VALUE"""),63.0)</f>
        <v>63</v>
      </c>
      <c r="J713" s="131">
        <f>IFERROR(__xludf.DUMMYFUNCTION("""COMPUTED_VALUE"""),25.0)</f>
        <v>25</v>
      </c>
      <c r="K713" s="131">
        <f>IFERROR(__xludf.DUMMYFUNCTION("""COMPUTED_VALUE"""),25.0)</f>
        <v>25</v>
      </c>
      <c r="L713" s="131">
        <f>IFERROR(__xludf.DUMMYFUNCTION("""COMPUTED_VALUE"""),84.0)</f>
        <v>84</v>
      </c>
      <c r="M713" s="131">
        <f>IFERROR(__xludf.DUMMYFUNCTION("""COMPUTED_VALUE"""),104.0)</f>
        <v>104</v>
      </c>
      <c r="N713" s="131">
        <f>IFERROR(__xludf.DUMMYFUNCTION("""COMPUTED_VALUE"""),11.0)</f>
        <v>11</v>
      </c>
      <c r="O713" s="131">
        <f>IFERROR(__xludf.DUMMYFUNCTION("""COMPUTED_VALUE"""),11.0)</f>
        <v>11</v>
      </c>
      <c r="P713" s="131">
        <f>IFERROR(__xludf.DUMMYFUNCTION("""COMPUTED_VALUE"""),380.0)</f>
        <v>380</v>
      </c>
      <c r="Q713" s="131" t="str">
        <f>IFERROR(__xludf.DUMMYFUNCTION("""COMPUTED_VALUE"""),"S49,G52")</f>
        <v>S49,G52</v>
      </c>
      <c r="R713" s="131"/>
      <c r="T713" s="131"/>
      <c r="U713" s="131" t="str">
        <f>IFERROR(__xludf.DUMMYFUNCTION("""COMPUTED_VALUE"""),"8")</f>
        <v>8</v>
      </c>
      <c r="V713" s="131"/>
      <c r="W713" s="144">
        <f>IFERROR(__xludf.DUMMYFUNCTION("""COMPUTED_VALUE"""),45831.0)</f>
        <v>45831</v>
      </c>
      <c r="X713" s="144">
        <f>IFERROR(__xludf.DUMMYFUNCTION("""COMPUTED_VALUE"""),45838.0)</f>
        <v>45838</v>
      </c>
      <c r="Y713" s="144">
        <f>IFERROR(__xludf.DUMMYFUNCTION("""COMPUTED_VALUE"""),45859.0)</f>
        <v>45859</v>
      </c>
      <c r="Z713" s="131" t="str">
        <f>IFERROR(__xludf.DUMMYFUNCTION("""COMPUTED_VALUE"""),"D31-3R")</f>
        <v>D31-3R</v>
      </c>
      <c r="AA713" s="131">
        <f>IFERROR(__xludf.DUMMYFUNCTION("""COMPUTED_VALUE"""),107.0)</f>
        <v>107</v>
      </c>
      <c r="AB713" s="131">
        <f>IFERROR(__xludf.DUMMYFUNCTION("""COMPUTED_VALUE"""),123.0)</f>
        <v>123</v>
      </c>
      <c r="AC713" s="131">
        <f>IFERROR(__xludf.DUMMYFUNCTION("""COMPUTED_VALUE"""),9.0)</f>
        <v>9</v>
      </c>
      <c r="AD713" s="131">
        <f>IFERROR(__xludf.DUMMYFUNCTION("""COMPUTED_VALUE"""),9.0)</f>
        <v>9</v>
      </c>
      <c r="AE713" s="131">
        <f>IFERROR(__xludf.DUMMYFUNCTION("""COMPUTED_VALUE"""),130.0)</f>
        <v>130</v>
      </c>
      <c r="AF713" s="131">
        <f>IFERROR(__xludf.DUMMYFUNCTION("""COMPUTED_VALUE"""),140.0)</f>
        <v>140</v>
      </c>
      <c r="AG713" s="131">
        <f>IFERROR(__xludf.DUMMYFUNCTION("""COMPUTED_VALUE"""),6.0)</f>
        <v>6</v>
      </c>
      <c r="AH713" s="131">
        <f>IFERROR(__xludf.DUMMYFUNCTION("""COMPUTED_VALUE"""),6.0)</f>
        <v>6</v>
      </c>
      <c r="AI713" s="131">
        <f>IFERROR(__xludf.DUMMYFUNCTION("""COMPUTED_VALUE"""),380.0)</f>
        <v>380</v>
      </c>
      <c r="AJ713" s="131" t="str">
        <f>IFERROR(__xludf.DUMMYFUNCTION("""COMPUTED_VALUE"""),"S49,G52")</f>
        <v>S49,G52</v>
      </c>
      <c r="AK713" s="131"/>
    </row>
    <row r="714">
      <c r="A714" s="124"/>
      <c r="B714" s="131" t="str">
        <f>IFERROR(__xludf.DUMMYFUNCTION("""COMPUTED_VALUE"""),"8")</f>
        <v>8</v>
      </c>
      <c r="C714" s="131"/>
      <c r="D714" s="144">
        <f>IFERROR(__xludf.DUMMYFUNCTION("""COMPUTED_VALUE"""),45831.0)</f>
        <v>45831</v>
      </c>
      <c r="E714" s="147">
        <f>IFERROR(__xludf.DUMMYFUNCTION("""COMPUTED_VALUE"""),45838.0)</f>
        <v>45838</v>
      </c>
      <c r="F714" s="147">
        <f>IFERROR(__xludf.DUMMYFUNCTION("""COMPUTED_VALUE"""),45859.0)</f>
        <v>45859</v>
      </c>
      <c r="G714" s="131" t="str">
        <f>IFERROR(__xludf.DUMMYFUNCTION("""COMPUTED_VALUE"""),"D31-3R")</f>
        <v>D31-3R</v>
      </c>
      <c r="H714" s="126">
        <f>IFERROR(__xludf.DUMMYFUNCTION("""COMPUTED_VALUE"""),107.0)</f>
        <v>107</v>
      </c>
      <c r="I714" s="126">
        <f>IFERROR(__xludf.DUMMYFUNCTION("""COMPUTED_VALUE"""),123.0)</f>
        <v>123</v>
      </c>
      <c r="J714" s="131">
        <f>IFERROR(__xludf.DUMMYFUNCTION("""COMPUTED_VALUE"""),9.0)</f>
        <v>9</v>
      </c>
      <c r="K714" s="131">
        <f>IFERROR(__xludf.DUMMYFUNCTION("""COMPUTED_VALUE"""),9.0)</f>
        <v>9</v>
      </c>
      <c r="L714" s="131">
        <f>IFERROR(__xludf.DUMMYFUNCTION("""COMPUTED_VALUE"""),130.0)</f>
        <v>130</v>
      </c>
      <c r="M714" s="131">
        <f>IFERROR(__xludf.DUMMYFUNCTION("""COMPUTED_VALUE"""),140.0)</f>
        <v>140</v>
      </c>
      <c r="N714" s="131">
        <f>IFERROR(__xludf.DUMMYFUNCTION("""COMPUTED_VALUE"""),6.0)</f>
        <v>6</v>
      </c>
      <c r="O714" s="131">
        <f>IFERROR(__xludf.DUMMYFUNCTION("""COMPUTED_VALUE"""),6.0)</f>
        <v>6</v>
      </c>
      <c r="P714" s="131">
        <f>IFERROR(__xludf.DUMMYFUNCTION("""COMPUTED_VALUE"""),380.0)</f>
        <v>380</v>
      </c>
      <c r="Q714" s="131" t="str">
        <f>IFERROR(__xludf.DUMMYFUNCTION("""COMPUTED_VALUE"""),"S49,G52")</f>
        <v>S49,G52</v>
      </c>
      <c r="R714" s="131"/>
      <c r="T714" s="131"/>
      <c r="U714" s="131" t="str">
        <f>IFERROR(__xludf.DUMMYFUNCTION("""COMPUTED_VALUE"""),"8")</f>
        <v>8</v>
      </c>
      <c r="V714" s="131"/>
      <c r="W714" s="144">
        <f>IFERROR(__xludf.DUMMYFUNCTION("""COMPUTED_VALUE"""),45832.0)</f>
        <v>45832</v>
      </c>
      <c r="X714" s="144">
        <f>IFERROR(__xludf.DUMMYFUNCTION("""COMPUTED_VALUE"""),45839.0)</f>
        <v>45839</v>
      </c>
      <c r="Y714" s="144">
        <f>IFERROR(__xludf.DUMMYFUNCTION("""COMPUTED_VALUE"""),45860.0)</f>
        <v>45860</v>
      </c>
      <c r="Z714" s="131" t="str">
        <f>IFERROR(__xludf.DUMMYFUNCTION("""COMPUTED_VALUE"""),"D31-3R")</f>
        <v>D31-3R</v>
      </c>
      <c r="AA714" s="131">
        <f>IFERROR(__xludf.DUMMYFUNCTION("""COMPUTED_VALUE"""),303.0)</f>
        <v>303</v>
      </c>
      <c r="AB714" s="131">
        <f>IFERROR(__xludf.DUMMYFUNCTION("""COMPUTED_VALUE"""),303.0)</f>
        <v>303</v>
      </c>
      <c r="AC714" s="131">
        <f>IFERROR(__xludf.DUMMYFUNCTION("""COMPUTED_VALUE"""),1.0)</f>
        <v>1</v>
      </c>
      <c r="AD714" s="131">
        <f>IFERROR(__xludf.DUMMYFUNCTION("""COMPUTED_VALUE"""),1.0)</f>
        <v>1</v>
      </c>
      <c r="AE714" s="131">
        <f>IFERROR(__xludf.DUMMYFUNCTION("""COMPUTED_VALUE"""),142.0)</f>
        <v>142</v>
      </c>
      <c r="AF714" s="131">
        <f>IFERROR(__xludf.DUMMYFUNCTION("""COMPUTED_VALUE"""),264.0)</f>
        <v>264</v>
      </c>
      <c r="AG714" s="131">
        <f>IFERROR(__xludf.DUMMYFUNCTION("""COMPUTED_VALUE"""),62.0)</f>
        <v>62</v>
      </c>
      <c r="AH714" s="131">
        <f>IFERROR(__xludf.DUMMYFUNCTION("""COMPUTED_VALUE"""),62.0)</f>
        <v>62</v>
      </c>
      <c r="AI714" s="131">
        <f>IFERROR(__xludf.DUMMYFUNCTION("""COMPUTED_VALUE"""),381.0)</f>
        <v>381</v>
      </c>
      <c r="AJ714" s="131" t="str">
        <f>IFERROR(__xludf.DUMMYFUNCTION("""COMPUTED_VALUE"""),"S49,G52")</f>
        <v>S49,G52</v>
      </c>
      <c r="AK714" s="131">
        <f>IFERROR(__xludf.DUMMYFUNCTION("""COMPUTED_VALUE"""),23.5)</f>
        <v>23.5</v>
      </c>
    </row>
    <row r="715">
      <c r="A715" s="124"/>
      <c r="B715" s="131" t="str">
        <f>IFERROR(__xludf.DUMMYFUNCTION("""COMPUTED_VALUE"""),"8")</f>
        <v>8</v>
      </c>
      <c r="C715" s="131"/>
      <c r="D715" s="144">
        <f>IFERROR(__xludf.DUMMYFUNCTION("""COMPUTED_VALUE"""),45832.0)</f>
        <v>45832</v>
      </c>
      <c r="E715" s="147">
        <f>IFERROR(__xludf.DUMMYFUNCTION("""COMPUTED_VALUE"""),45839.0)</f>
        <v>45839</v>
      </c>
      <c r="F715" s="147">
        <f>IFERROR(__xludf.DUMMYFUNCTION("""COMPUTED_VALUE"""),45860.0)</f>
        <v>45860</v>
      </c>
      <c r="G715" s="131" t="str">
        <f>IFERROR(__xludf.DUMMYFUNCTION("""COMPUTED_VALUE"""),"D31-3R")</f>
        <v>D31-3R</v>
      </c>
      <c r="H715" s="126">
        <f>IFERROR(__xludf.DUMMYFUNCTION("""COMPUTED_VALUE"""),303.0)</f>
        <v>303</v>
      </c>
      <c r="I715" s="126">
        <f>IFERROR(__xludf.DUMMYFUNCTION("""COMPUTED_VALUE"""),303.0)</f>
        <v>303</v>
      </c>
      <c r="J715" s="131">
        <f>IFERROR(__xludf.DUMMYFUNCTION("""COMPUTED_VALUE"""),1.0)</f>
        <v>1</v>
      </c>
      <c r="K715" s="131">
        <f>IFERROR(__xludf.DUMMYFUNCTION("""COMPUTED_VALUE"""),1.0)</f>
        <v>1</v>
      </c>
      <c r="L715" s="131">
        <f>IFERROR(__xludf.DUMMYFUNCTION("""COMPUTED_VALUE"""),142.0)</f>
        <v>142</v>
      </c>
      <c r="M715" s="131">
        <f>IFERROR(__xludf.DUMMYFUNCTION("""COMPUTED_VALUE"""),264.0)</f>
        <v>264</v>
      </c>
      <c r="N715" s="131">
        <f>IFERROR(__xludf.DUMMYFUNCTION("""COMPUTED_VALUE"""),62.0)</f>
        <v>62</v>
      </c>
      <c r="O715" s="131">
        <f>IFERROR(__xludf.DUMMYFUNCTION("""COMPUTED_VALUE"""),62.0)</f>
        <v>62</v>
      </c>
      <c r="P715" s="131">
        <f>IFERROR(__xludf.DUMMYFUNCTION("""COMPUTED_VALUE"""),381.0)</f>
        <v>381</v>
      </c>
      <c r="Q715" s="131" t="str">
        <f>IFERROR(__xludf.DUMMYFUNCTION("""COMPUTED_VALUE"""),"S49,G52")</f>
        <v>S49,G52</v>
      </c>
      <c r="R715" s="131">
        <f>IFERROR(__xludf.DUMMYFUNCTION("""COMPUTED_VALUE"""),23.5)</f>
        <v>23.5</v>
      </c>
      <c r="T715" s="131"/>
      <c r="U715" s="131" t="str">
        <f>IFERROR(__xludf.DUMMYFUNCTION("""COMPUTED_VALUE"""),"8")</f>
        <v>8</v>
      </c>
      <c r="V715" s="131"/>
      <c r="W715" s="144">
        <f>IFERROR(__xludf.DUMMYFUNCTION("""COMPUTED_VALUE"""),45832.0)</f>
        <v>45832</v>
      </c>
      <c r="X715" s="144">
        <f>IFERROR(__xludf.DUMMYFUNCTION("""COMPUTED_VALUE"""),45839.0)</f>
        <v>45839</v>
      </c>
      <c r="Y715" s="144">
        <f>IFERROR(__xludf.DUMMYFUNCTION("""COMPUTED_VALUE"""),45860.0)</f>
        <v>45860</v>
      </c>
      <c r="Z715" s="131" t="str">
        <f>IFERROR(__xludf.DUMMYFUNCTION("""COMPUTED_VALUE"""),"D31-3R")</f>
        <v>D31-3R</v>
      </c>
      <c r="AA715" s="131"/>
      <c r="AB715" s="131"/>
      <c r="AC715" s="131"/>
      <c r="AD715" s="131"/>
      <c r="AE715" s="131">
        <f>IFERROR(__xludf.DUMMYFUNCTION("""COMPUTED_VALUE"""),274.0)</f>
        <v>274</v>
      </c>
      <c r="AF715" s="131">
        <f>IFERROR(__xludf.DUMMYFUNCTION("""COMPUTED_VALUE"""),302.0)</f>
        <v>302</v>
      </c>
      <c r="AG715" s="131">
        <f>IFERROR(__xludf.DUMMYFUNCTION("""COMPUTED_VALUE"""),15.0)</f>
        <v>15</v>
      </c>
      <c r="AH715" s="131">
        <f>IFERROR(__xludf.DUMMYFUNCTION("""COMPUTED_VALUE"""),15.0)</f>
        <v>15</v>
      </c>
      <c r="AI715" s="131">
        <f>IFERROR(__xludf.DUMMYFUNCTION("""COMPUTED_VALUE"""),381.0)</f>
        <v>381</v>
      </c>
      <c r="AJ715" s="131" t="str">
        <f>IFERROR(__xludf.DUMMYFUNCTION("""COMPUTED_VALUE"""),"S49,G52")</f>
        <v>S49,G52</v>
      </c>
      <c r="AK715" s="131"/>
    </row>
    <row r="716">
      <c r="A716" s="124"/>
      <c r="B716" s="131" t="str">
        <f>IFERROR(__xludf.DUMMYFUNCTION("""COMPUTED_VALUE"""),"8")</f>
        <v>8</v>
      </c>
      <c r="C716" s="131"/>
      <c r="D716" s="144">
        <f>IFERROR(__xludf.DUMMYFUNCTION("""COMPUTED_VALUE"""),45832.0)</f>
        <v>45832</v>
      </c>
      <c r="E716" s="147">
        <f>IFERROR(__xludf.DUMMYFUNCTION("""COMPUTED_VALUE"""),45839.0)</f>
        <v>45839</v>
      </c>
      <c r="F716" s="147">
        <f>IFERROR(__xludf.DUMMYFUNCTION("""COMPUTED_VALUE"""),45860.0)</f>
        <v>45860</v>
      </c>
      <c r="G716" s="131" t="str">
        <f>IFERROR(__xludf.DUMMYFUNCTION("""COMPUTED_VALUE"""),"D31-3R")</f>
        <v>D31-3R</v>
      </c>
      <c r="H716" s="126"/>
      <c r="I716" s="126"/>
      <c r="J716" s="131"/>
      <c r="K716" s="131"/>
      <c r="L716" s="131">
        <f>IFERROR(__xludf.DUMMYFUNCTION("""COMPUTED_VALUE"""),274.0)</f>
        <v>274</v>
      </c>
      <c r="M716" s="131">
        <f>IFERROR(__xludf.DUMMYFUNCTION("""COMPUTED_VALUE"""),302.0)</f>
        <v>302</v>
      </c>
      <c r="N716" s="131">
        <f>IFERROR(__xludf.DUMMYFUNCTION("""COMPUTED_VALUE"""),15.0)</f>
        <v>15</v>
      </c>
      <c r="O716" s="131">
        <f>IFERROR(__xludf.DUMMYFUNCTION("""COMPUTED_VALUE"""),15.0)</f>
        <v>15</v>
      </c>
      <c r="P716" s="131">
        <f>IFERROR(__xludf.DUMMYFUNCTION("""COMPUTED_VALUE"""),381.0)</f>
        <v>381</v>
      </c>
      <c r="Q716" s="131" t="str">
        <f>IFERROR(__xludf.DUMMYFUNCTION("""COMPUTED_VALUE"""),"S49,G52")</f>
        <v>S49,G52</v>
      </c>
      <c r="R716" s="131"/>
      <c r="T716" s="131"/>
      <c r="U716" s="131" t="str">
        <f>IFERROR(__xludf.DUMMYFUNCTION("""COMPUTED_VALUE"""),"8")</f>
        <v>8</v>
      </c>
      <c r="V716" s="131"/>
      <c r="W716" s="144">
        <f>IFERROR(__xludf.DUMMYFUNCTION("""COMPUTED_VALUE"""),45832.0)</f>
        <v>45832</v>
      </c>
      <c r="X716" s="144">
        <f>IFERROR(__xludf.DUMMYFUNCTION("""COMPUTED_VALUE"""),45839.0)</f>
        <v>45839</v>
      </c>
      <c r="Y716" s="144">
        <f>IFERROR(__xludf.DUMMYFUNCTION("""COMPUTED_VALUE"""),45860.0)</f>
        <v>45860</v>
      </c>
      <c r="Z716" s="131" t="str">
        <f>IFERROR(__xludf.DUMMYFUNCTION("""COMPUTED_VALUE"""),"D42-4R")</f>
        <v>D42-4R</v>
      </c>
      <c r="AA716" s="131">
        <f>IFERROR(__xludf.DUMMYFUNCTION("""COMPUTED_VALUE"""),179.0)</f>
        <v>179</v>
      </c>
      <c r="AB716" s="131">
        <f>IFERROR(__xludf.DUMMYFUNCTION("""COMPUTED_VALUE"""),311.0)</f>
        <v>311</v>
      </c>
      <c r="AC716" s="131">
        <f>IFERROR(__xludf.DUMMYFUNCTION("""COMPUTED_VALUE"""),67.0)</f>
        <v>67</v>
      </c>
      <c r="AD716" s="131">
        <f>IFERROR(__xludf.DUMMYFUNCTION("""COMPUTED_VALUE"""),67.0)</f>
        <v>67</v>
      </c>
      <c r="AE716" s="131">
        <f>IFERROR(__xludf.DUMMYFUNCTION("""COMPUTED_VALUE"""),30.0)</f>
        <v>30</v>
      </c>
      <c r="AF716" s="131">
        <f>IFERROR(__xludf.DUMMYFUNCTION("""COMPUTED_VALUE"""),106.0)</f>
        <v>106</v>
      </c>
      <c r="AG716" s="131">
        <f>IFERROR(__xludf.DUMMYFUNCTION("""COMPUTED_VALUE"""),39.0)</f>
        <v>39</v>
      </c>
      <c r="AH716" s="131">
        <f>IFERROR(__xludf.DUMMYFUNCTION("""COMPUTED_VALUE"""),39.0)</f>
        <v>39</v>
      </c>
      <c r="AI716" s="131">
        <f>IFERROR(__xludf.DUMMYFUNCTION("""COMPUTED_VALUE"""),382.0)</f>
        <v>382</v>
      </c>
      <c r="AJ716" s="131" t="str">
        <f>IFERROR(__xludf.DUMMYFUNCTION("""COMPUTED_VALUE"""),"S49,G52")</f>
        <v>S49,G52</v>
      </c>
      <c r="AK716" s="131">
        <f>IFERROR(__xludf.DUMMYFUNCTION("""COMPUTED_VALUE"""),31.8)</f>
        <v>31.8</v>
      </c>
    </row>
    <row r="717">
      <c r="A717" s="124"/>
      <c r="B717" s="131" t="str">
        <f>IFERROR(__xludf.DUMMYFUNCTION("""COMPUTED_VALUE"""),"8")</f>
        <v>8</v>
      </c>
      <c r="C717" s="131"/>
      <c r="D717" s="144">
        <f>IFERROR(__xludf.DUMMYFUNCTION("""COMPUTED_VALUE"""),45832.0)</f>
        <v>45832</v>
      </c>
      <c r="E717" s="147">
        <f>IFERROR(__xludf.DUMMYFUNCTION("""COMPUTED_VALUE"""),45839.0)</f>
        <v>45839</v>
      </c>
      <c r="F717" s="147">
        <f>IFERROR(__xludf.DUMMYFUNCTION("""COMPUTED_VALUE"""),45860.0)</f>
        <v>45860</v>
      </c>
      <c r="G717" s="131" t="str">
        <f>IFERROR(__xludf.DUMMYFUNCTION("""COMPUTED_VALUE"""),"D42-4R")</f>
        <v>D42-4R</v>
      </c>
      <c r="H717" s="126">
        <f>IFERROR(__xludf.DUMMYFUNCTION("""COMPUTED_VALUE"""),179.0)</f>
        <v>179</v>
      </c>
      <c r="I717" s="126">
        <f>IFERROR(__xludf.DUMMYFUNCTION("""COMPUTED_VALUE"""),311.0)</f>
        <v>311</v>
      </c>
      <c r="J717" s="131">
        <f>IFERROR(__xludf.DUMMYFUNCTION("""COMPUTED_VALUE"""),67.0)</f>
        <v>67</v>
      </c>
      <c r="K717" s="131">
        <f>IFERROR(__xludf.DUMMYFUNCTION("""COMPUTED_VALUE"""),67.0)</f>
        <v>67</v>
      </c>
      <c r="L717" s="131">
        <f>IFERROR(__xludf.DUMMYFUNCTION("""COMPUTED_VALUE"""),30.0)</f>
        <v>30</v>
      </c>
      <c r="M717" s="131">
        <f>IFERROR(__xludf.DUMMYFUNCTION("""COMPUTED_VALUE"""),106.0)</f>
        <v>106</v>
      </c>
      <c r="N717" s="131">
        <f>IFERROR(__xludf.DUMMYFUNCTION("""COMPUTED_VALUE"""),39.0)</f>
        <v>39</v>
      </c>
      <c r="O717" s="131">
        <f>IFERROR(__xludf.DUMMYFUNCTION("""COMPUTED_VALUE"""),39.0)</f>
        <v>39</v>
      </c>
      <c r="P717" s="131">
        <f>IFERROR(__xludf.DUMMYFUNCTION("""COMPUTED_VALUE"""),382.0)</f>
        <v>382</v>
      </c>
      <c r="Q717" s="131" t="str">
        <f>IFERROR(__xludf.DUMMYFUNCTION("""COMPUTED_VALUE"""),"S49,G52")</f>
        <v>S49,G52</v>
      </c>
      <c r="R717" s="131">
        <f>IFERROR(__xludf.DUMMYFUNCTION("""COMPUTED_VALUE"""),31.8)</f>
        <v>31.8</v>
      </c>
      <c r="T717" s="131"/>
      <c r="U717" s="131"/>
      <c r="V717" s="131"/>
      <c r="W717" s="144">
        <f>IFERROR(__xludf.DUMMYFUNCTION("""COMPUTED_VALUE"""),45833.0)</f>
        <v>45833</v>
      </c>
      <c r="X717" s="144">
        <f>IFERROR(__xludf.DUMMYFUNCTION("""COMPUTED_VALUE"""),45840.0)</f>
        <v>45840</v>
      </c>
      <c r="Y717" s="144">
        <f>IFERROR(__xludf.DUMMYFUNCTION("""COMPUTED_VALUE"""),45861.0)</f>
        <v>45861</v>
      </c>
      <c r="Z717" s="131" t="str">
        <f>IFERROR(__xludf.DUMMYFUNCTION("""COMPUTED_VALUE"""),"D31-3R")</f>
        <v>D31-3R</v>
      </c>
      <c r="AA717" s="131">
        <f>IFERROR(__xludf.DUMMYFUNCTION("""COMPUTED_VALUE"""),67.0)</f>
        <v>67</v>
      </c>
      <c r="AB717" s="131">
        <f>IFERROR(__xludf.DUMMYFUNCTION("""COMPUTED_VALUE"""),67.0)</f>
        <v>67</v>
      </c>
      <c r="AC717" s="131">
        <f>IFERROR(__xludf.DUMMYFUNCTION("""COMPUTED_VALUE"""),1.0)</f>
        <v>1</v>
      </c>
      <c r="AD717" s="131">
        <f>IFERROR(__xludf.DUMMYFUNCTION("""COMPUTED_VALUE"""),1.0)</f>
        <v>1</v>
      </c>
      <c r="AE717" s="131">
        <f>IFERROR(__xludf.DUMMYFUNCTION("""COMPUTED_VALUE"""),18.0)</f>
        <v>18</v>
      </c>
      <c r="AF717" s="131">
        <f>IFERROR(__xludf.DUMMYFUNCTION("""COMPUTED_VALUE"""),66.0)</f>
        <v>66</v>
      </c>
      <c r="AG717" s="131">
        <f>IFERROR(__xludf.DUMMYFUNCTION("""COMPUTED_VALUE"""),25.0)</f>
        <v>25</v>
      </c>
      <c r="AH717" s="131">
        <f>IFERROR(__xludf.DUMMYFUNCTION("""COMPUTED_VALUE"""),25.0)</f>
        <v>25</v>
      </c>
      <c r="AI717" s="131">
        <f>IFERROR(__xludf.DUMMYFUNCTION("""COMPUTED_VALUE"""),385.0)</f>
        <v>385</v>
      </c>
      <c r="AJ717" s="131" t="str">
        <f>IFERROR(__xludf.DUMMYFUNCTION("""COMPUTED_VALUE"""),"S49,G54")</f>
        <v>S49,G54</v>
      </c>
      <c r="AK717" s="131">
        <f>IFERROR(__xludf.DUMMYFUNCTION("""COMPUTED_VALUE"""),29.0)</f>
        <v>29</v>
      </c>
    </row>
    <row r="718">
      <c r="A718" s="124"/>
      <c r="B718" s="131"/>
      <c r="C718" s="131"/>
      <c r="D718" s="144">
        <f>IFERROR(__xludf.DUMMYFUNCTION("""COMPUTED_VALUE"""),45833.0)</f>
        <v>45833</v>
      </c>
      <c r="E718" s="147">
        <f>IFERROR(__xludf.DUMMYFUNCTION("""COMPUTED_VALUE"""),45840.0)</f>
        <v>45840</v>
      </c>
      <c r="F718" s="147">
        <f>IFERROR(__xludf.DUMMYFUNCTION("""COMPUTED_VALUE"""),45861.0)</f>
        <v>45861</v>
      </c>
      <c r="G718" s="131" t="str">
        <f>IFERROR(__xludf.DUMMYFUNCTION("""COMPUTED_VALUE"""),"D31-3R")</f>
        <v>D31-3R</v>
      </c>
      <c r="H718" s="126">
        <f>IFERROR(__xludf.DUMMYFUNCTION("""COMPUTED_VALUE"""),67.0)</f>
        <v>67</v>
      </c>
      <c r="I718" s="126">
        <f>IFERROR(__xludf.DUMMYFUNCTION("""COMPUTED_VALUE"""),67.0)</f>
        <v>67</v>
      </c>
      <c r="J718" s="131">
        <f>IFERROR(__xludf.DUMMYFUNCTION("""COMPUTED_VALUE"""),1.0)</f>
        <v>1</v>
      </c>
      <c r="K718" s="131">
        <f>IFERROR(__xludf.DUMMYFUNCTION("""COMPUTED_VALUE"""),1.0)</f>
        <v>1</v>
      </c>
      <c r="L718" s="131">
        <f>IFERROR(__xludf.DUMMYFUNCTION("""COMPUTED_VALUE"""),18.0)</f>
        <v>18</v>
      </c>
      <c r="M718" s="131">
        <f>IFERROR(__xludf.DUMMYFUNCTION("""COMPUTED_VALUE"""),66.0)</f>
        <v>66</v>
      </c>
      <c r="N718" s="131">
        <f>IFERROR(__xludf.DUMMYFUNCTION("""COMPUTED_VALUE"""),25.0)</f>
        <v>25</v>
      </c>
      <c r="O718" s="131">
        <f>IFERROR(__xludf.DUMMYFUNCTION("""COMPUTED_VALUE"""),25.0)</f>
        <v>25</v>
      </c>
      <c r="P718" s="131">
        <f>IFERROR(__xludf.DUMMYFUNCTION("""COMPUTED_VALUE"""),385.0)</f>
        <v>385</v>
      </c>
      <c r="Q718" s="131" t="str">
        <f>IFERROR(__xludf.DUMMYFUNCTION("""COMPUTED_VALUE"""),"S49,G54")</f>
        <v>S49,G54</v>
      </c>
      <c r="R718" s="131">
        <f>IFERROR(__xludf.DUMMYFUNCTION("""COMPUTED_VALUE"""),29.0)</f>
        <v>29</v>
      </c>
      <c r="T718" s="131"/>
      <c r="U718" s="131"/>
      <c r="V718" s="131"/>
      <c r="W718" s="144">
        <f>IFERROR(__xludf.DUMMYFUNCTION("""COMPUTED_VALUE"""),45833.0)</f>
        <v>45833</v>
      </c>
      <c r="X718" s="144">
        <f>IFERROR(__xludf.DUMMYFUNCTION("""COMPUTED_VALUE"""),45840.0)</f>
        <v>45840</v>
      </c>
      <c r="Y718" s="144">
        <f>IFERROR(__xludf.DUMMYFUNCTION("""COMPUTED_VALUE"""),45861.0)</f>
        <v>45861</v>
      </c>
      <c r="Z718" s="131" t="str">
        <f>IFERROR(__xludf.DUMMYFUNCTION("""COMPUTED_VALUE"""),"D31-3R")</f>
        <v>D31-3R</v>
      </c>
      <c r="AA718" s="131">
        <f>IFERROR(__xludf.DUMMYFUNCTION("""COMPUTED_VALUE"""),87.0)</f>
        <v>87</v>
      </c>
      <c r="AB718" s="131">
        <f>IFERROR(__xludf.DUMMYFUNCTION("""COMPUTED_VALUE"""),105.0)</f>
        <v>105</v>
      </c>
      <c r="AC718" s="131">
        <f>IFERROR(__xludf.DUMMYFUNCTION("""COMPUTED_VALUE"""),10.0)</f>
        <v>10</v>
      </c>
      <c r="AD718" s="131">
        <f>IFERROR(__xludf.DUMMYFUNCTION("""COMPUTED_VALUE"""),10.0)</f>
        <v>10</v>
      </c>
      <c r="AE718" s="131">
        <f>IFERROR(__xludf.DUMMYFUNCTION("""COMPUTED_VALUE"""),106.0)</f>
        <v>106</v>
      </c>
      <c r="AF718" s="131">
        <f>IFERROR(__xludf.DUMMYFUNCTION("""COMPUTED_VALUE"""),122.0)</f>
        <v>122</v>
      </c>
      <c r="AG718" s="131">
        <f>IFERROR(__xludf.DUMMYFUNCTION("""COMPUTED_VALUE"""),9.0)</f>
        <v>9</v>
      </c>
      <c r="AH718" s="131">
        <f>IFERROR(__xludf.DUMMYFUNCTION("""COMPUTED_VALUE"""),9.0)</f>
        <v>9</v>
      </c>
      <c r="AI718" s="131">
        <f>IFERROR(__xludf.DUMMYFUNCTION("""COMPUTED_VALUE"""),385.0)</f>
        <v>385</v>
      </c>
      <c r="AJ718" s="131" t="str">
        <f>IFERROR(__xludf.DUMMYFUNCTION("""COMPUTED_VALUE"""),"S49,G54")</f>
        <v>S49,G54</v>
      </c>
      <c r="AK718" s="131"/>
    </row>
    <row r="719">
      <c r="A719" s="124"/>
      <c r="B719" s="131"/>
      <c r="C719" s="131"/>
      <c r="D719" s="144">
        <f>IFERROR(__xludf.DUMMYFUNCTION("""COMPUTED_VALUE"""),45833.0)</f>
        <v>45833</v>
      </c>
      <c r="E719" s="147">
        <f>IFERROR(__xludf.DUMMYFUNCTION("""COMPUTED_VALUE"""),45840.0)</f>
        <v>45840</v>
      </c>
      <c r="F719" s="147">
        <f>IFERROR(__xludf.DUMMYFUNCTION("""COMPUTED_VALUE"""),45861.0)</f>
        <v>45861</v>
      </c>
      <c r="G719" s="131" t="str">
        <f>IFERROR(__xludf.DUMMYFUNCTION("""COMPUTED_VALUE"""),"D31-3R")</f>
        <v>D31-3R</v>
      </c>
      <c r="H719" s="126">
        <f>IFERROR(__xludf.DUMMYFUNCTION("""COMPUTED_VALUE"""),87.0)</f>
        <v>87</v>
      </c>
      <c r="I719" s="126">
        <f>IFERROR(__xludf.DUMMYFUNCTION("""COMPUTED_VALUE"""),105.0)</f>
        <v>105</v>
      </c>
      <c r="J719" s="131">
        <f>IFERROR(__xludf.DUMMYFUNCTION("""COMPUTED_VALUE"""),10.0)</f>
        <v>10</v>
      </c>
      <c r="K719" s="131">
        <f>IFERROR(__xludf.DUMMYFUNCTION("""COMPUTED_VALUE"""),10.0)</f>
        <v>10</v>
      </c>
      <c r="L719" s="131">
        <f>IFERROR(__xludf.DUMMYFUNCTION("""COMPUTED_VALUE"""),106.0)</f>
        <v>106</v>
      </c>
      <c r="M719" s="131">
        <f>IFERROR(__xludf.DUMMYFUNCTION("""COMPUTED_VALUE"""),122.0)</f>
        <v>122</v>
      </c>
      <c r="N719" s="131">
        <f>IFERROR(__xludf.DUMMYFUNCTION("""COMPUTED_VALUE"""),9.0)</f>
        <v>9</v>
      </c>
      <c r="O719" s="131">
        <f>IFERROR(__xludf.DUMMYFUNCTION("""COMPUTED_VALUE"""),9.0)</f>
        <v>9</v>
      </c>
      <c r="P719" s="131">
        <f>IFERROR(__xludf.DUMMYFUNCTION("""COMPUTED_VALUE"""),385.0)</f>
        <v>385</v>
      </c>
      <c r="Q719" s="131" t="str">
        <f>IFERROR(__xludf.DUMMYFUNCTION("""COMPUTED_VALUE"""),"S49,G54")</f>
        <v>S49,G54</v>
      </c>
      <c r="R719" s="131"/>
      <c r="T719" s="131"/>
      <c r="U719" s="131"/>
      <c r="V719" s="131"/>
      <c r="W719" s="144">
        <f>IFERROR(__xludf.DUMMYFUNCTION("""COMPUTED_VALUE"""),45833.0)</f>
        <v>45833</v>
      </c>
      <c r="X719" s="144">
        <f>IFERROR(__xludf.DUMMYFUNCTION("""COMPUTED_VALUE"""),45840.0)</f>
        <v>45840</v>
      </c>
      <c r="Y719" s="144">
        <f>IFERROR(__xludf.DUMMYFUNCTION("""COMPUTED_VALUE"""),45861.0)</f>
        <v>45861</v>
      </c>
      <c r="Z719" s="131" t="str">
        <f>IFERROR(__xludf.DUMMYFUNCTION("""COMPUTED_VALUE"""),"D31-3R")</f>
        <v>D31-3R</v>
      </c>
      <c r="AA719" s="131">
        <f>IFERROR(__xludf.DUMMYFUNCTION("""COMPUTED_VALUE"""),131.0)</f>
        <v>131</v>
      </c>
      <c r="AB719" s="131">
        <f>IFERROR(__xludf.DUMMYFUNCTION("""COMPUTED_VALUE"""),231.0)</f>
        <v>231</v>
      </c>
      <c r="AC719" s="131">
        <f>IFERROR(__xludf.DUMMYFUNCTION("""COMPUTED_VALUE"""),51.0)</f>
        <v>51</v>
      </c>
      <c r="AD719" s="131">
        <f>IFERROR(__xludf.DUMMYFUNCTION("""COMPUTED_VALUE"""),51.0)</f>
        <v>51</v>
      </c>
      <c r="AE719" s="131"/>
      <c r="AF719" s="131"/>
      <c r="AG719" s="131"/>
      <c r="AH719" s="131"/>
      <c r="AI719" s="131">
        <f>IFERROR(__xludf.DUMMYFUNCTION("""COMPUTED_VALUE"""),385.0)</f>
        <v>385</v>
      </c>
      <c r="AJ719" s="131" t="str">
        <f>IFERROR(__xludf.DUMMYFUNCTION("""COMPUTED_VALUE"""),"S49,G54")</f>
        <v>S49,G54</v>
      </c>
      <c r="AK719" s="131"/>
    </row>
    <row r="720">
      <c r="A720" s="124"/>
      <c r="B720" s="131"/>
      <c r="C720" s="131"/>
      <c r="D720" s="144">
        <f>IFERROR(__xludf.DUMMYFUNCTION("""COMPUTED_VALUE"""),45833.0)</f>
        <v>45833</v>
      </c>
      <c r="E720" s="147">
        <f>IFERROR(__xludf.DUMMYFUNCTION("""COMPUTED_VALUE"""),45840.0)</f>
        <v>45840</v>
      </c>
      <c r="F720" s="147">
        <f>IFERROR(__xludf.DUMMYFUNCTION("""COMPUTED_VALUE"""),45861.0)</f>
        <v>45861</v>
      </c>
      <c r="G720" s="131" t="str">
        <f>IFERROR(__xludf.DUMMYFUNCTION("""COMPUTED_VALUE"""),"D31-3R")</f>
        <v>D31-3R</v>
      </c>
      <c r="H720" s="126">
        <f>IFERROR(__xludf.DUMMYFUNCTION("""COMPUTED_VALUE"""),131.0)</f>
        <v>131</v>
      </c>
      <c r="I720" s="126">
        <f>IFERROR(__xludf.DUMMYFUNCTION("""COMPUTED_VALUE"""),231.0)</f>
        <v>231</v>
      </c>
      <c r="J720" s="131">
        <f>IFERROR(__xludf.DUMMYFUNCTION("""COMPUTED_VALUE"""),51.0)</f>
        <v>51</v>
      </c>
      <c r="K720" s="131">
        <f>IFERROR(__xludf.DUMMYFUNCTION("""COMPUTED_VALUE"""),51.0)</f>
        <v>51</v>
      </c>
      <c r="L720" s="131"/>
      <c r="M720" s="131"/>
      <c r="N720" s="131"/>
      <c r="O720" s="131"/>
      <c r="P720" s="131">
        <f>IFERROR(__xludf.DUMMYFUNCTION("""COMPUTED_VALUE"""),385.0)</f>
        <v>385</v>
      </c>
      <c r="Q720" s="131" t="str">
        <f>IFERROR(__xludf.DUMMYFUNCTION("""COMPUTED_VALUE"""),"S49,G54")</f>
        <v>S49,G54</v>
      </c>
      <c r="R720" s="131"/>
      <c r="T720" s="131"/>
      <c r="U720" s="131"/>
      <c r="V720" s="131"/>
      <c r="W720" s="144">
        <f>IFERROR(__xludf.DUMMYFUNCTION("""COMPUTED_VALUE"""),45833.0)</f>
        <v>45833</v>
      </c>
      <c r="X720" s="144">
        <f>IFERROR(__xludf.DUMMYFUNCTION("""COMPUTED_VALUE"""),45840.0)</f>
        <v>45840</v>
      </c>
      <c r="Y720" s="144">
        <f>IFERROR(__xludf.DUMMYFUNCTION("""COMPUTED_VALUE"""),45861.0)</f>
        <v>45861</v>
      </c>
      <c r="Z720" s="131" t="str">
        <f>IFERROR(__xludf.DUMMYFUNCTION("""COMPUTED_VALUE"""),"D42-4R")</f>
        <v>D42-4R</v>
      </c>
      <c r="AA720" s="131"/>
      <c r="AB720" s="131"/>
      <c r="AC720" s="131"/>
      <c r="AD720" s="131"/>
      <c r="AE720" s="131">
        <f>IFERROR(__xludf.DUMMYFUNCTION("""COMPUTED_VALUE"""),108.0)</f>
        <v>108</v>
      </c>
      <c r="AF720" s="131">
        <f>IFERROR(__xludf.DUMMYFUNCTION("""COMPUTED_VALUE"""),310.0)</f>
        <v>310</v>
      </c>
      <c r="AG720" s="131">
        <f>IFERROR(__xludf.DUMMYFUNCTION("""COMPUTED_VALUE"""),102.0)</f>
        <v>102</v>
      </c>
      <c r="AH720" s="131">
        <f>IFERROR(__xludf.DUMMYFUNCTION("""COMPUTED_VALUE"""),102.0)</f>
        <v>102</v>
      </c>
      <c r="AI720" s="131">
        <f>IFERROR(__xludf.DUMMYFUNCTION("""COMPUTED_VALUE"""),386.0)</f>
        <v>386</v>
      </c>
      <c r="AJ720" s="131" t="str">
        <f>IFERROR(__xludf.DUMMYFUNCTION("""COMPUTED_VALUE"""),"S49,G54")</f>
        <v>S49,G54</v>
      </c>
      <c r="AK720" s="131">
        <f>IFERROR(__xludf.DUMMYFUNCTION("""COMPUTED_VALUE"""),30.6)</f>
        <v>30.6</v>
      </c>
    </row>
    <row r="721">
      <c r="A721" s="124"/>
      <c r="B721" s="131"/>
      <c r="C721" s="131"/>
      <c r="D721" s="144">
        <f>IFERROR(__xludf.DUMMYFUNCTION("""COMPUTED_VALUE"""),45833.0)</f>
        <v>45833</v>
      </c>
      <c r="E721" s="147">
        <f>IFERROR(__xludf.DUMMYFUNCTION("""COMPUTED_VALUE"""),45840.0)</f>
        <v>45840</v>
      </c>
      <c r="F721" s="147">
        <f>IFERROR(__xludf.DUMMYFUNCTION("""COMPUTED_VALUE"""),45861.0)</f>
        <v>45861</v>
      </c>
      <c r="G721" s="131" t="str">
        <f>IFERROR(__xludf.DUMMYFUNCTION("""COMPUTED_VALUE"""),"D42-4R")</f>
        <v>D42-4R</v>
      </c>
      <c r="H721" s="126"/>
      <c r="I721" s="126"/>
      <c r="J721" s="131"/>
      <c r="K721" s="131"/>
      <c r="L721" s="131">
        <f>IFERROR(__xludf.DUMMYFUNCTION("""COMPUTED_VALUE"""),108.0)</f>
        <v>108</v>
      </c>
      <c r="M721" s="131">
        <f>IFERROR(__xludf.DUMMYFUNCTION("""COMPUTED_VALUE"""),310.0)</f>
        <v>310</v>
      </c>
      <c r="N721" s="131">
        <f>IFERROR(__xludf.DUMMYFUNCTION("""COMPUTED_VALUE"""),102.0)</f>
        <v>102</v>
      </c>
      <c r="O721" s="131">
        <f>IFERROR(__xludf.DUMMYFUNCTION("""COMPUTED_VALUE"""),102.0)</f>
        <v>102</v>
      </c>
      <c r="P721" s="131">
        <f>IFERROR(__xludf.DUMMYFUNCTION("""COMPUTED_VALUE"""),386.0)</f>
        <v>386</v>
      </c>
      <c r="Q721" s="131" t="str">
        <f>IFERROR(__xludf.DUMMYFUNCTION("""COMPUTED_VALUE"""),"S49,G54")</f>
        <v>S49,G54</v>
      </c>
      <c r="R721" s="131">
        <f>IFERROR(__xludf.DUMMYFUNCTION("""COMPUTED_VALUE"""),30.6)</f>
        <v>30.6</v>
      </c>
      <c r="T721" s="131"/>
      <c r="U721" s="131"/>
      <c r="V721" s="131"/>
      <c r="W721" s="144">
        <f>IFERROR(__xludf.DUMMYFUNCTION("""COMPUTED_VALUE"""),45836.0)</f>
        <v>45836</v>
      </c>
      <c r="X721" s="144">
        <f>IFERROR(__xludf.DUMMYFUNCTION("""COMPUTED_VALUE"""),45843.0)</f>
        <v>45843</v>
      </c>
      <c r="Y721" s="144">
        <f>IFERROR(__xludf.DUMMYFUNCTION("""COMPUTED_VALUE"""),45864.0)</f>
        <v>45864</v>
      </c>
      <c r="Z721" s="131" t="str">
        <f>IFERROR(__xludf.DUMMYFUNCTION("""COMPUTED_VALUE"""),"D31-3R")</f>
        <v>D31-3R</v>
      </c>
      <c r="AA721" s="131">
        <f>IFERROR(__xludf.DUMMYFUNCTION("""COMPUTED_VALUE"""),233.0)</f>
        <v>233</v>
      </c>
      <c r="AB721" s="131">
        <f>IFERROR(__xludf.DUMMYFUNCTION("""COMPUTED_VALUE"""),233.0)</f>
        <v>233</v>
      </c>
      <c r="AC721" s="131">
        <f>IFERROR(__xludf.DUMMYFUNCTION("""COMPUTED_VALUE"""),1.0)</f>
        <v>1</v>
      </c>
      <c r="AD721" s="131">
        <f>IFERROR(__xludf.DUMMYFUNCTION("""COMPUTED_VALUE"""),1.0)</f>
        <v>1</v>
      </c>
      <c r="AE721" s="131">
        <f>IFERROR(__xludf.DUMMYFUNCTION("""COMPUTED_VALUE"""),304.0)</f>
        <v>304</v>
      </c>
      <c r="AF721" s="131">
        <f>IFERROR(__xludf.DUMMYFUNCTION("""COMPUTED_VALUE"""),304.0)</f>
        <v>304</v>
      </c>
      <c r="AG721" s="131">
        <f>IFERROR(__xludf.DUMMYFUNCTION("""COMPUTED_VALUE"""),1.0)</f>
        <v>1</v>
      </c>
      <c r="AH721" s="131">
        <f>IFERROR(__xludf.DUMMYFUNCTION("""COMPUTED_VALUE"""),1.0)</f>
        <v>1</v>
      </c>
      <c r="AI721" s="131">
        <f>IFERROR(__xludf.DUMMYFUNCTION("""COMPUTED_VALUE"""),387.0)</f>
        <v>387</v>
      </c>
      <c r="AJ721" s="131" t="str">
        <f>IFERROR(__xludf.DUMMYFUNCTION("""COMPUTED_VALUE"""),"S50,G54")</f>
        <v>S50,G54</v>
      </c>
      <c r="AK721" s="131">
        <f>IFERROR(__xludf.DUMMYFUNCTION("""COMPUTED_VALUE"""),22.65)</f>
        <v>22.65</v>
      </c>
    </row>
    <row r="722">
      <c r="A722" s="124"/>
      <c r="B722" s="131"/>
      <c r="C722" s="131"/>
      <c r="D722" s="144">
        <f>IFERROR(__xludf.DUMMYFUNCTION("""COMPUTED_VALUE"""),45836.0)</f>
        <v>45836</v>
      </c>
      <c r="E722" s="147">
        <f>IFERROR(__xludf.DUMMYFUNCTION("""COMPUTED_VALUE"""),45843.0)</f>
        <v>45843</v>
      </c>
      <c r="F722" s="147">
        <f>IFERROR(__xludf.DUMMYFUNCTION("""COMPUTED_VALUE"""),45864.0)</f>
        <v>45864</v>
      </c>
      <c r="G722" s="131" t="str">
        <f>IFERROR(__xludf.DUMMYFUNCTION("""COMPUTED_VALUE"""),"D31-3R")</f>
        <v>D31-3R</v>
      </c>
      <c r="H722" s="126">
        <f>IFERROR(__xludf.DUMMYFUNCTION("""COMPUTED_VALUE"""),233.0)</f>
        <v>233</v>
      </c>
      <c r="I722" s="126">
        <f>IFERROR(__xludf.DUMMYFUNCTION("""COMPUTED_VALUE"""),233.0)</f>
        <v>233</v>
      </c>
      <c r="J722" s="131">
        <f>IFERROR(__xludf.DUMMYFUNCTION("""COMPUTED_VALUE"""),1.0)</f>
        <v>1</v>
      </c>
      <c r="K722" s="131">
        <f>IFERROR(__xludf.DUMMYFUNCTION("""COMPUTED_VALUE"""),1.0)</f>
        <v>1</v>
      </c>
      <c r="L722" s="131">
        <f>IFERROR(__xludf.DUMMYFUNCTION("""COMPUTED_VALUE"""),304.0)</f>
        <v>304</v>
      </c>
      <c r="M722" s="131">
        <f>IFERROR(__xludf.DUMMYFUNCTION("""COMPUTED_VALUE"""),304.0)</f>
        <v>304</v>
      </c>
      <c r="N722" s="131">
        <f>IFERROR(__xludf.DUMMYFUNCTION("""COMPUTED_VALUE"""),1.0)</f>
        <v>1</v>
      </c>
      <c r="O722" s="131">
        <f>IFERROR(__xludf.DUMMYFUNCTION("""COMPUTED_VALUE"""),1.0)</f>
        <v>1</v>
      </c>
      <c r="P722" s="131">
        <f>IFERROR(__xludf.DUMMYFUNCTION("""COMPUTED_VALUE"""),387.0)</f>
        <v>387</v>
      </c>
      <c r="Q722" s="131" t="str">
        <f>IFERROR(__xludf.DUMMYFUNCTION("""COMPUTED_VALUE"""),"S50,G54")</f>
        <v>S50,G54</v>
      </c>
      <c r="R722" s="131">
        <f>IFERROR(__xludf.DUMMYFUNCTION("""COMPUTED_VALUE"""),22.65)</f>
        <v>22.65</v>
      </c>
      <c r="T722" s="131"/>
      <c r="U722" s="131"/>
      <c r="V722" s="131"/>
      <c r="W722" s="144">
        <f>IFERROR(__xludf.DUMMYFUNCTION("""COMPUTED_VALUE"""),45836.0)</f>
        <v>45836</v>
      </c>
      <c r="X722" s="144">
        <f>IFERROR(__xludf.DUMMYFUNCTION("""COMPUTED_VALUE"""),45843.0)</f>
        <v>45843</v>
      </c>
      <c r="Y722" s="144">
        <f>IFERROR(__xludf.DUMMYFUNCTION("""COMPUTED_VALUE"""),45864.0)</f>
        <v>45864</v>
      </c>
      <c r="Z722" s="131" t="str">
        <f>IFERROR(__xludf.DUMMYFUNCTION("""COMPUTED_VALUE"""),"D31-3R")</f>
        <v>D31-3R</v>
      </c>
      <c r="AA722" s="131">
        <f>IFERROR(__xludf.DUMMYFUNCTION("""COMPUTED_VALUE"""),237.0)</f>
        <v>237</v>
      </c>
      <c r="AB722" s="131">
        <f>IFERROR(__xludf.DUMMYFUNCTION("""COMPUTED_VALUE"""),265.0)</f>
        <v>265</v>
      </c>
      <c r="AC722" s="131">
        <f>IFERROR(__xludf.DUMMYFUNCTION("""COMPUTED_VALUE"""),15.0)</f>
        <v>15</v>
      </c>
      <c r="AD722" s="131">
        <f>IFERROR(__xludf.DUMMYFUNCTION("""COMPUTED_VALUE"""),15.0)</f>
        <v>15</v>
      </c>
      <c r="AE722" s="131"/>
      <c r="AF722" s="131"/>
      <c r="AG722" s="131"/>
      <c r="AH722" s="131"/>
      <c r="AI722" s="131">
        <f>IFERROR(__xludf.DUMMYFUNCTION("""COMPUTED_VALUE"""),387.0)</f>
        <v>387</v>
      </c>
      <c r="AJ722" s="131" t="str">
        <f>IFERROR(__xludf.DUMMYFUNCTION("""COMPUTED_VALUE"""),"S50,G54")</f>
        <v>S50,G54</v>
      </c>
      <c r="AK722" s="131"/>
    </row>
    <row r="723">
      <c r="A723" s="124"/>
      <c r="B723" s="131"/>
      <c r="C723" s="131"/>
      <c r="D723" s="144">
        <f>IFERROR(__xludf.DUMMYFUNCTION("""COMPUTED_VALUE"""),45836.0)</f>
        <v>45836</v>
      </c>
      <c r="E723" s="147">
        <f>IFERROR(__xludf.DUMMYFUNCTION("""COMPUTED_VALUE"""),45843.0)</f>
        <v>45843</v>
      </c>
      <c r="F723" s="147">
        <f>IFERROR(__xludf.DUMMYFUNCTION("""COMPUTED_VALUE"""),45864.0)</f>
        <v>45864</v>
      </c>
      <c r="G723" s="131" t="str">
        <f>IFERROR(__xludf.DUMMYFUNCTION("""COMPUTED_VALUE"""),"D31-3R")</f>
        <v>D31-3R</v>
      </c>
      <c r="H723" s="126">
        <f>IFERROR(__xludf.DUMMYFUNCTION("""COMPUTED_VALUE"""),237.0)</f>
        <v>237</v>
      </c>
      <c r="I723" s="126">
        <f>IFERROR(__xludf.DUMMYFUNCTION("""COMPUTED_VALUE"""),265.0)</f>
        <v>265</v>
      </c>
      <c r="J723" s="131">
        <f>IFERROR(__xludf.DUMMYFUNCTION("""COMPUTED_VALUE"""),15.0)</f>
        <v>15</v>
      </c>
      <c r="K723" s="131">
        <f>IFERROR(__xludf.DUMMYFUNCTION("""COMPUTED_VALUE"""),15.0)</f>
        <v>15</v>
      </c>
      <c r="L723" s="131"/>
      <c r="M723" s="131"/>
      <c r="N723" s="131"/>
      <c r="O723" s="131"/>
      <c r="P723" s="131">
        <f>IFERROR(__xludf.DUMMYFUNCTION("""COMPUTED_VALUE"""),387.0)</f>
        <v>387</v>
      </c>
      <c r="Q723" s="131" t="str">
        <f>IFERROR(__xludf.DUMMYFUNCTION("""COMPUTED_VALUE"""),"S50,G54")</f>
        <v>S50,G54</v>
      </c>
      <c r="R723" s="131"/>
      <c r="T723" s="131"/>
      <c r="U723" s="131"/>
      <c r="V723" s="131"/>
      <c r="W723" s="144">
        <f>IFERROR(__xludf.DUMMYFUNCTION("""COMPUTED_VALUE"""),45836.0)</f>
        <v>45836</v>
      </c>
      <c r="X723" s="144">
        <f>IFERROR(__xludf.DUMMYFUNCTION("""COMPUTED_VALUE"""),45843.0)</f>
        <v>45843</v>
      </c>
      <c r="Y723" s="144">
        <f>IFERROR(__xludf.DUMMYFUNCTION("""COMPUTED_VALUE"""),45864.0)</f>
        <v>45864</v>
      </c>
      <c r="Z723" s="131" t="str">
        <f>IFERROR(__xludf.DUMMYFUNCTION("""COMPUTED_VALUE"""),"D31-3R")</f>
        <v>D31-3R</v>
      </c>
      <c r="AA723" s="131">
        <f>IFERROR(__xludf.DUMMYFUNCTION("""COMPUTED_VALUE"""),277.0)</f>
        <v>277</v>
      </c>
      <c r="AB723" s="131">
        <f>IFERROR(__xludf.DUMMYFUNCTION("""COMPUTED_VALUE"""),299.0)</f>
        <v>299</v>
      </c>
      <c r="AC723" s="131">
        <f>IFERROR(__xludf.DUMMYFUNCTION("""COMPUTED_VALUE"""),12.0)</f>
        <v>12</v>
      </c>
      <c r="AD723" s="131">
        <f>IFERROR(__xludf.DUMMYFUNCTION("""COMPUTED_VALUE"""),12.0)</f>
        <v>12</v>
      </c>
      <c r="AE723" s="131"/>
      <c r="AF723" s="131"/>
      <c r="AG723" s="131"/>
      <c r="AH723" s="131"/>
      <c r="AI723" s="131">
        <f>IFERROR(__xludf.DUMMYFUNCTION("""COMPUTED_VALUE"""),387.0)</f>
        <v>387</v>
      </c>
      <c r="AJ723" s="131" t="str">
        <f>IFERROR(__xludf.DUMMYFUNCTION("""COMPUTED_VALUE"""),"S50,G54")</f>
        <v>S50,G54</v>
      </c>
      <c r="AK723" s="131"/>
    </row>
    <row r="724">
      <c r="A724" s="124"/>
      <c r="B724" s="131"/>
      <c r="C724" s="131"/>
      <c r="D724" s="144">
        <f>IFERROR(__xludf.DUMMYFUNCTION("""COMPUTED_VALUE"""),45836.0)</f>
        <v>45836</v>
      </c>
      <c r="E724" s="147">
        <f>IFERROR(__xludf.DUMMYFUNCTION("""COMPUTED_VALUE"""),45843.0)</f>
        <v>45843</v>
      </c>
      <c r="F724" s="147">
        <f>IFERROR(__xludf.DUMMYFUNCTION("""COMPUTED_VALUE"""),45864.0)</f>
        <v>45864</v>
      </c>
      <c r="G724" s="131" t="str">
        <f>IFERROR(__xludf.DUMMYFUNCTION("""COMPUTED_VALUE"""),"D31-3R")</f>
        <v>D31-3R</v>
      </c>
      <c r="H724" s="126">
        <f>IFERROR(__xludf.DUMMYFUNCTION("""COMPUTED_VALUE"""),277.0)</f>
        <v>277</v>
      </c>
      <c r="I724" s="126">
        <f>IFERROR(__xludf.DUMMYFUNCTION("""COMPUTED_VALUE"""),299.0)</f>
        <v>299</v>
      </c>
      <c r="J724" s="131">
        <f>IFERROR(__xludf.DUMMYFUNCTION("""COMPUTED_VALUE"""),12.0)</f>
        <v>12</v>
      </c>
      <c r="K724" s="131">
        <f>IFERROR(__xludf.DUMMYFUNCTION("""COMPUTED_VALUE"""),12.0)</f>
        <v>12</v>
      </c>
      <c r="L724" s="131"/>
      <c r="M724" s="131"/>
      <c r="N724" s="131"/>
      <c r="O724" s="131"/>
      <c r="P724" s="131">
        <f>IFERROR(__xludf.DUMMYFUNCTION("""COMPUTED_VALUE"""),387.0)</f>
        <v>387</v>
      </c>
      <c r="Q724" s="131" t="str">
        <f>IFERROR(__xludf.DUMMYFUNCTION("""COMPUTED_VALUE"""),"S50,G54")</f>
        <v>S50,G54</v>
      </c>
      <c r="R724" s="131"/>
      <c r="T724" s="131"/>
      <c r="U724" s="131"/>
      <c r="V724" s="131"/>
      <c r="W724" s="144">
        <f>IFERROR(__xludf.DUMMYFUNCTION("""COMPUTED_VALUE"""),45836.0)</f>
        <v>45836</v>
      </c>
      <c r="X724" s="144">
        <f>IFERROR(__xludf.DUMMYFUNCTION("""COMPUTED_VALUE"""),45843.0)</f>
        <v>45843</v>
      </c>
      <c r="Y724" s="144">
        <f>IFERROR(__xludf.DUMMYFUNCTION("""COMPUTED_VALUE"""),45864.0)</f>
        <v>45864</v>
      </c>
      <c r="Z724" s="131" t="str">
        <f>IFERROR(__xludf.DUMMYFUNCTION("""COMPUTED_VALUE"""),"D31-4R")</f>
        <v>D31-4R</v>
      </c>
      <c r="AA724" s="131"/>
      <c r="AB724" s="131"/>
      <c r="AC724" s="131"/>
      <c r="AD724" s="131"/>
      <c r="AE724" s="131">
        <f>IFERROR(__xludf.DUMMYFUNCTION("""COMPUTED_VALUE"""),2.0)</f>
        <v>2</v>
      </c>
      <c r="AF724" s="131">
        <f>IFERROR(__xludf.DUMMYFUNCTION("""COMPUTED_VALUE"""),30.0)</f>
        <v>30</v>
      </c>
      <c r="AG724" s="131">
        <f>IFERROR(__xludf.DUMMYFUNCTION("""COMPUTED_VALUE"""),15.0)</f>
        <v>15</v>
      </c>
      <c r="AH724" s="131">
        <f>IFERROR(__xludf.DUMMYFUNCTION("""COMPUTED_VALUE"""),15.0)</f>
        <v>15</v>
      </c>
      <c r="AI724" s="131">
        <f>IFERROR(__xludf.DUMMYFUNCTION("""COMPUTED_VALUE"""),387.0)</f>
        <v>387</v>
      </c>
      <c r="AJ724" s="131" t="str">
        <f>IFERROR(__xludf.DUMMYFUNCTION("""COMPUTED_VALUE"""),"S50,G54")</f>
        <v>S50,G54</v>
      </c>
      <c r="AK724" s="131"/>
    </row>
    <row r="725">
      <c r="A725" s="124"/>
      <c r="B725" s="131"/>
      <c r="C725" s="131"/>
      <c r="D725" s="144">
        <f>IFERROR(__xludf.DUMMYFUNCTION("""COMPUTED_VALUE"""),45836.0)</f>
        <v>45836</v>
      </c>
      <c r="E725" s="147">
        <f>IFERROR(__xludf.DUMMYFUNCTION("""COMPUTED_VALUE"""),45843.0)</f>
        <v>45843</v>
      </c>
      <c r="F725" s="147">
        <f>IFERROR(__xludf.DUMMYFUNCTION("""COMPUTED_VALUE"""),45864.0)</f>
        <v>45864</v>
      </c>
      <c r="G725" s="131" t="str">
        <f>IFERROR(__xludf.DUMMYFUNCTION("""COMPUTED_VALUE"""),"D31-4R")</f>
        <v>D31-4R</v>
      </c>
      <c r="H725" s="126"/>
      <c r="I725" s="126"/>
      <c r="J725" s="131"/>
      <c r="K725" s="131"/>
      <c r="L725" s="131">
        <f>IFERROR(__xludf.DUMMYFUNCTION("""COMPUTED_VALUE"""),2.0)</f>
        <v>2</v>
      </c>
      <c r="M725" s="131">
        <f>IFERROR(__xludf.DUMMYFUNCTION("""COMPUTED_VALUE"""),30.0)</f>
        <v>30</v>
      </c>
      <c r="N725" s="131">
        <f>IFERROR(__xludf.DUMMYFUNCTION("""COMPUTED_VALUE"""),15.0)</f>
        <v>15</v>
      </c>
      <c r="O725" s="131">
        <f>IFERROR(__xludf.DUMMYFUNCTION("""COMPUTED_VALUE"""),15.0)</f>
        <v>15</v>
      </c>
      <c r="P725" s="131">
        <f>IFERROR(__xludf.DUMMYFUNCTION("""COMPUTED_VALUE"""),387.0)</f>
        <v>387</v>
      </c>
      <c r="Q725" s="131" t="str">
        <f>IFERROR(__xludf.DUMMYFUNCTION("""COMPUTED_VALUE"""),"S50,G54")</f>
        <v>S50,G54</v>
      </c>
      <c r="R725" s="131"/>
      <c r="T725" s="131"/>
      <c r="U725" s="131"/>
      <c r="V725" s="131"/>
      <c r="W725" s="144">
        <f>IFERROR(__xludf.DUMMYFUNCTION("""COMPUTED_VALUE"""),45836.0)</f>
        <v>45836</v>
      </c>
      <c r="X725" s="144">
        <f>IFERROR(__xludf.DUMMYFUNCTION("""COMPUTED_VALUE"""),45843.0)</f>
        <v>45843</v>
      </c>
      <c r="Y725" s="144">
        <f>IFERROR(__xludf.DUMMYFUNCTION("""COMPUTED_VALUE"""),45864.0)</f>
        <v>45864</v>
      </c>
      <c r="Z725" s="131" t="str">
        <f>IFERROR(__xludf.DUMMYFUNCTION("""COMPUTED_VALUE"""),"D31-4R")</f>
        <v>D31-4R</v>
      </c>
      <c r="AA725" s="131"/>
      <c r="AB725" s="131"/>
      <c r="AC725" s="131"/>
      <c r="AD725" s="131"/>
      <c r="AE725" s="131">
        <f>IFERROR(__xludf.DUMMYFUNCTION("""COMPUTED_VALUE"""),44.0)</f>
        <v>44</v>
      </c>
      <c r="AF725" s="131">
        <f>IFERROR(__xludf.DUMMYFUNCTION("""COMPUTED_VALUE"""),64.0)</f>
        <v>64</v>
      </c>
      <c r="AG725" s="131">
        <f>IFERROR(__xludf.DUMMYFUNCTION("""COMPUTED_VALUE"""),11.0)</f>
        <v>11</v>
      </c>
      <c r="AH725" s="131">
        <f>IFERROR(__xludf.DUMMYFUNCTION("""COMPUTED_VALUE"""),11.0)</f>
        <v>11</v>
      </c>
      <c r="AI725" s="131">
        <f>IFERROR(__xludf.DUMMYFUNCTION("""COMPUTED_VALUE"""),387.0)</f>
        <v>387</v>
      </c>
      <c r="AJ725" s="131" t="str">
        <f>IFERROR(__xludf.DUMMYFUNCTION("""COMPUTED_VALUE"""),"S50,G54")</f>
        <v>S50,G54</v>
      </c>
      <c r="AK725" s="131"/>
    </row>
    <row r="726">
      <c r="A726" s="124"/>
      <c r="B726" s="131"/>
      <c r="C726" s="131"/>
      <c r="D726" s="144">
        <f>IFERROR(__xludf.DUMMYFUNCTION("""COMPUTED_VALUE"""),45836.0)</f>
        <v>45836</v>
      </c>
      <c r="E726" s="147">
        <f>IFERROR(__xludf.DUMMYFUNCTION("""COMPUTED_VALUE"""),45843.0)</f>
        <v>45843</v>
      </c>
      <c r="F726" s="147">
        <f>IFERROR(__xludf.DUMMYFUNCTION("""COMPUTED_VALUE"""),45864.0)</f>
        <v>45864</v>
      </c>
      <c r="G726" s="131" t="str">
        <f>IFERROR(__xludf.DUMMYFUNCTION("""COMPUTED_VALUE"""),"D31-4R")</f>
        <v>D31-4R</v>
      </c>
      <c r="H726" s="126"/>
      <c r="I726" s="126"/>
      <c r="J726" s="131"/>
      <c r="K726" s="131"/>
      <c r="L726" s="131">
        <f>IFERROR(__xludf.DUMMYFUNCTION("""COMPUTED_VALUE"""),44.0)</f>
        <v>44</v>
      </c>
      <c r="M726" s="131">
        <f>IFERROR(__xludf.DUMMYFUNCTION("""COMPUTED_VALUE"""),64.0)</f>
        <v>64</v>
      </c>
      <c r="N726" s="131">
        <f>IFERROR(__xludf.DUMMYFUNCTION("""COMPUTED_VALUE"""),11.0)</f>
        <v>11</v>
      </c>
      <c r="O726" s="131">
        <f>IFERROR(__xludf.DUMMYFUNCTION("""COMPUTED_VALUE"""),11.0)</f>
        <v>11</v>
      </c>
      <c r="P726" s="131">
        <f>IFERROR(__xludf.DUMMYFUNCTION("""COMPUTED_VALUE"""),387.0)</f>
        <v>387</v>
      </c>
      <c r="Q726" s="131" t="str">
        <f>IFERROR(__xludf.DUMMYFUNCTION("""COMPUTED_VALUE"""),"S50,G54")</f>
        <v>S50,G54</v>
      </c>
      <c r="R726" s="131"/>
      <c r="T726" s="131"/>
      <c r="U726" s="131"/>
      <c r="V726" s="131"/>
      <c r="W726" s="144">
        <f>IFERROR(__xludf.DUMMYFUNCTION("""COMPUTED_VALUE"""),45836.0)</f>
        <v>45836</v>
      </c>
      <c r="X726" s="144">
        <f>IFERROR(__xludf.DUMMYFUNCTION("""COMPUTED_VALUE"""),45843.0)</f>
        <v>45843</v>
      </c>
      <c r="Y726" s="144">
        <f>IFERROR(__xludf.DUMMYFUNCTION("""COMPUTED_VALUE"""),45864.0)</f>
        <v>45864</v>
      </c>
      <c r="Z726" s="131" t="str">
        <f>IFERROR(__xludf.DUMMYFUNCTION("""COMPUTED_VALUE"""),"D31-4R")</f>
        <v>D31-4R</v>
      </c>
      <c r="AA726" s="131"/>
      <c r="AB726" s="131"/>
      <c r="AC726" s="131"/>
      <c r="AD726" s="131"/>
      <c r="AE726" s="131">
        <f>IFERROR(__xludf.DUMMYFUNCTION("""COMPUTED_VALUE"""),82.0)</f>
        <v>82</v>
      </c>
      <c r="AF726" s="131">
        <f>IFERROR(__xludf.DUMMYFUNCTION("""COMPUTED_VALUE"""),120.0)</f>
        <v>120</v>
      </c>
      <c r="AG726" s="131">
        <f>IFERROR(__xludf.DUMMYFUNCTION("""COMPUTED_VALUE"""),20.0)</f>
        <v>20</v>
      </c>
      <c r="AH726" s="131">
        <f>IFERROR(__xludf.DUMMYFUNCTION("""COMPUTED_VALUE"""),20.0)</f>
        <v>20</v>
      </c>
      <c r="AI726" s="131">
        <f>IFERROR(__xludf.DUMMYFUNCTION("""COMPUTED_VALUE"""),387.0)</f>
        <v>387</v>
      </c>
      <c r="AJ726" s="131" t="str">
        <f>IFERROR(__xludf.DUMMYFUNCTION("""COMPUTED_VALUE"""),"S50,G54")</f>
        <v>S50,G54</v>
      </c>
      <c r="AK726" s="131"/>
    </row>
    <row r="727">
      <c r="A727" s="124"/>
      <c r="B727" s="131"/>
      <c r="C727" s="131"/>
      <c r="D727" s="144">
        <f>IFERROR(__xludf.DUMMYFUNCTION("""COMPUTED_VALUE"""),45836.0)</f>
        <v>45836</v>
      </c>
      <c r="E727" s="147">
        <f>IFERROR(__xludf.DUMMYFUNCTION("""COMPUTED_VALUE"""),45843.0)</f>
        <v>45843</v>
      </c>
      <c r="F727" s="147">
        <f>IFERROR(__xludf.DUMMYFUNCTION("""COMPUTED_VALUE"""),45864.0)</f>
        <v>45864</v>
      </c>
      <c r="G727" s="131" t="str">
        <f>IFERROR(__xludf.DUMMYFUNCTION("""COMPUTED_VALUE"""),"D31-4R")</f>
        <v>D31-4R</v>
      </c>
      <c r="H727" s="126"/>
      <c r="I727" s="126"/>
      <c r="J727" s="131"/>
      <c r="K727" s="131"/>
      <c r="L727" s="131">
        <f>IFERROR(__xludf.DUMMYFUNCTION("""COMPUTED_VALUE"""),82.0)</f>
        <v>82</v>
      </c>
      <c r="M727" s="131">
        <f>IFERROR(__xludf.DUMMYFUNCTION("""COMPUTED_VALUE"""),120.0)</f>
        <v>120</v>
      </c>
      <c r="N727" s="131">
        <f>IFERROR(__xludf.DUMMYFUNCTION("""COMPUTED_VALUE"""),20.0)</f>
        <v>20</v>
      </c>
      <c r="O727" s="131">
        <f>IFERROR(__xludf.DUMMYFUNCTION("""COMPUTED_VALUE"""),20.0)</f>
        <v>20</v>
      </c>
      <c r="P727" s="131">
        <f>IFERROR(__xludf.DUMMYFUNCTION("""COMPUTED_VALUE"""),387.0)</f>
        <v>387</v>
      </c>
      <c r="Q727" s="131" t="str">
        <f>IFERROR(__xludf.DUMMYFUNCTION("""COMPUTED_VALUE"""),"S50,G54")</f>
        <v>S50,G54</v>
      </c>
      <c r="R727" s="131"/>
      <c r="T727" s="131"/>
      <c r="U727" s="131"/>
      <c r="V727" s="131"/>
      <c r="W727" s="144">
        <f>IFERROR(__xludf.DUMMYFUNCTION("""COMPUTED_VALUE"""),45837.0)</f>
        <v>45837</v>
      </c>
      <c r="X727" s="144">
        <f>IFERROR(__xludf.DUMMYFUNCTION("""COMPUTED_VALUE"""),45844.0)</f>
        <v>45844</v>
      </c>
      <c r="Y727" s="144">
        <f>IFERROR(__xludf.DUMMYFUNCTION("""COMPUTED_VALUE"""),45865.0)</f>
        <v>45865</v>
      </c>
      <c r="Z727" s="131" t="str">
        <f>IFERROR(__xludf.DUMMYFUNCTION("""COMPUTED_VALUE"""),"D31-4R")</f>
        <v>D31-4R</v>
      </c>
      <c r="AA727" s="131"/>
      <c r="AB727" s="131"/>
      <c r="AC727" s="131"/>
      <c r="AD727" s="131"/>
      <c r="AE727" s="131">
        <f>IFERROR(__xludf.DUMMYFUNCTION("""COMPUTED_VALUE"""),122.0)</f>
        <v>122</v>
      </c>
      <c r="AF727" s="131">
        <f>IFERROR(__xludf.DUMMYFUNCTION("""COMPUTED_VALUE"""),204.0)</f>
        <v>204</v>
      </c>
      <c r="AG727" s="131">
        <f>IFERROR(__xludf.DUMMYFUNCTION("""COMPUTED_VALUE"""),42.0)</f>
        <v>42</v>
      </c>
      <c r="AH727" s="131">
        <f>IFERROR(__xludf.DUMMYFUNCTION("""COMPUTED_VALUE"""),42.0)</f>
        <v>42</v>
      </c>
      <c r="AI727" s="131">
        <f>IFERROR(__xludf.DUMMYFUNCTION("""COMPUTED_VALUE"""),389.0)</f>
        <v>389</v>
      </c>
      <c r="AJ727" s="131" t="str">
        <f>IFERROR(__xludf.DUMMYFUNCTION("""COMPUTED_VALUE"""),"S50,G54")</f>
        <v>S50,G54</v>
      </c>
      <c r="AK727" s="131">
        <f>IFERROR(__xludf.DUMMYFUNCTION("""COMPUTED_VALUE"""),26.0)</f>
        <v>26</v>
      </c>
    </row>
    <row r="728">
      <c r="A728" s="124"/>
      <c r="B728" s="131"/>
      <c r="C728" s="131"/>
      <c r="D728" s="144">
        <f>IFERROR(__xludf.DUMMYFUNCTION("""COMPUTED_VALUE"""),45837.0)</f>
        <v>45837</v>
      </c>
      <c r="E728" s="147">
        <f>IFERROR(__xludf.DUMMYFUNCTION("""COMPUTED_VALUE"""),45844.0)</f>
        <v>45844</v>
      </c>
      <c r="F728" s="147">
        <f>IFERROR(__xludf.DUMMYFUNCTION("""COMPUTED_VALUE"""),45865.0)</f>
        <v>45865</v>
      </c>
      <c r="G728" s="131" t="str">
        <f>IFERROR(__xludf.DUMMYFUNCTION("""COMPUTED_VALUE"""),"D31-4R")</f>
        <v>D31-4R</v>
      </c>
      <c r="H728" s="126"/>
      <c r="I728" s="126"/>
      <c r="J728" s="131"/>
      <c r="K728" s="131"/>
      <c r="L728" s="131">
        <f>IFERROR(__xludf.DUMMYFUNCTION("""COMPUTED_VALUE"""),122.0)</f>
        <v>122</v>
      </c>
      <c r="M728" s="131">
        <f>IFERROR(__xludf.DUMMYFUNCTION("""COMPUTED_VALUE"""),204.0)</f>
        <v>204</v>
      </c>
      <c r="N728" s="131">
        <f>IFERROR(__xludf.DUMMYFUNCTION("""COMPUTED_VALUE"""),42.0)</f>
        <v>42</v>
      </c>
      <c r="O728" s="131">
        <f>IFERROR(__xludf.DUMMYFUNCTION("""COMPUTED_VALUE"""),42.0)</f>
        <v>42</v>
      </c>
      <c r="P728" s="131">
        <f>IFERROR(__xludf.DUMMYFUNCTION("""COMPUTED_VALUE"""),389.0)</f>
        <v>389</v>
      </c>
      <c r="Q728" s="131" t="str">
        <f>IFERROR(__xludf.DUMMYFUNCTION("""COMPUTED_VALUE"""),"S50,G54")</f>
        <v>S50,G54</v>
      </c>
      <c r="R728" s="131">
        <f>IFERROR(__xludf.DUMMYFUNCTION("""COMPUTED_VALUE"""),26.0)</f>
        <v>26</v>
      </c>
      <c r="T728" s="131"/>
      <c r="U728" s="131"/>
      <c r="V728" s="131"/>
      <c r="W728" s="144">
        <f>IFERROR(__xludf.DUMMYFUNCTION("""COMPUTED_VALUE"""),45837.0)</f>
        <v>45837</v>
      </c>
      <c r="X728" s="144">
        <f>IFERROR(__xludf.DUMMYFUNCTION("""COMPUTED_VALUE"""),45844.0)</f>
        <v>45844</v>
      </c>
      <c r="Y728" s="144">
        <f>IFERROR(__xludf.DUMMYFUNCTION("""COMPUTED_VALUE"""),45865.0)</f>
        <v>45865</v>
      </c>
      <c r="Z728" s="131" t="str">
        <f>IFERROR(__xludf.DUMMYFUNCTION("""COMPUTED_VALUE"""),"D31-4R")</f>
        <v>D31-4R</v>
      </c>
      <c r="AA728" s="131"/>
      <c r="AB728" s="131"/>
      <c r="AC728" s="131"/>
      <c r="AD728" s="131"/>
      <c r="AE728" s="131">
        <f>IFERROR(__xludf.DUMMYFUNCTION("""COMPUTED_VALUE"""),210.0)</f>
        <v>210</v>
      </c>
      <c r="AF728" s="131">
        <f>IFERROR(__xludf.DUMMYFUNCTION("""COMPUTED_VALUE"""),296.0)</f>
        <v>296</v>
      </c>
      <c r="AG728" s="131">
        <f>IFERROR(__xludf.DUMMYFUNCTION("""COMPUTED_VALUE"""),44.0)</f>
        <v>44</v>
      </c>
      <c r="AH728" s="131">
        <f>IFERROR(__xludf.DUMMYFUNCTION("""COMPUTED_VALUE"""),44.0)</f>
        <v>44</v>
      </c>
      <c r="AI728" s="131">
        <f>IFERROR(__xludf.DUMMYFUNCTION("""COMPUTED_VALUE"""),389.0)</f>
        <v>389</v>
      </c>
      <c r="AJ728" s="131" t="str">
        <f>IFERROR(__xludf.DUMMYFUNCTION("""COMPUTED_VALUE"""),"S50,G54")</f>
        <v>S50,G54</v>
      </c>
      <c r="AK728" s="131"/>
    </row>
    <row r="729">
      <c r="A729" s="124"/>
      <c r="B729" s="131"/>
      <c r="C729" s="131"/>
      <c r="D729" s="144">
        <f>IFERROR(__xludf.DUMMYFUNCTION("""COMPUTED_VALUE"""),45837.0)</f>
        <v>45837</v>
      </c>
      <c r="E729" s="147">
        <f>IFERROR(__xludf.DUMMYFUNCTION("""COMPUTED_VALUE"""),45844.0)</f>
        <v>45844</v>
      </c>
      <c r="F729" s="147">
        <f>IFERROR(__xludf.DUMMYFUNCTION("""COMPUTED_VALUE"""),45865.0)</f>
        <v>45865</v>
      </c>
      <c r="G729" s="131" t="str">
        <f>IFERROR(__xludf.DUMMYFUNCTION("""COMPUTED_VALUE"""),"D31-4R")</f>
        <v>D31-4R</v>
      </c>
      <c r="H729" s="126"/>
      <c r="I729" s="126"/>
      <c r="J729" s="131"/>
      <c r="K729" s="131"/>
      <c r="L729" s="131">
        <f>IFERROR(__xludf.DUMMYFUNCTION("""COMPUTED_VALUE"""),210.0)</f>
        <v>210</v>
      </c>
      <c r="M729" s="131">
        <f>IFERROR(__xludf.DUMMYFUNCTION("""COMPUTED_VALUE"""),296.0)</f>
        <v>296</v>
      </c>
      <c r="N729" s="131">
        <f>IFERROR(__xludf.DUMMYFUNCTION("""COMPUTED_VALUE"""),44.0)</f>
        <v>44</v>
      </c>
      <c r="O729" s="131">
        <f>IFERROR(__xludf.DUMMYFUNCTION("""COMPUTED_VALUE"""),44.0)</f>
        <v>44</v>
      </c>
      <c r="P729" s="131">
        <f>IFERROR(__xludf.DUMMYFUNCTION("""COMPUTED_VALUE"""),389.0)</f>
        <v>389</v>
      </c>
      <c r="Q729" s="131" t="str">
        <f>IFERROR(__xludf.DUMMYFUNCTION("""COMPUTED_VALUE"""),"S50,G54")</f>
        <v>S50,G54</v>
      </c>
      <c r="R729" s="131"/>
      <c r="T729" s="131"/>
      <c r="U729" s="131"/>
      <c r="V729" s="131"/>
      <c r="W729" s="144">
        <f>IFERROR(__xludf.DUMMYFUNCTION("""COMPUTED_VALUE"""),45838.0)</f>
        <v>45838</v>
      </c>
      <c r="X729" s="144">
        <f>IFERROR(__xludf.DUMMYFUNCTION("""COMPUTED_VALUE"""),45845.0)</f>
        <v>45845</v>
      </c>
      <c r="Y729" s="144">
        <f>IFERROR(__xludf.DUMMYFUNCTION("""COMPUTED_VALUE"""),45866.0)</f>
        <v>45866</v>
      </c>
      <c r="Z729" s="131" t="str">
        <f>IFERROR(__xludf.DUMMYFUNCTION("""COMPUTED_VALUE"""),"D31-4R")</f>
        <v>D31-4R</v>
      </c>
      <c r="AA729" s="131">
        <f>IFERROR(__xludf.DUMMYFUNCTION("""COMPUTED_VALUE"""),1.0)</f>
        <v>1</v>
      </c>
      <c r="AB729" s="131">
        <f>IFERROR(__xludf.DUMMYFUNCTION("""COMPUTED_VALUE"""),1.0)</f>
        <v>1</v>
      </c>
      <c r="AC729" s="131">
        <f>IFERROR(__xludf.DUMMYFUNCTION("""COMPUTED_VALUE"""),1.0)</f>
        <v>1</v>
      </c>
      <c r="AD729" s="131">
        <f>IFERROR(__xludf.DUMMYFUNCTION("""COMPUTED_VALUE"""),1.0)</f>
        <v>1</v>
      </c>
      <c r="AE729" s="131"/>
      <c r="AF729" s="131"/>
      <c r="AG729" s="131"/>
      <c r="AH729" s="131"/>
      <c r="AI729" s="131">
        <f>IFERROR(__xludf.DUMMYFUNCTION("""COMPUTED_VALUE"""),390.0)</f>
        <v>390</v>
      </c>
      <c r="AJ729" s="131" t="str">
        <f>IFERROR(__xludf.DUMMYFUNCTION("""COMPUTED_VALUE"""),"S50,G54")</f>
        <v>S50,G54</v>
      </c>
      <c r="AK729" s="131">
        <f>IFERROR(__xludf.DUMMYFUNCTION("""COMPUTED_VALUE"""),19.5)</f>
        <v>19.5</v>
      </c>
    </row>
    <row r="730">
      <c r="A730" s="124"/>
      <c r="B730" s="131"/>
      <c r="C730" s="131"/>
      <c r="D730" s="144">
        <f>IFERROR(__xludf.DUMMYFUNCTION("""COMPUTED_VALUE"""),45838.0)</f>
        <v>45838</v>
      </c>
      <c r="E730" s="147">
        <f>IFERROR(__xludf.DUMMYFUNCTION("""COMPUTED_VALUE"""),45845.0)</f>
        <v>45845</v>
      </c>
      <c r="F730" s="147">
        <f>IFERROR(__xludf.DUMMYFUNCTION("""COMPUTED_VALUE"""),45866.0)</f>
        <v>45866</v>
      </c>
      <c r="G730" s="131" t="str">
        <f>IFERROR(__xludf.DUMMYFUNCTION("""COMPUTED_VALUE"""),"D31-4R")</f>
        <v>D31-4R</v>
      </c>
      <c r="H730" s="126">
        <f>IFERROR(__xludf.DUMMYFUNCTION("""COMPUTED_VALUE"""),1.0)</f>
        <v>1</v>
      </c>
      <c r="I730" s="126">
        <f>IFERROR(__xludf.DUMMYFUNCTION("""COMPUTED_VALUE"""),1.0)</f>
        <v>1</v>
      </c>
      <c r="J730" s="131">
        <f>IFERROR(__xludf.DUMMYFUNCTION("""COMPUTED_VALUE"""),1.0)</f>
        <v>1</v>
      </c>
      <c r="K730" s="131">
        <f>IFERROR(__xludf.DUMMYFUNCTION("""COMPUTED_VALUE"""),1.0)</f>
        <v>1</v>
      </c>
      <c r="L730" s="131"/>
      <c r="M730" s="131"/>
      <c r="N730" s="131"/>
      <c r="O730" s="131"/>
      <c r="P730" s="131">
        <f>IFERROR(__xludf.DUMMYFUNCTION("""COMPUTED_VALUE"""),390.0)</f>
        <v>390</v>
      </c>
      <c r="Q730" s="131" t="str">
        <f>IFERROR(__xludf.DUMMYFUNCTION("""COMPUTED_VALUE"""),"S50,G54")</f>
        <v>S50,G54</v>
      </c>
      <c r="R730" s="131">
        <f>IFERROR(__xludf.DUMMYFUNCTION("""COMPUTED_VALUE"""),19.5)</f>
        <v>19.5</v>
      </c>
      <c r="T730" s="131"/>
      <c r="U730" s="131"/>
      <c r="V730" s="131"/>
      <c r="W730" s="144">
        <f>IFERROR(__xludf.DUMMYFUNCTION("""COMPUTED_VALUE"""),45838.0)</f>
        <v>45838</v>
      </c>
      <c r="X730" s="144">
        <f>IFERROR(__xludf.DUMMYFUNCTION("""COMPUTED_VALUE"""),45845.0)</f>
        <v>45845</v>
      </c>
      <c r="Y730" s="144">
        <f>IFERROR(__xludf.DUMMYFUNCTION("""COMPUTED_VALUE"""),45866.0)</f>
        <v>45866</v>
      </c>
      <c r="Z730" s="131" t="str">
        <f>IFERROR(__xludf.DUMMYFUNCTION("""COMPUTED_VALUE"""),"D31-4R")</f>
        <v>D31-4R</v>
      </c>
      <c r="AA730" s="131">
        <f>IFERROR(__xludf.DUMMYFUNCTION("""COMPUTED_VALUE"""),5.0)</f>
        <v>5</v>
      </c>
      <c r="AB730" s="131">
        <f>IFERROR(__xludf.DUMMYFUNCTION("""COMPUTED_VALUE"""),29.0)</f>
        <v>29</v>
      </c>
      <c r="AC730" s="131">
        <f>IFERROR(__xludf.DUMMYFUNCTION("""COMPUTED_VALUE"""),13.0)</f>
        <v>13</v>
      </c>
      <c r="AD730" s="131">
        <f>IFERROR(__xludf.DUMMYFUNCTION("""COMPUTED_VALUE"""),13.0)</f>
        <v>13</v>
      </c>
      <c r="AE730" s="131"/>
      <c r="AF730" s="131"/>
      <c r="AG730" s="131"/>
      <c r="AH730" s="131"/>
      <c r="AI730" s="131">
        <f>IFERROR(__xludf.DUMMYFUNCTION("""COMPUTED_VALUE"""),390.0)</f>
        <v>390</v>
      </c>
      <c r="AJ730" s="131" t="str">
        <f>IFERROR(__xludf.DUMMYFUNCTION("""COMPUTED_VALUE"""),"S50,G54")</f>
        <v>S50,G54</v>
      </c>
      <c r="AK730" s="131"/>
    </row>
    <row r="731">
      <c r="A731" s="124"/>
      <c r="B731" s="131"/>
      <c r="C731" s="131"/>
      <c r="D731" s="144">
        <f>IFERROR(__xludf.DUMMYFUNCTION("""COMPUTED_VALUE"""),45838.0)</f>
        <v>45838</v>
      </c>
      <c r="E731" s="147">
        <f>IFERROR(__xludf.DUMMYFUNCTION("""COMPUTED_VALUE"""),45845.0)</f>
        <v>45845</v>
      </c>
      <c r="F731" s="147">
        <f>IFERROR(__xludf.DUMMYFUNCTION("""COMPUTED_VALUE"""),45866.0)</f>
        <v>45866</v>
      </c>
      <c r="G731" s="131" t="str">
        <f>IFERROR(__xludf.DUMMYFUNCTION("""COMPUTED_VALUE"""),"D31-4R")</f>
        <v>D31-4R</v>
      </c>
      <c r="H731" s="126">
        <f>IFERROR(__xludf.DUMMYFUNCTION("""COMPUTED_VALUE"""),5.0)</f>
        <v>5</v>
      </c>
      <c r="I731" s="126">
        <f>IFERROR(__xludf.DUMMYFUNCTION("""COMPUTED_VALUE"""),29.0)</f>
        <v>29</v>
      </c>
      <c r="J731" s="131">
        <f>IFERROR(__xludf.DUMMYFUNCTION("""COMPUTED_VALUE"""),13.0)</f>
        <v>13</v>
      </c>
      <c r="K731" s="131">
        <f>IFERROR(__xludf.DUMMYFUNCTION("""COMPUTED_VALUE"""),13.0)</f>
        <v>13</v>
      </c>
      <c r="L731" s="131"/>
      <c r="M731" s="131"/>
      <c r="N731" s="131"/>
      <c r="O731" s="131"/>
      <c r="P731" s="131">
        <f>IFERROR(__xludf.DUMMYFUNCTION("""COMPUTED_VALUE"""),390.0)</f>
        <v>390</v>
      </c>
      <c r="Q731" s="131" t="str">
        <f>IFERROR(__xludf.DUMMYFUNCTION("""COMPUTED_VALUE"""),"S50,G54")</f>
        <v>S50,G54</v>
      </c>
      <c r="R731" s="131"/>
      <c r="T731" s="131"/>
      <c r="U731" s="131"/>
      <c r="V731" s="131"/>
      <c r="W731" s="144">
        <f>IFERROR(__xludf.DUMMYFUNCTION("""COMPUTED_VALUE"""),45838.0)</f>
        <v>45838</v>
      </c>
      <c r="X731" s="144">
        <f>IFERROR(__xludf.DUMMYFUNCTION("""COMPUTED_VALUE"""),45845.0)</f>
        <v>45845</v>
      </c>
      <c r="Y731" s="144">
        <f>IFERROR(__xludf.DUMMYFUNCTION("""COMPUTED_VALUE"""),45866.0)</f>
        <v>45866</v>
      </c>
      <c r="Z731" s="131" t="str">
        <f>IFERROR(__xludf.DUMMYFUNCTION("""COMPUTED_VALUE"""),"D31-4R")</f>
        <v>D31-4R</v>
      </c>
      <c r="AA731" s="131">
        <f>IFERROR(__xludf.DUMMYFUNCTION("""COMPUTED_VALUE"""),47.0)</f>
        <v>47</v>
      </c>
      <c r="AB731" s="131">
        <f>IFERROR(__xludf.DUMMYFUNCTION("""COMPUTED_VALUE"""),63.0)</f>
        <v>63</v>
      </c>
      <c r="AC731" s="131">
        <f>IFERROR(__xludf.DUMMYFUNCTION("""COMPUTED_VALUE"""),9.0)</f>
        <v>9</v>
      </c>
      <c r="AD731" s="131">
        <f>IFERROR(__xludf.DUMMYFUNCTION("""COMPUTED_VALUE"""),9.0)</f>
        <v>9</v>
      </c>
      <c r="AE731" s="131"/>
      <c r="AF731" s="131"/>
      <c r="AG731" s="131"/>
      <c r="AH731" s="131"/>
      <c r="AI731" s="131">
        <f>IFERROR(__xludf.DUMMYFUNCTION("""COMPUTED_VALUE"""),390.0)</f>
        <v>390</v>
      </c>
      <c r="AJ731" s="131" t="str">
        <f>IFERROR(__xludf.DUMMYFUNCTION("""COMPUTED_VALUE"""),"S50,G54")</f>
        <v>S50,G54</v>
      </c>
      <c r="AK731" s="131"/>
    </row>
    <row r="732">
      <c r="A732" s="124"/>
      <c r="B732" s="131"/>
      <c r="C732" s="131"/>
      <c r="D732" s="144">
        <f>IFERROR(__xludf.DUMMYFUNCTION("""COMPUTED_VALUE"""),45838.0)</f>
        <v>45838</v>
      </c>
      <c r="E732" s="147">
        <f>IFERROR(__xludf.DUMMYFUNCTION("""COMPUTED_VALUE"""),45845.0)</f>
        <v>45845</v>
      </c>
      <c r="F732" s="147">
        <f>IFERROR(__xludf.DUMMYFUNCTION("""COMPUTED_VALUE"""),45866.0)</f>
        <v>45866</v>
      </c>
      <c r="G732" s="131" t="str">
        <f>IFERROR(__xludf.DUMMYFUNCTION("""COMPUTED_VALUE"""),"D31-4R")</f>
        <v>D31-4R</v>
      </c>
      <c r="H732" s="126">
        <f>IFERROR(__xludf.DUMMYFUNCTION("""COMPUTED_VALUE"""),47.0)</f>
        <v>47</v>
      </c>
      <c r="I732" s="126">
        <f>IFERROR(__xludf.DUMMYFUNCTION("""COMPUTED_VALUE"""),63.0)</f>
        <v>63</v>
      </c>
      <c r="J732" s="131">
        <f>IFERROR(__xludf.DUMMYFUNCTION("""COMPUTED_VALUE"""),9.0)</f>
        <v>9</v>
      </c>
      <c r="K732" s="131">
        <f>IFERROR(__xludf.DUMMYFUNCTION("""COMPUTED_VALUE"""),9.0)</f>
        <v>9</v>
      </c>
      <c r="L732" s="131"/>
      <c r="M732" s="131"/>
      <c r="N732" s="131"/>
      <c r="O732" s="131"/>
      <c r="P732" s="131">
        <f>IFERROR(__xludf.DUMMYFUNCTION("""COMPUTED_VALUE"""),390.0)</f>
        <v>390</v>
      </c>
      <c r="Q732" s="131" t="str">
        <f>IFERROR(__xludf.DUMMYFUNCTION("""COMPUTED_VALUE"""),"S50,G54")</f>
        <v>S50,G54</v>
      </c>
      <c r="R732" s="131"/>
      <c r="T732" s="131"/>
      <c r="U732" s="131"/>
      <c r="V732" s="131"/>
      <c r="W732" s="144">
        <f>IFERROR(__xludf.DUMMYFUNCTION("""COMPUTED_VALUE"""),45838.0)</f>
        <v>45838</v>
      </c>
      <c r="X732" s="144">
        <f>IFERROR(__xludf.DUMMYFUNCTION("""COMPUTED_VALUE"""),45845.0)</f>
        <v>45845</v>
      </c>
      <c r="Y732" s="144">
        <f>IFERROR(__xludf.DUMMYFUNCTION("""COMPUTED_VALUE"""),45866.0)</f>
        <v>45866</v>
      </c>
      <c r="Z732" s="131" t="str">
        <f>IFERROR(__xludf.DUMMYFUNCTION("""COMPUTED_VALUE"""),"D31-4R")</f>
        <v>D31-4R</v>
      </c>
      <c r="AA732" s="131">
        <f>IFERROR(__xludf.DUMMYFUNCTION("""COMPUTED_VALUE"""),85.0)</f>
        <v>85</v>
      </c>
      <c r="AB732" s="131">
        <f>IFERROR(__xludf.DUMMYFUNCTION("""COMPUTED_VALUE"""),131.0)</f>
        <v>131</v>
      </c>
      <c r="AC732" s="131">
        <f>IFERROR(__xludf.DUMMYFUNCTION("""COMPUTED_VALUE"""),24.0)</f>
        <v>24</v>
      </c>
      <c r="AD732" s="131">
        <f>IFERROR(__xludf.DUMMYFUNCTION("""COMPUTED_VALUE"""),24.0)</f>
        <v>24</v>
      </c>
      <c r="AE732" s="131"/>
      <c r="AF732" s="131"/>
      <c r="AG732" s="131"/>
      <c r="AH732" s="131"/>
      <c r="AI732" s="131">
        <f>IFERROR(__xludf.DUMMYFUNCTION("""COMPUTED_VALUE"""),390.0)</f>
        <v>390</v>
      </c>
      <c r="AJ732" s="131" t="str">
        <f>IFERROR(__xludf.DUMMYFUNCTION("""COMPUTED_VALUE"""),"S50,G54")</f>
        <v>S50,G54</v>
      </c>
      <c r="AK732" s="131"/>
    </row>
    <row r="733">
      <c r="A733" s="124"/>
      <c r="B733" s="131"/>
      <c r="C733" s="131"/>
      <c r="D733" s="144">
        <f>IFERROR(__xludf.DUMMYFUNCTION("""COMPUTED_VALUE"""),45838.0)</f>
        <v>45838</v>
      </c>
      <c r="E733" s="147">
        <f>IFERROR(__xludf.DUMMYFUNCTION("""COMPUTED_VALUE"""),45845.0)</f>
        <v>45845</v>
      </c>
      <c r="F733" s="147">
        <f>IFERROR(__xludf.DUMMYFUNCTION("""COMPUTED_VALUE"""),45866.0)</f>
        <v>45866</v>
      </c>
      <c r="G733" s="131" t="str">
        <f>IFERROR(__xludf.DUMMYFUNCTION("""COMPUTED_VALUE"""),"D31-4R")</f>
        <v>D31-4R</v>
      </c>
      <c r="H733" s="126">
        <f>IFERROR(__xludf.DUMMYFUNCTION("""COMPUTED_VALUE"""),85.0)</f>
        <v>85</v>
      </c>
      <c r="I733" s="126">
        <f>IFERROR(__xludf.DUMMYFUNCTION("""COMPUTED_VALUE"""),131.0)</f>
        <v>131</v>
      </c>
      <c r="J733" s="131">
        <f>IFERROR(__xludf.DUMMYFUNCTION("""COMPUTED_VALUE"""),24.0)</f>
        <v>24</v>
      </c>
      <c r="K733" s="131">
        <f>IFERROR(__xludf.DUMMYFUNCTION("""COMPUTED_VALUE"""),24.0)</f>
        <v>24</v>
      </c>
      <c r="L733" s="131"/>
      <c r="M733" s="131"/>
      <c r="N733" s="131"/>
      <c r="O733" s="131"/>
      <c r="P733" s="131">
        <f>IFERROR(__xludf.DUMMYFUNCTION("""COMPUTED_VALUE"""),390.0)</f>
        <v>390</v>
      </c>
      <c r="Q733" s="131" t="str">
        <f>IFERROR(__xludf.DUMMYFUNCTION("""COMPUTED_VALUE"""),"S50,G54")</f>
        <v>S50,G54</v>
      </c>
      <c r="R733" s="131"/>
      <c r="T733" s="131"/>
      <c r="U733" s="131"/>
      <c r="V733" s="131"/>
      <c r="W733" s="144">
        <f>IFERROR(__xludf.DUMMYFUNCTION("""COMPUTED_VALUE"""),45838.0)</f>
        <v>45838</v>
      </c>
      <c r="X733" s="144">
        <f>IFERROR(__xludf.DUMMYFUNCTION("""COMPUTED_VALUE"""),45845.0)</f>
        <v>45845</v>
      </c>
      <c r="Y733" s="144">
        <f>IFERROR(__xludf.DUMMYFUNCTION("""COMPUTED_VALUE"""),45866.0)</f>
        <v>45866</v>
      </c>
      <c r="Z733" s="131" t="str">
        <f>IFERROR(__xludf.DUMMYFUNCTION("""COMPUTED_VALUE"""),"D31-4R")</f>
        <v>D31-4R</v>
      </c>
      <c r="AA733" s="131">
        <f>IFERROR(__xludf.DUMMYFUNCTION("""COMPUTED_VALUE"""),135.0)</f>
        <v>135</v>
      </c>
      <c r="AB733" s="131">
        <f>IFERROR(__xludf.DUMMYFUNCTION("""COMPUTED_VALUE"""),167.0)</f>
        <v>167</v>
      </c>
      <c r="AC733" s="131">
        <f>IFERROR(__xludf.DUMMYFUNCTION("""COMPUTED_VALUE"""),17.0)</f>
        <v>17</v>
      </c>
      <c r="AD733" s="131">
        <f>IFERROR(__xludf.DUMMYFUNCTION("""COMPUTED_VALUE"""),17.0)</f>
        <v>17</v>
      </c>
      <c r="AE733" s="131"/>
      <c r="AF733" s="131"/>
      <c r="AG733" s="131"/>
      <c r="AH733" s="131"/>
      <c r="AI733" s="131">
        <f>IFERROR(__xludf.DUMMYFUNCTION("""COMPUTED_VALUE"""),390.0)</f>
        <v>390</v>
      </c>
      <c r="AJ733" s="131" t="str">
        <f>IFERROR(__xludf.DUMMYFUNCTION("""COMPUTED_VALUE"""),"S50,G54")</f>
        <v>S50,G54</v>
      </c>
      <c r="AK733" s="131"/>
    </row>
    <row r="734">
      <c r="A734" s="124"/>
      <c r="B734" s="131"/>
      <c r="C734" s="131"/>
      <c r="D734" s="144">
        <f>IFERROR(__xludf.DUMMYFUNCTION("""COMPUTED_VALUE"""),45838.0)</f>
        <v>45838</v>
      </c>
      <c r="E734" s="147">
        <f>IFERROR(__xludf.DUMMYFUNCTION("""COMPUTED_VALUE"""),45845.0)</f>
        <v>45845</v>
      </c>
      <c r="F734" s="147">
        <f>IFERROR(__xludf.DUMMYFUNCTION("""COMPUTED_VALUE"""),45866.0)</f>
        <v>45866</v>
      </c>
      <c r="G734" s="131" t="str">
        <f>IFERROR(__xludf.DUMMYFUNCTION("""COMPUTED_VALUE"""),"D31-4R")</f>
        <v>D31-4R</v>
      </c>
      <c r="H734" s="126">
        <f>IFERROR(__xludf.DUMMYFUNCTION("""COMPUTED_VALUE"""),135.0)</f>
        <v>135</v>
      </c>
      <c r="I734" s="126">
        <f>IFERROR(__xludf.DUMMYFUNCTION("""COMPUTED_VALUE"""),167.0)</f>
        <v>167</v>
      </c>
      <c r="J734" s="131">
        <f>IFERROR(__xludf.DUMMYFUNCTION("""COMPUTED_VALUE"""),17.0)</f>
        <v>17</v>
      </c>
      <c r="K734" s="131">
        <f>IFERROR(__xludf.DUMMYFUNCTION("""COMPUTED_VALUE"""),17.0)</f>
        <v>17</v>
      </c>
      <c r="L734" s="131"/>
      <c r="M734" s="131"/>
      <c r="N734" s="131"/>
      <c r="O734" s="131"/>
      <c r="P734" s="131">
        <f>IFERROR(__xludf.DUMMYFUNCTION("""COMPUTED_VALUE"""),390.0)</f>
        <v>390</v>
      </c>
      <c r="Q734" s="131" t="str">
        <f>IFERROR(__xludf.DUMMYFUNCTION("""COMPUTED_VALUE"""),"S50,G54")</f>
        <v>S50,G54</v>
      </c>
      <c r="R734" s="131"/>
      <c r="T734" s="131"/>
      <c r="U734" s="131"/>
      <c r="V734" s="131"/>
      <c r="W734" s="144">
        <f>IFERROR(__xludf.DUMMYFUNCTION("""COMPUTED_VALUE"""),45839.0)</f>
        <v>45839</v>
      </c>
      <c r="X734" s="144">
        <f>IFERROR(__xludf.DUMMYFUNCTION("""COMPUTED_VALUE"""),45846.0)</f>
        <v>45846</v>
      </c>
      <c r="Y734" s="144">
        <f>IFERROR(__xludf.DUMMYFUNCTION("""COMPUTED_VALUE"""),45867.0)</f>
        <v>45867</v>
      </c>
      <c r="Z734" s="131" t="str">
        <f>IFERROR(__xludf.DUMMYFUNCTION("""COMPUTED_VALUE"""),"D31-4R")</f>
        <v>D31-4R</v>
      </c>
      <c r="AA734" s="131">
        <f>IFERROR(__xludf.DUMMYFUNCTION("""COMPUTED_VALUE"""),171.0)</f>
        <v>171</v>
      </c>
      <c r="AB734" s="131">
        <f>IFERROR(__xludf.DUMMYFUNCTION("""COMPUTED_VALUE"""),203.0)</f>
        <v>203</v>
      </c>
      <c r="AC734" s="131">
        <f>IFERROR(__xludf.DUMMYFUNCTION("""COMPUTED_VALUE"""),17.0)</f>
        <v>17</v>
      </c>
      <c r="AD734" s="131">
        <f>IFERROR(__xludf.DUMMYFUNCTION("""COMPUTED_VALUE"""),17.0)</f>
        <v>17</v>
      </c>
      <c r="AE734" s="131"/>
      <c r="AF734" s="131"/>
      <c r="AG734" s="131"/>
      <c r="AH734" s="131"/>
      <c r="AI734" s="131">
        <f>IFERROR(__xludf.DUMMYFUNCTION("""COMPUTED_VALUE"""),391.0)</f>
        <v>391</v>
      </c>
      <c r="AJ734" s="131" t="str">
        <f>IFERROR(__xludf.DUMMYFUNCTION("""COMPUTED_VALUE"""),"S50,G54")</f>
        <v>S50,G54</v>
      </c>
      <c r="AK734" s="131">
        <f>IFERROR(__xludf.DUMMYFUNCTION("""COMPUTED_VALUE"""),18.0)</f>
        <v>18</v>
      </c>
    </row>
    <row r="735">
      <c r="A735" s="124"/>
      <c r="B735" s="131"/>
      <c r="C735" s="131"/>
      <c r="D735" s="144">
        <f>IFERROR(__xludf.DUMMYFUNCTION("""COMPUTED_VALUE"""),45839.0)</f>
        <v>45839</v>
      </c>
      <c r="E735" s="147">
        <f>IFERROR(__xludf.DUMMYFUNCTION("""COMPUTED_VALUE"""),45846.0)</f>
        <v>45846</v>
      </c>
      <c r="F735" s="147">
        <f>IFERROR(__xludf.DUMMYFUNCTION("""COMPUTED_VALUE"""),45867.0)</f>
        <v>45867</v>
      </c>
      <c r="G735" s="131" t="str">
        <f>IFERROR(__xludf.DUMMYFUNCTION("""COMPUTED_VALUE"""),"D31-4R")</f>
        <v>D31-4R</v>
      </c>
      <c r="H735" s="126">
        <f>IFERROR(__xludf.DUMMYFUNCTION("""COMPUTED_VALUE"""),171.0)</f>
        <v>171</v>
      </c>
      <c r="I735" s="126">
        <f>IFERROR(__xludf.DUMMYFUNCTION("""COMPUTED_VALUE"""),203.0)</f>
        <v>203</v>
      </c>
      <c r="J735" s="131">
        <f>IFERROR(__xludf.DUMMYFUNCTION("""COMPUTED_VALUE"""),17.0)</f>
        <v>17</v>
      </c>
      <c r="K735" s="131">
        <f>IFERROR(__xludf.DUMMYFUNCTION("""COMPUTED_VALUE"""),17.0)</f>
        <v>17</v>
      </c>
      <c r="L735" s="131"/>
      <c r="M735" s="131"/>
      <c r="N735" s="131"/>
      <c r="O735" s="131"/>
      <c r="P735" s="131">
        <f>IFERROR(__xludf.DUMMYFUNCTION("""COMPUTED_VALUE"""),391.0)</f>
        <v>391</v>
      </c>
      <c r="Q735" s="131" t="str">
        <f>IFERROR(__xludf.DUMMYFUNCTION("""COMPUTED_VALUE"""),"S50,G54")</f>
        <v>S50,G54</v>
      </c>
      <c r="R735" s="131">
        <f>IFERROR(__xludf.DUMMYFUNCTION("""COMPUTED_VALUE"""),18.0)</f>
        <v>18</v>
      </c>
      <c r="T735" s="131"/>
      <c r="U735" s="131"/>
      <c r="V735" s="131"/>
      <c r="W735" s="144">
        <f>IFERROR(__xludf.DUMMYFUNCTION("""COMPUTED_VALUE"""),45839.0)</f>
        <v>45839</v>
      </c>
      <c r="X735" s="144">
        <f>IFERROR(__xludf.DUMMYFUNCTION("""COMPUTED_VALUE"""),45846.0)</f>
        <v>45846</v>
      </c>
      <c r="Y735" s="144">
        <f>IFERROR(__xludf.DUMMYFUNCTION("""COMPUTED_VALUE"""),45867.0)</f>
        <v>45867</v>
      </c>
      <c r="Z735" s="131" t="str">
        <f>IFERROR(__xludf.DUMMYFUNCTION("""COMPUTED_VALUE"""),"D31-4R")</f>
        <v>D31-4R</v>
      </c>
      <c r="AA735" s="131">
        <f>IFERROR(__xludf.DUMMYFUNCTION("""COMPUTED_VALUE"""),211.0)</f>
        <v>211</v>
      </c>
      <c r="AB735" s="131">
        <f>IFERROR(__xludf.DUMMYFUNCTION("""COMPUTED_VALUE"""),295.0)</f>
        <v>295</v>
      </c>
      <c r="AC735" s="131">
        <f>IFERROR(__xludf.DUMMYFUNCTION("""COMPUTED_VALUE"""),43.0)</f>
        <v>43</v>
      </c>
      <c r="AD735" s="131">
        <f>IFERROR(__xludf.DUMMYFUNCTION("""COMPUTED_VALUE"""),43.0)</f>
        <v>43</v>
      </c>
      <c r="AE735" s="131"/>
      <c r="AF735" s="131"/>
      <c r="AG735" s="131"/>
      <c r="AH735" s="131"/>
      <c r="AI735" s="131">
        <f>IFERROR(__xludf.DUMMYFUNCTION("""COMPUTED_VALUE"""),391.0)</f>
        <v>391</v>
      </c>
      <c r="AJ735" s="131" t="str">
        <f>IFERROR(__xludf.DUMMYFUNCTION("""COMPUTED_VALUE"""),"S50,G54")</f>
        <v>S50,G54</v>
      </c>
      <c r="AK735" s="131"/>
    </row>
    <row r="736">
      <c r="A736" s="124"/>
      <c r="B736" s="131"/>
      <c r="C736" s="131"/>
      <c r="D736" s="144">
        <f>IFERROR(__xludf.DUMMYFUNCTION("""COMPUTED_VALUE"""),45839.0)</f>
        <v>45839</v>
      </c>
      <c r="E736" s="147">
        <f>IFERROR(__xludf.DUMMYFUNCTION("""COMPUTED_VALUE"""),45846.0)</f>
        <v>45846</v>
      </c>
      <c r="F736" s="147">
        <f>IFERROR(__xludf.DUMMYFUNCTION("""COMPUTED_VALUE"""),45867.0)</f>
        <v>45867</v>
      </c>
      <c r="G736" s="131" t="str">
        <f>IFERROR(__xludf.DUMMYFUNCTION("""COMPUTED_VALUE"""),"D31-4R")</f>
        <v>D31-4R</v>
      </c>
      <c r="H736" s="126">
        <f>IFERROR(__xludf.DUMMYFUNCTION("""COMPUTED_VALUE"""),211.0)</f>
        <v>211</v>
      </c>
      <c r="I736" s="126">
        <f>IFERROR(__xludf.DUMMYFUNCTION("""COMPUTED_VALUE"""),295.0)</f>
        <v>295</v>
      </c>
      <c r="J736" s="131">
        <f>IFERROR(__xludf.DUMMYFUNCTION("""COMPUTED_VALUE"""),43.0)</f>
        <v>43</v>
      </c>
      <c r="K736" s="131">
        <f>IFERROR(__xludf.DUMMYFUNCTION("""COMPUTED_VALUE"""),43.0)</f>
        <v>43</v>
      </c>
      <c r="L736" s="131"/>
      <c r="M736" s="131"/>
      <c r="N736" s="131"/>
      <c r="O736" s="131"/>
      <c r="P736" s="131">
        <f>IFERROR(__xludf.DUMMYFUNCTION("""COMPUTED_VALUE"""),391.0)</f>
        <v>391</v>
      </c>
      <c r="Q736" s="131" t="str">
        <f>IFERROR(__xludf.DUMMYFUNCTION("""COMPUTED_VALUE"""),"S50,G54")</f>
        <v>S50,G54</v>
      </c>
      <c r="R736" s="131"/>
      <c r="T736" s="131"/>
      <c r="U736" s="131"/>
      <c r="V736" s="131"/>
      <c r="W736" s="144">
        <f>IFERROR(__xludf.DUMMYFUNCTION("""COMPUTED_VALUE"""),45840.0)</f>
        <v>45840</v>
      </c>
      <c r="X736" s="144">
        <f>IFERROR(__xludf.DUMMYFUNCTION("""COMPUTED_VALUE"""),45847.0)</f>
        <v>45847</v>
      </c>
      <c r="Y736" s="144">
        <f>IFERROR(__xludf.DUMMYFUNCTION("""COMPUTED_VALUE"""),45868.0)</f>
        <v>45868</v>
      </c>
      <c r="Z736" s="131" t="str">
        <f>IFERROR(__xludf.DUMMYFUNCTION("""COMPUTED_VALUE"""),"D41-1R")</f>
        <v>D41-1R</v>
      </c>
      <c r="AA736" s="131">
        <f>IFERROR(__xludf.DUMMYFUNCTION("""COMPUTED_VALUE"""),15.0)</f>
        <v>15</v>
      </c>
      <c r="AB736" s="131">
        <f>IFERROR(__xludf.DUMMYFUNCTION("""COMPUTED_VALUE"""),183.0)</f>
        <v>183</v>
      </c>
      <c r="AC736" s="131">
        <f>IFERROR(__xludf.DUMMYFUNCTION("""COMPUTED_VALUE"""),85.0)</f>
        <v>85</v>
      </c>
      <c r="AD736" s="131">
        <f>IFERROR(__xludf.DUMMYFUNCTION("""COMPUTED_VALUE"""),85.0)</f>
        <v>85</v>
      </c>
      <c r="AE736" s="131">
        <f>IFERROR(__xludf.DUMMYFUNCTION("""COMPUTED_VALUE"""),2.0)</f>
        <v>2</v>
      </c>
      <c r="AF736" s="131">
        <f>IFERROR(__xludf.DUMMYFUNCTION("""COMPUTED_VALUE"""),2.0)</f>
        <v>2</v>
      </c>
      <c r="AG736" s="131">
        <f>IFERROR(__xludf.DUMMYFUNCTION("""COMPUTED_VALUE"""),1.0)</f>
        <v>1</v>
      </c>
      <c r="AH736" s="131">
        <f>IFERROR(__xludf.DUMMYFUNCTION("""COMPUTED_VALUE"""),1.0)</f>
        <v>1</v>
      </c>
      <c r="AI736" s="131">
        <f>IFERROR(__xludf.DUMMYFUNCTION("""COMPUTED_VALUE"""),392.0)</f>
        <v>392</v>
      </c>
      <c r="AJ736" s="131" t="str">
        <f>IFERROR(__xludf.DUMMYFUNCTION("""COMPUTED_VALUE"""),"S50,G54")</f>
        <v>S50,G54</v>
      </c>
      <c r="AK736" s="131">
        <f>IFERROR(__xludf.DUMMYFUNCTION("""COMPUTED_VALUE"""),27.48)</f>
        <v>27.48</v>
      </c>
    </row>
    <row r="737">
      <c r="A737" s="124"/>
      <c r="B737" s="131"/>
      <c r="C737" s="131"/>
      <c r="D737" s="144">
        <f>IFERROR(__xludf.DUMMYFUNCTION("""COMPUTED_VALUE"""),45840.0)</f>
        <v>45840</v>
      </c>
      <c r="E737" s="147">
        <f>IFERROR(__xludf.DUMMYFUNCTION("""COMPUTED_VALUE"""),45847.0)</f>
        <v>45847</v>
      </c>
      <c r="F737" s="147">
        <f>IFERROR(__xludf.DUMMYFUNCTION("""COMPUTED_VALUE"""),45868.0)</f>
        <v>45868</v>
      </c>
      <c r="G737" s="131" t="str">
        <f>IFERROR(__xludf.DUMMYFUNCTION("""COMPUTED_VALUE"""),"D41-1R")</f>
        <v>D41-1R</v>
      </c>
      <c r="H737" s="126">
        <f>IFERROR(__xludf.DUMMYFUNCTION("""COMPUTED_VALUE"""),15.0)</f>
        <v>15</v>
      </c>
      <c r="I737" s="126">
        <f>IFERROR(__xludf.DUMMYFUNCTION("""COMPUTED_VALUE"""),183.0)</f>
        <v>183</v>
      </c>
      <c r="J737" s="131">
        <f>IFERROR(__xludf.DUMMYFUNCTION("""COMPUTED_VALUE"""),85.0)</f>
        <v>85</v>
      </c>
      <c r="K737" s="131">
        <f>IFERROR(__xludf.DUMMYFUNCTION("""COMPUTED_VALUE"""),85.0)</f>
        <v>85</v>
      </c>
      <c r="L737" s="131">
        <f>IFERROR(__xludf.DUMMYFUNCTION("""COMPUTED_VALUE"""),2.0)</f>
        <v>2</v>
      </c>
      <c r="M737" s="131">
        <f>IFERROR(__xludf.DUMMYFUNCTION("""COMPUTED_VALUE"""),2.0)</f>
        <v>2</v>
      </c>
      <c r="N737" s="131">
        <f>IFERROR(__xludf.DUMMYFUNCTION("""COMPUTED_VALUE"""),1.0)</f>
        <v>1</v>
      </c>
      <c r="O737" s="131">
        <f>IFERROR(__xludf.DUMMYFUNCTION("""COMPUTED_VALUE"""),1.0)</f>
        <v>1</v>
      </c>
      <c r="P737" s="131">
        <f>IFERROR(__xludf.DUMMYFUNCTION("""COMPUTED_VALUE"""),392.0)</f>
        <v>392</v>
      </c>
      <c r="Q737" s="131" t="str">
        <f>IFERROR(__xludf.DUMMYFUNCTION("""COMPUTED_VALUE"""),"S50,G54")</f>
        <v>S50,G54</v>
      </c>
      <c r="R737" s="131">
        <f>IFERROR(__xludf.DUMMYFUNCTION("""COMPUTED_VALUE"""),27.48)</f>
        <v>27.48</v>
      </c>
      <c r="T737" s="131"/>
      <c r="U737" s="131"/>
      <c r="V737" s="131"/>
      <c r="W737" s="144">
        <f>IFERROR(__xludf.DUMMYFUNCTION("""COMPUTED_VALUE"""),45840.0)</f>
        <v>45840</v>
      </c>
      <c r="X737" s="144">
        <f>IFERROR(__xludf.DUMMYFUNCTION("""COMPUTED_VALUE"""),45847.0)</f>
        <v>45847</v>
      </c>
      <c r="Y737" s="144">
        <f>IFERROR(__xludf.DUMMYFUNCTION("""COMPUTED_VALUE"""),45868.0)</f>
        <v>45868</v>
      </c>
      <c r="Z737" s="131" t="str">
        <f>IFERROR(__xludf.DUMMYFUNCTION("""COMPUTED_VALUE"""),"D41-1R")</f>
        <v>D41-1R</v>
      </c>
      <c r="AA737" s="131"/>
      <c r="AB737" s="131"/>
      <c r="AC737" s="131"/>
      <c r="AD737" s="131"/>
      <c r="AE737" s="131">
        <f>IFERROR(__xludf.DUMMYFUNCTION("""COMPUTED_VALUE"""),6.0)</f>
        <v>6</v>
      </c>
      <c r="AF737" s="131">
        <f>IFERROR(__xludf.DUMMYFUNCTION("""COMPUTED_VALUE"""),14.0)</f>
        <v>14</v>
      </c>
      <c r="AG737" s="131">
        <f>IFERROR(__xludf.DUMMYFUNCTION("""COMPUTED_VALUE"""),5.0)</f>
        <v>5</v>
      </c>
      <c r="AH737" s="131">
        <f>IFERROR(__xludf.DUMMYFUNCTION("""COMPUTED_VALUE"""),5.0)</f>
        <v>5</v>
      </c>
      <c r="AI737" s="131">
        <f>IFERROR(__xludf.DUMMYFUNCTION("""COMPUTED_VALUE"""),392.0)</f>
        <v>392</v>
      </c>
      <c r="AJ737" s="131" t="str">
        <f>IFERROR(__xludf.DUMMYFUNCTION("""COMPUTED_VALUE"""),"S50,G54")</f>
        <v>S50,G54</v>
      </c>
      <c r="AK737" s="131"/>
    </row>
    <row r="738">
      <c r="A738" s="124"/>
      <c r="B738" s="131"/>
      <c r="C738" s="131"/>
      <c r="D738" s="144">
        <f>IFERROR(__xludf.DUMMYFUNCTION("""COMPUTED_VALUE"""),45840.0)</f>
        <v>45840</v>
      </c>
      <c r="E738" s="147">
        <f>IFERROR(__xludf.DUMMYFUNCTION("""COMPUTED_VALUE"""),45847.0)</f>
        <v>45847</v>
      </c>
      <c r="F738" s="147">
        <f>IFERROR(__xludf.DUMMYFUNCTION("""COMPUTED_VALUE"""),45868.0)</f>
        <v>45868</v>
      </c>
      <c r="G738" s="131" t="str">
        <f>IFERROR(__xludf.DUMMYFUNCTION("""COMPUTED_VALUE"""),"D41-1R")</f>
        <v>D41-1R</v>
      </c>
      <c r="H738" s="126"/>
      <c r="I738" s="126"/>
      <c r="J738" s="131"/>
      <c r="K738" s="131"/>
      <c r="L738" s="131">
        <f>IFERROR(__xludf.DUMMYFUNCTION("""COMPUTED_VALUE"""),6.0)</f>
        <v>6</v>
      </c>
      <c r="M738" s="131">
        <f>IFERROR(__xludf.DUMMYFUNCTION("""COMPUTED_VALUE"""),14.0)</f>
        <v>14</v>
      </c>
      <c r="N738" s="131">
        <f>IFERROR(__xludf.DUMMYFUNCTION("""COMPUTED_VALUE"""),5.0)</f>
        <v>5</v>
      </c>
      <c r="O738" s="131">
        <f>IFERROR(__xludf.DUMMYFUNCTION("""COMPUTED_VALUE"""),5.0)</f>
        <v>5</v>
      </c>
      <c r="P738" s="131">
        <f>IFERROR(__xludf.DUMMYFUNCTION("""COMPUTED_VALUE"""),392.0)</f>
        <v>392</v>
      </c>
      <c r="Q738" s="131" t="str">
        <f>IFERROR(__xludf.DUMMYFUNCTION("""COMPUTED_VALUE"""),"S50,G54")</f>
        <v>S50,G54</v>
      </c>
      <c r="R738" s="131"/>
      <c r="T738" s="131"/>
      <c r="U738" s="131"/>
      <c r="V738" s="131"/>
      <c r="W738" s="144">
        <f>IFERROR(__xludf.DUMMYFUNCTION("""COMPUTED_VALUE"""),45847.0)</f>
        <v>45847</v>
      </c>
      <c r="X738" s="144">
        <f>IFERROR(__xludf.DUMMYFUNCTION("""COMPUTED_VALUE"""),45854.0)</f>
        <v>45854</v>
      </c>
      <c r="Y738" s="144">
        <f>IFERROR(__xludf.DUMMYFUNCTION("""COMPUTED_VALUE"""),45875.0)</f>
        <v>45875</v>
      </c>
      <c r="Z738" s="131" t="str">
        <f>IFERROR(__xludf.DUMMYFUNCTION("""COMPUTED_VALUE"""),"D41-1R")</f>
        <v>D41-1R</v>
      </c>
      <c r="AA738" s="131"/>
      <c r="AB738" s="131"/>
      <c r="AC738" s="131"/>
      <c r="AD738" s="131"/>
      <c r="AE738" s="131">
        <f>IFERROR(__xludf.DUMMYFUNCTION("""COMPUTED_VALUE"""),16.0)</f>
        <v>16</v>
      </c>
      <c r="AF738" s="131">
        <f>IFERROR(__xludf.DUMMYFUNCTION("""COMPUTED_VALUE"""),52.0)</f>
        <v>52</v>
      </c>
      <c r="AG738" s="131">
        <f>IFERROR(__xludf.DUMMYFUNCTION("""COMPUTED_VALUE"""),19.0)</f>
        <v>19</v>
      </c>
      <c r="AH738" s="131">
        <f>IFERROR(__xludf.DUMMYFUNCTION("""COMPUTED_VALUE"""),19.0)</f>
        <v>19</v>
      </c>
      <c r="AI738" s="131">
        <f>IFERROR(__xludf.DUMMYFUNCTION("""COMPUTED_VALUE"""),393.0)</f>
        <v>393</v>
      </c>
      <c r="AJ738" s="131" t="str">
        <f>IFERROR(__xludf.DUMMYFUNCTION("""COMPUTED_VALUE"""),"S50,G54")</f>
        <v>S50,G54</v>
      </c>
      <c r="AK738" s="131">
        <f>IFERROR(__xludf.DUMMYFUNCTION("""COMPUTED_VALUE"""),24.16)</f>
        <v>24.16</v>
      </c>
    </row>
    <row r="739">
      <c r="A739" s="124"/>
      <c r="B739" s="131"/>
      <c r="C739" s="131"/>
      <c r="D739" s="144">
        <f>IFERROR(__xludf.DUMMYFUNCTION("""COMPUTED_VALUE"""),45847.0)</f>
        <v>45847</v>
      </c>
      <c r="E739" s="147">
        <f>IFERROR(__xludf.DUMMYFUNCTION("""COMPUTED_VALUE"""),45854.0)</f>
        <v>45854</v>
      </c>
      <c r="F739" s="147">
        <f>IFERROR(__xludf.DUMMYFUNCTION("""COMPUTED_VALUE"""),45875.0)</f>
        <v>45875</v>
      </c>
      <c r="G739" s="131" t="str">
        <f>IFERROR(__xludf.DUMMYFUNCTION("""COMPUTED_VALUE"""),"D41-1R")</f>
        <v>D41-1R</v>
      </c>
      <c r="H739" s="126"/>
      <c r="I739" s="126"/>
      <c r="J739" s="131"/>
      <c r="K739" s="131"/>
      <c r="L739" s="131">
        <f>IFERROR(__xludf.DUMMYFUNCTION("""COMPUTED_VALUE"""),16.0)</f>
        <v>16</v>
      </c>
      <c r="M739" s="131">
        <f>IFERROR(__xludf.DUMMYFUNCTION("""COMPUTED_VALUE"""),52.0)</f>
        <v>52</v>
      </c>
      <c r="N739" s="131">
        <f>IFERROR(__xludf.DUMMYFUNCTION("""COMPUTED_VALUE"""),19.0)</f>
        <v>19</v>
      </c>
      <c r="O739" s="131">
        <f>IFERROR(__xludf.DUMMYFUNCTION("""COMPUTED_VALUE"""),19.0)</f>
        <v>19</v>
      </c>
      <c r="P739" s="131">
        <f>IFERROR(__xludf.DUMMYFUNCTION("""COMPUTED_VALUE"""),393.0)</f>
        <v>393</v>
      </c>
      <c r="Q739" s="131" t="str">
        <f>IFERROR(__xludf.DUMMYFUNCTION("""COMPUTED_VALUE"""),"S50,G54")</f>
        <v>S50,G54</v>
      </c>
      <c r="R739" s="131">
        <f>IFERROR(__xludf.DUMMYFUNCTION("""COMPUTED_VALUE"""),24.16)</f>
        <v>24.16</v>
      </c>
      <c r="T739" s="131"/>
      <c r="U739" s="131"/>
      <c r="V739" s="131"/>
      <c r="W739" s="144">
        <f>IFERROR(__xludf.DUMMYFUNCTION("""COMPUTED_VALUE"""),45847.0)</f>
        <v>45847</v>
      </c>
      <c r="X739" s="144">
        <f>IFERROR(__xludf.DUMMYFUNCTION("""COMPUTED_VALUE"""),45854.0)</f>
        <v>45854</v>
      </c>
      <c r="Y739" s="144">
        <f>IFERROR(__xludf.DUMMYFUNCTION("""COMPUTED_VALUE"""),45875.0)</f>
        <v>45875</v>
      </c>
      <c r="Z739" s="131" t="str">
        <f>IFERROR(__xludf.DUMMYFUNCTION("""COMPUTED_VALUE"""),"D41-1R")</f>
        <v>D41-1R</v>
      </c>
      <c r="AA739" s="131"/>
      <c r="AB739" s="131"/>
      <c r="AC739" s="131"/>
      <c r="AD739" s="131"/>
      <c r="AE739" s="131">
        <f>IFERROR(__xludf.DUMMYFUNCTION("""COMPUTED_VALUE"""),56.0)</f>
        <v>56</v>
      </c>
      <c r="AF739" s="131">
        <f>IFERROR(__xludf.DUMMYFUNCTION("""COMPUTED_VALUE"""),100.0)</f>
        <v>100</v>
      </c>
      <c r="AG739" s="131">
        <f>IFERROR(__xludf.DUMMYFUNCTION("""COMPUTED_VALUE"""),23.0)</f>
        <v>23</v>
      </c>
      <c r="AH739" s="131">
        <f>IFERROR(__xludf.DUMMYFUNCTION("""COMPUTED_VALUE"""),23.0)</f>
        <v>23</v>
      </c>
      <c r="AI739" s="131">
        <f>IFERROR(__xludf.DUMMYFUNCTION("""COMPUTED_VALUE"""),393.0)</f>
        <v>393</v>
      </c>
      <c r="AJ739" s="131" t="str">
        <f>IFERROR(__xludf.DUMMYFUNCTION("""COMPUTED_VALUE"""),"S50,G54")</f>
        <v>S50,G54</v>
      </c>
      <c r="AK739" s="131"/>
    </row>
    <row r="740">
      <c r="A740" s="124"/>
      <c r="B740" s="131"/>
      <c r="C740" s="131"/>
      <c r="D740" s="144">
        <f>IFERROR(__xludf.DUMMYFUNCTION("""COMPUTED_VALUE"""),45847.0)</f>
        <v>45847</v>
      </c>
      <c r="E740" s="147">
        <f>IFERROR(__xludf.DUMMYFUNCTION("""COMPUTED_VALUE"""),45854.0)</f>
        <v>45854</v>
      </c>
      <c r="F740" s="147">
        <f>IFERROR(__xludf.DUMMYFUNCTION("""COMPUTED_VALUE"""),45875.0)</f>
        <v>45875</v>
      </c>
      <c r="G740" s="131" t="str">
        <f>IFERROR(__xludf.DUMMYFUNCTION("""COMPUTED_VALUE"""),"D41-1R")</f>
        <v>D41-1R</v>
      </c>
      <c r="H740" s="126"/>
      <c r="I740" s="126"/>
      <c r="J740" s="131"/>
      <c r="K740" s="131"/>
      <c r="L740" s="131">
        <f>IFERROR(__xludf.DUMMYFUNCTION("""COMPUTED_VALUE"""),56.0)</f>
        <v>56</v>
      </c>
      <c r="M740" s="131">
        <f>IFERROR(__xludf.DUMMYFUNCTION("""COMPUTED_VALUE"""),100.0)</f>
        <v>100</v>
      </c>
      <c r="N740" s="131">
        <f>IFERROR(__xludf.DUMMYFUNCTION("""COMPUTED_VALUE"""),23.0)</f>
        <v>23</v>
      </c>
      <c r="O740" s="131">
        <f>IFERROR(__xludf.DUMMYFUNCTION("""COMPUTED_VALUE"""),23.0)</f>
        <v>23</v>
      </c>
      <c r="P740" s="131">
        <f>IFERROR(__xludf.DUMMYFUNCTION("""COMPUTED_VALUE"""),393.0)</f>
        <v>393</v>
      </c>
      <c r="Q740" s="131" t="str">
        <f>IFERROR(__xludf.DUMMYFUNCTION("""COMPUTED_VALUE"""),"S50,G54")</f>
        <v>S50,G54</v>
      </c>
      <c r="R740" s="131"/>
      <c r="T740" s="131"/>
      <c r="U740" s="131"/>
      <c r="V740" s="131"/>
      <c r="W740" s="144">
        <f>IFERROR(__xludf.DUMMYFUNCTION("""COMPUTED_VALUE"""),45847.0)</f>
        <v>45847</v>
      </c>
      <c r="X740" s="144">
        <f>IFERROR(__xludf.DUMMYFUNCTION("""COMPUTED_VALUE"""),45854.0)</f>
        <v>45854</v>
      </c>
      <c r="Y740" s="144">
        <f>IFERROR(__xludf.DUMMYFUNCTION("""COMPUTED_VALUE"""),45875.0)</f>
        <v>45875</v>
      </c>
      <c r="Z740" s="131" t="str">
        <f>IFERROR(__xludf.DUMMYFUNCTION("""COMPUTED_VALUE"""),"D41-1R")</f>
        <v>D41-1R</v>
      </c>
      <c r="AA740" s="131"/>
      <c r="AB740" s="131"/>
      <c r="AC740" s="131"/>
      <c r="AD740" s="131"/>
      <c r="AE740" s="131">
        <f>IFERROR(__xludf.DUMMYFUNCTION("""COMPUTED_VALUE"""),104.0)</f>
        <v>104</v>
      </c>
      <c r="AF740" s="131">
        <f>IFERROR(__xludf.DUMMYFUNCTION("""COMPUTED_VALUE"""),138.0)</f>
        <v>138</v>
      </c>
      <c r="AG740" s="131">
        <f>IFERROR(__xludf.DUMMYFUNCTION("""COMPUTED_VALUE"""),18.0)</f>
        <v>18</v>
      </c>
      <c r="AH740" s="131">
        <f>IFERROR(__xludf.DUMMYFUNCTION("""COMPUTED_VALUE"""),18.0)</f>
        <v>18</v>
      </c>
      <c r="AI740" s="131">
        <f>IFERROR(__xludf.DUMMYFUNCTION("""COMPUTED_VALUE"""),393.0)</f>
        <v>393</v>
      </c>
      <c r="AJ740" s="131" t="str">
        <f>IFERROR(__xludf.DUMMYFUNCTION("""COMPUTED_VALUE"""),"S50,G54")</f>
        <v>S50,G54</v>
      </c>
      <c r="AK740" s="131"/>
    </row>
    <row r="741">
      <c r="A741" s="124"/>
      <c r="B741" s="131"/>
      <c r="C741" s="131"/>
      <c r="D741" s="144">
        <f>IFERROR(__xludf.DUMMYFUNCTION("""COMPUTED_VALUE"""),45847.0)</f>
        <v>45847</v>
      </c>
      <c r="E741" s="147">
        <f>IFERROR(__xludf.DUMMYFUNCTION("""COMPUTED_VALUE"""),45854.0)</f>
        <v>45854</v>
      </c>
      <c r="F741" s="147">
        <f>IFERROR(__xludf.DUMMYFUNCTION("""COMPUTED_VALUE"""),45875.0)</f>
        <v>45875</v>
      </c>
      <c r="G741" s="131" t="str">
        <f>IFERROR(__xludf.DUMMYFUNCTION("""COMPUTED_VALUE"""),"D41-1R")</f>
        <v>D41-1R</v>
      </c>
      <c r="H741" s="126"/>
      <c r="I741" s="126"/>
      <c r="J741" s="131"/>
      <c r="K741" s="131"/>
      <c r="L741" s="131">
        <f>IFERROR(__xludf.DUMMYFUNCTION("""COMPUTED_VALUE"""),104.0)</f>
        <v>104</v>
      </c>
      <c r="M741" s="131">
        <f>IFERROR(__xludf.DUMMYFUNCTION("""COMPUTED_VALUE"""),138.0)</f>
        <v>138</v>
      </c>
      <c r="N741" s="131">
        <f>IFERROR(__xludf.DUMMYFUNCTION("""COMPUTED_VALUE"""),18.0)</f>
        <v>18</v>
      </c>
      <c r="O741" s="131">
        <f>IFERROR(__xludf.DUMMYFUNCTION("""COMPUTED_VALUE"""),18.0)</f>
        <v>18</v>
      </c>
      <c r="P741" s="131">
        <f>IFERROR(__xludf.DUMMYFUNCTION("""COMPUTED_VALUE"""),393.0)</f>
        <v>393</v>
      </c>
      <c r="Q741" s="131" t="str">
        <f>IFERROR(__xludf.DUMMYFUNCTION("""COMPUTED_VALUE"""),"S50,G54")</f>
        <v>S50,G54</v>
      </c>
      <c r="R741" s="131"/>
      <c r="T741" s="131"/>
      <c r="U741" s="131"/>
      <c r="V741" s="131"/>
      <c r="W741" s="144">
        <f>IFERROR(__xludf.DUMMYFUNCTION("""COMPUTED_VALUE"""),45847.0)</f>
        <v>45847</v>
      </c>
      <c r="X741" s="144">
        <f>IFERROR(__xludf.DUMMYFUNCTION("""COMPUTED_VALUE"""),45854.0)</f>
        <v>45854</v>
      </c>
      <c r="Y741" s="144">
        <f>IFERROR(__xludf.DUMMYFUNCTION("""COMPUTED_VALUE"""),45875.0)</f>
        <v>45875</v>
      </c>
      <c r="Z741" s="131" t="str">
        <f>IFERROR(__xludf.DUMMYFUNCTION("""COMPUTED_VALUE"""),"D41-1R")</f>
        <v>D41-1R</v>
      </c>
      <c r="AA741" s="131"/>
      <c r="AB741" s="131"/>
      <c r="AC741" s="131"/>
      <c r="AD741" s="131"/>
      <c r="AE741" s="131">
        <f>IFERROR(__xludf.DUMMYFUNCTION("""COMPUTED_VALUE"""),142.0)</f>
        <v>142</v>
      </c>
      <c r="AF741" s="131">
        <f>IFERROR(__xludf.DUMMYFUNCTION("""COMPUTED_VALUE"""),182.0)</f>
        <v>182</v>
      </c>
      <c r="AG741" s="131">
        <f>IFERROR(__xludf.DUMMYFUNCTION("""COMPUTED_VALUE"""),21.0)</f>
        <v>21</v>
      </c>
      <c r="AH741" s="131">
        <f>IFERROR(__xludf.DUMMYFUNCTION("""COMPUTED_VALUE"""),21.0)</f>
        <v>21</v>
      </c>
      <c r="AI741" s="131">
        <f>IFERROR(__xludf.DUMMYFUNCTION("""COMPUTED_VALUE"""),393.0)</f>
        <v>393</v>
      </c>
      <c r="AJ741" s="131" t="str">
        <f>IFERROR(__xludf.DUMMYFUNCTION("""COMPUTED_VALUE"""),"S50,G54")</f>
        <v>S50,G54</v>
      </c>
      <c r="AK741" s="131"/>
    </row>
    <row r="742">
      <c r="A742" s="124"/>
      <c r="B742" s="131"/>
      <c r="C742" s="131"/>
      <c r="D742" s="144">
        <f>IFERROR(__xludf.DUMMYFUNCTION("""COMPUTED_VALUE"""),45847.0)</f>
        <v>45847</v>
      </c>
      <c r="E742" s="147">
        <f>IFERROR(__xludf.DUMMYFUNCTION("""COMPUTED_VALUE"""),45854.0)</f>
        <v>45854</v>
      </c>
      <c r="F742" s="147">
        <f>IFERROR(__xludf.DUMMYFUNCTION("""COMPUTED_VALUE"""),45875.0)</f>
        <v>45875</v>
      </c>
      <c r="G742" s="131" t="str">
        <f>IFERROR(__xludf.DUMMYFUNCTION("""COMPUTED_VALUE"""),"D41-1R")</f>
        <v>D41-1R</v>
      </c>
      <c r="H742" s="126"/>
      <c r="I742" s="126"/>
      <c r="J742" s="131"/>
      <c r="K742" s="131"/>
      <c r="L742" s="131">
        <f>IFERROR(__xludf.DUMMYFUNCTION("""COMPUTED_VALUE"""),142.0)</f>
        <v>142</v>
      </c>
      <c r="M742" s="131">
        <f>IFERROR(__xludf.DUMMYFUNCTION("""COMPUTED_VALUE"""),182.0)</f>
        <v>182</v>
      </c>
      <c r="N742" s="131">
        <f>IFERROR(__xludf.DUMMYFUNCTION("""COMPUTED_VALUE"""),21.0)</f>
        <v>21</v>
      </c>
      <c r="O742" s="131">
        <f>IFERROR(__xludf.DUMMYFUNCTION("""COMPUTED_VALUE"""),21.0)</f>
        <v>21</v>
      </c>
      <c r="P742" s="131">
        <f>IFERROR(__xludf.DUMMYFUNCTION("""COMPUTED_VALUE"""),393.0)</f>
        <v>393</v>
      </c>
      <c r="Q742" s="131" t="str">
        <f>IFERROR(__xludf.DUMMYFUNCTION("""COMPUTED_VALUE"""),"S50,G54")</f>
        <v>S50,G54</v>
      </c>
      <c r="R742" s="131"/>
      <c r="T742" s="131"/>
      <c r="U742" s="131"/>
      <c r="V742" s="131"/>
      <c r="W742" s="144">
        <f>IFERROR(__xludf.DUMMYFUNCTION("""COMPUTED_VALUE"""),45848.0)</f>
        <v>45848</v>
      </c>
      <c r="X742" s="144">
        <f>IFERROR(__xludf.DUMMYFUNCTION("""COMPUTED_VALUE"""),45855.0)</f>
        <v>45855</v>
      </c>
      <c r="Y742" s="144">
        <f>IFERROR(__xludf.DUMMYFUNCTION("""COMPUTED_VALUE"""),45876.0)</f>
        <v>45876</v>
      </c>
      <c r="Z742" s="131" t="str">
        <f>IFERROR(__xludf.DUMMYFUNCTION("""COMPUTED_VALUE"""),"D41-2R")</f>
        <v>D41-2R</v>
      </c>
      <c r="AA742" s="131">
        <f>IFERROR(__xludf.DUMMYFUNCTION("""COMPUTED_VALUE"""),1.0)</f>
        <v>1</v>
      </c>
      <c r="AB742" s="131">
        <f>IFERROR(__xludf.DUMMYFUNCTION("""COMPUTED_VALUE"""),129.0)</f>
        <v>129</v>
      </c>
      <c r="AC742" s="131">
        <f>IFERROR(__xludf.DUMMYFUNCTION("""COMPUTED_VALUE"""),65.0)</f>
        <v>65</v>
      </c>
      <c r="AD742" s="131">
        <f>IFERROR(__xludf.DUMMYFUNCTION("""COMPUTED_VALUE"""),65.0)</f>
        <v>65</v>
      </c>
      <c r="AE742" s="131"/>
      <c r="AF742" s="131"/>
      <c r="AG742" s="131"/>
      <c r="AH742" s="131"/>
      <c r="AI742" s="131">
        <f>IFERROR(__xludf.DUMMYFUNCTION("""COMPUTED_VALUE"""),394.0)</f>
        <v>394</v>
      </c>
      <c r="AJ742" s="131" t="str">
        <f>IFERROR(__xludf.DUMMYFUNCTION("""COMPUTED_VALUE"""),"S50,G53")</f>
        <v>S50,G53</v>
      </c>
      <c r="AK742" s="131">
        <f>IFERROR(__xludf.DUMMYFUNCTION("""COMPUTED_VALUE"""),22.34)</f>
        <v>22.34</v>
      </c>
    </row>
    <row r="743">
      <c r="A743" s="124"/>
      <c r="B743" s="131"/>
      <c r="C743" s="131"/>
      <c r="D743" s="144">
        <f>IFERROR(__xludf.DUMMYFUNCTION("""COMPUTED_VALUE"""),45848.0)</f>
        <v>45848</v>
      </c>
      <c r="E743" s="147">
        <f>IFERROR(__xludf.DUMMYFUNCTION("""COMPUTED_VALUE"""),45855.0)</f>
        <v>45855</v>
      </c>
      <c r="F743" s="147">
        <f>IFERROR(__xludf.DUMMYFUNCTION("""COMPUTED_VALUE"""),45876.0)</f>
        <v>45876</v>
      </c>
      <c r="G743" s="131" t="str">
        <f>IFERROR(__xludf.DUMMYFUNCTION("""COMPUTED_VALUE"""),"D41-2R")</f>
        <v>D41-2R</v>
      </c>
      <c r="H743" s="126">
        <f>IFERROR(__xludf.DUMMYFUNCTION("""COMPUTED_VALUE"""),1.0)</f>
        <v>1</v>
      </c>
      <c r="I743" s="126">
        <f>IFERROR(__xludf.DUMMYFUNCTION("""COMPUTED_VALUE"""),129.0)</f>
        <v>129</v>
      </c>
      <c r="J743" s="131">
        <f>IFERROR(__xludf.DUMMYFUNCTION("""COMPUTED_VALUE"""),65.0)</f>
        <v>65</v>
      </c>
      <c r="K743" s="131">
        <f>IFERROR(__xludf.DUMMYFUNCTION("""COMPUTED_VALUE"""),65.0)</f>
        <v>65</v>
      </c>
      <c r="L743" s="131"/>
      <c r="M743" s="131"/>
      <c r="N743" s="131"/>
      <c r="O743" s="131"/>
      <c r="P743" s="131">
        <f>IFERROR(__xludf.DUMMYFUNCTION("""COMPUTED_VALUE"""),394.0)</f>
        <v>394</v>
      </c>
      <c r="Q743" s="131" t="str">
        <f>IFERROR(__xludf.DUMMYFUNCTION("""COMPUTED_VALUE"""),"S50,G53")</f>
        <v>S50,G53</v>
      </c>
      <c r="R743" s="131">
        <f>IFERROR(__xludf.DUMMYFUNCTION("""COMPUTED_VALUE"""),22.34)</f>
        <v>22.34</v>
      </c>
      <c r="T743" s="131"/>
      <c r="U743" s="131"/>
      <c r="V743" s="131"/>
      <c r="W743" s="144">
        <f>IFERROR(__xludf.DUMMYFUNCTION("""COMPUTED_VALUE"""),45848.0)</f>
        <v>45848</v>
      </c>
      <c r="X743" s="144">
        <f>IFERROR(__xludf.DUMMYFUNCTION("""COMPUTED_VALUE"""),45855.0)</f>
        <v>45855</v>
      </c>
      <c r="Y743" s="144">
        <f>IFERROR(__xludf.DUMMYFUNCTION("""COMPUTED_VALUE"""),45876.0)</f>
        <v>45876</v>
      </c>
      <c r="Z743" s="131" t="str">
        <f>IFERROR(__xludf.DUMMYFUNCTION("""COMPUTED_VALUE"""),"D41-2R")</f>
        <v>D41-2R</v>
      </c>
      <c r="AA743" s="131">
        <f>IFERROR(__xludf.DUMMYFUNCTION("""COMPUTED_VALUE"""),141.0)</f>
        <v>141</v>
      </c>
      <c r="AB743" s="131">
        <f>IFERROR(__xludf.DUMMYFUNCTION("""COMPUTED_VALUE"""),157.0)</f>
        <v>157</v>
      </c>
      <c r="AC743" s="131">
        <f>IFERROR(__xludf.DUMMYFUNCTION("""COMPUTED_VALUE"""),9.0)</f>
        <v>9</v>
      </c>
      <c r="AD743" s="131">
        <f>IFERROR(__xludf.DUMMYFUNCTION("""COMPUTED_VALUE"""),9.0)</f>
        <v>9</v>
      </c>
      <c r="AE743" s="131"/>
      <c r="AF743" s="131"/>
      <c r="AG743" s="131"/>
      <c r="AH743" s="131"/>
      <c r="AI743" s="131">
        <f>IFERROR(__xludf.DUMMYFUNCTION("""COMPUTED_VALUE"""),394.0)</f>
        <v>394</v>
      </c>
      <c r="AJ743" s="131" t="str">
        <f>IFERROR(__xludf.DUMMYFUNCTION("""COMPUTED_VALUE"""),"S50,G53")</f>
        <v>S50,G53</v>
      </c>
      <c r="AK743" s="131"/>
    </row>
    <row r="744">
      <c r="A744" s="124"/>
      <c r="B744" s="131"/>
      <c r="C744" s="131"/>
      <c r="D744" s="144">
        <f>IFERROR(__xludf.DUMMYFUNCTION("""COMPUTED_VALUE"""),45848.0)</f>
        <v>45848</v>
      </c>
      <c r="E744" s="147">
        <f>IFERROR(__xludf.DUMMYFUNCTION("""COMPUTED_VALUE"""),45855.0)</f>
        <v>45855</v>
      </c>
      <c r="F744" s="147">
        <f>IFERROR(__xludf.DUMMYFUNCTION("""COMPUTED_VALUE"""),45876.0)</f>
        <v>45876</v>
      </c>
      <c r="G744" s="131" t="str">
        <f>IFERROR(__xludf.DUMMYFUNCTION("""COMPUTED_VALUE"""),"D41-2R")</f>
        <v>D41-2R</v>
      </c>
      <c r="H744" s="126">
        <f>IFERROR(__xludf.DUMMYFUNCTION("""COMPUTED_VALUE"""),141.0)</f>
        <v>141</v>
      </c>
      <c r="I744" s="126">
        <f>IFERROR(__xludf.DUMMYFUNCTION("""COMPUTED_VALUE"""),157.0)</f>
        <v>157</v>
      </c>
      <c r="J744" s="131">
        <f>IFERROR(__xludf.DUMMYFUNCTION("""COMPUTED_VALUE"""),9.0)</f>
        <v>9</v>
      </c>
      <c r="K744" s="131">
        <f>IFERROR(__xludf.DUMMYFUNCTION("""COMPUTED_VALUE"""),9.0)</f>
        <v>9</v>
      </c>
      <c r="L744" s="131"/>
      <c r="M744" s="131"/>
      <c r="N744" s="131"/>
      <c r="O744" s="131"/>
      <c r="P744" s="131">
        <f>IFERROR(__xludf.DUMMYFUNCTION("""COMPUTED_VALUE"""),394.0)</f>
        <v>394</v>
      </c>
      <c r="Q744" s="131" t="str">
        <f>IFERROR(__xludf.DUMMYFUNCTION("""COMPUTED_VALUE"""),"S50,G53")</f>
        <v>S50,G53</v>
      </c>
      <c r="R744" s="131"/>
      <c r="T744" s="131"/>
      <c r="U744" s="131"/>
      <c r="V744" s="131"/>
      <c r="W744" s="144">
        <f>IFERROR(__xludf.DUMMYFUNCTION("""COMPUTED_VALUE"""),45850.0)</f>
        <v>45850</v>
      </c>
      <c r="X744" s="144">
        <f>IFERROR(__xludf.DUMMYFUNCTION("""COMPUTED_VALUE"""),45857.0)</f>
        <v>45857</v>
      </c>
      <c r="Y744" s="144">
        <f>IFERROR(__xludf.DUMMYFUNCTION("""COMPUTED_VALUE"""),45878.0)</f>
        <v>45878</v>
      </c>
      <c r="Z744" s="131" t="str">
        <f>IFERROR(__xludf.DUMMYFUNCTION("""COMPUTED_VALUE"""),"D41-2R")</f>
        <v>D41-2R</v>
      </c>
      <c r="AA744" s="131">
        <f>IFERROR(__xludf.DUMMYFUNCTION("""COMPUTED_VALUE"""),159.0)</f>
        <v>159</v>
      </c>
      <c r="AB744" s="131">
        <f>IFERROR(__xludf.DUMMYFUNCTION("""COMPUTED_VALUE"""),225.0)</f>
        <v>225</v>
      </c>
      <c r="AC744" s="131">
        <f>IFERROR(__xludf.DUMMYFUNCTION("""COMPUTED_VALUE"""),34.0)</f>
        <v>34</v>
      </c>
      <c r="AD744" s="131">
        <f>IFERROR(__xludf.DUMMYFUNCTION("""COMPUTED_VALUE"""),34.0)</f>
        <v>34</v>
      </c>
      <c r="AE744" s="131">
        <f>IFERROR(__xludf.DUMMYFUNCTION("""COMPUTED_VALUE"""),2.0)</f>
        <v>2</v>
      </c>
      <c r="AF744" s="131">
        <f>IFERROR(__xludf.DUMMYFUNCTION("""COMPUTED_VALUE"""),52.0)</f>
        <v>52</v>
      </c>
      <c r="AG744" s="131">
        <f>IFERROR(__xludf.DUMMYFUNCTION("""COMPUTED_VALUE"""),26.0)</f>
        <v>26</v>
      </c>
      <c r="AH744" s="131">
        <f>IFERROR(__xludf.DUMMYFUNCTION("""COMPUTED_VALUE"""),26.0)</f>
        <v>26</v>
      </c>
      <c r="AI744" s="131">
        <f>IFERROR(__xludf.DUMMYFUNCTION("""COMPUTED_VALUE"""),395.0)</f>
        <v>395</v>
      </c>
      <c r="AJ744" s="131"/>
      <c r="AK744" s="131"/>
    </row>
    <row r="745">
      <c r="A745" s="124"/>
      <c r="B745" s="131"/>
      <c r="C745" s="131"/>
      <c r="D745" s="144">
        <f>IFERROR(__xludf.DUMMYFUNCTION("""COMPUTED_VALUE"""),45850.0)</f>
        <v>45850</v>
      </c>
      <c r="E745" s="147">
        <f>IFERROR(__xludf.DUMMYFUNCTION("""COMPUTED_VALUE"""),45857.0)</f>
        <v>45857</v>
      </c>
      <c r="F745" s="147">
        <f>IFERROR(__xludf.DUMMYFUNCTION("""COMPUTED_VALUE"""),45878.0)</f>
        <v>45878</v>
      </c>
      <c r="G745" s="131" t="str">
        <f>IFERROR(__xludf.DUMMYFUNCTION("""COMPUTED_VALUE"""),"D41-2R")</f>
        <v>D41-2R</v>
      </c>
      <c r="H745" s="126">
        <f>IFERROR(__xludf.DUMMYFUNCTION("""COMPUTED_VALUE"""),159.0)</f>
        <v>159</v>
      </c>
      <c r="I745" s="126">
        <f>IFERROR(__xludf.DUMMYFUNCTION("""COMPUTED_VALUE"""),225.0)</f>
        <v>225</v>
      </c>
      <c r="J745" s="131">
        <f>IFERROR(__xludf.DUMMYFUNCTION("""COMPUTED_VALUE"""),34.0)</f>
        <v>34</v>
      </c>
      <c r="K745" s="131">
        <f>IFERROR(__xludf.DUMMYFUNCTION("""COMPUTED_VALUE"""),34.0)</f>
        <v>34</v>
      </c>
      <c r="L745" s="131">
        <f>IFERROR(__xludf.DUMMYFUNCTION("""COMPUTED_VALUE"""),2.0)</f>
        <v>2</v>
      </c>
      <c r="M745" s="131">
        <f>IFERROR(__xludf.DUMMYFUNCTION("""COMPUTED_VALUE"""),52.0)</f>
        <v>52</v>
      </c>
      <c r="N745" s="131">
        <f>IFERROR(__xludf.DUMMYFUNCTION("""COMPUTED_VALUE"""),26.0)</f>
        <v>26</v>
      </c>
      <c r="O745" s="131">
        <f>IFERROR(__xludf.DUMMYFUNCTION("""COMPUTED_VALUE"""),26.0)</f>
        <v>26</v>
      </c>
      <c r="P745" s="131">
        <f>IFERROR(__xludf.DUMMYFUNCTION("""COMPUTED_VALUE"""),395.0)</f>
        <v>395</v>
      </c>
      <c r="Q745" s="131"/>
      <c r="R745" s="131"/>
      <c r="T745" s="131"/>
      <c r="U745" s="131"/>
      <c r="V745" s="131"/>
      <c r="W745" s="144">
        <f>IFERROR(__xludf.DUMMYFUNCTION("""COMPUTED_VALUE"""),45850.0)</f>
        <v>45850</v>
      </c>
      <c r="X745" s="144">
        <f>IFERROR(__xludf.DUMMYFUNCTION("""COMPUTED_VALUE"""),45857.0)</f>
        <v>45857</v>
      </c>
      <c r="Y745" s="144">
        <f>IFERROR(__xludf.DUMMYFUNCTION("""COMPUTED_VALUE"""),45878.0)</f>
        <v>45878</v>
      </c>
      <c r="Z745" s="131" t="str">
        <f>IFERROR(__xludf.DUMMYFUNCTION("""COMPUTED_VALUE"""),"D41-2R")</f>
        <v>D41-2R</v>
      </c>
      <c r="AA745" s="131"/>
      <c r="AB745" s="131"/>
      <c r="AC745" s="131"/>
      <c r="AD745" s="131"/>
      <c r="AE745" s="131">
        <f>IFERROR(__xludf.DUMMYFUNCTION("""COMPUTED_VALUE"""),56.0)</f>
        <v>56</v>
      </c>
      <c r="AF745" s="131">
        <f>IFERROR(__xludf.DUMMYFUNCTION("""COMPUTED_VALUE"""),90.0)</f>
        <v>90</v>
      </c>
      <c r="AG745" s="131">
        <f>IFERROR(__xludf.DUMMYFUNCTION("""COMPUTED_VALUE"""),18.0)</f>
        <v>18</v>
      </c>
      <c r="AH745" s="131">
        <f>IFERROR(__xludf.DUMMYFUNCTION("""COMPUTED_VALUE"""),18.0)</f>
        <v>18</v>
      </c>
      <c r="AI745" s="131">
        <f>IFERROR(__xludf.DUMMYFUNCTION("""COMPUTED_VALUE"""),395.0)</f>
        <v>395</v>
      </c>
      <c r="AJ745" s="131"/>
      <c r="AK745" s="131"/>
    </row>
    <row r="746">
      <c r="A746" s="124"/>
      <c r="B746" s="131"/>
      <c r="C746" s="131"/>
      <c r="D746" s="144">
        <f>IFERROR(__xludf.DUMMYFUNCTION("""COMPUTED_VALUE"""),45850.0)</f>
        <v>45850</v>
      </c>
      <c r="E746" s="147">
        <f>IFERROR(__xludf.DUMMYFUNCTION("""COMPUTED_VALUE"""),45857.0)</f>
        <v>45857</v>
      </c>
      <c r="F746" s="147">
        <f>IFERROR(__xludf.DUMMYFUNCTION("""COMPUTED_VALUE"""),45878.0)</f>
        <v>45878</v>
      </c>
      <c r="G746" s="131" t="str">
        <f>IFERROR(__xludf.DUMMYFUNCTION("""COMPUTED_VALUE"""),"D41-2R")</f>
        <v>D41-2R</v>
      </c>
      <c r="H746" s="126"/>
      <c r="I746" s="126"/>
      <c r="J746" s="131"/>
      <c r="K746" s="131"/>
      <c r="L746" s="131">
        <f>IFERROR(__xludf.DUMMYFUNCTION("""COMPUTED_VALUE"""),56.0)</f>
        <v>56</v>
      </c>
      <c r="M746" s="131">
        <f>IFERROR(__xludf.DUMMYFUNCTION("""COMPUTED_VALUE"""),90.0)</f>
        <v>90</v>
      </c>
      <c r="N746" s="131">
        <f>IFERROR(__xludf.DUMMYFUNCTION("""COMPUTED_VALUE"""),18.0)</f>
        <v>18</v>
      </c>
      <c r="O746" s="131">
        <f>IFERROR(__xludf.DUMMYFUNCTION("""COMPUTED_VALUE"""),18.0)</f>
        <v>18</v>
      </c>
      <c r="P746" s="131">
        <f>IFERROR(__xludf.DUMMYFUNCTION("""COMPUTED_VALUE"""),395.0)</f>
        <v>395</v>
      </c>
      <c r="Q746" s="131"/>
      <c r="R746" s="131"/>
      <c r="T746" s="131"/>
      <c r="U746" s="131"/>
      <c r="V746" s="131"/>
      <c r="W746" s="144">
        <f>IFERROR(__xludf.DUMMYFUNCTION("""COMPUTED_VALUE"""),45850.0)</f>
        <v>45850</v>
      </c>
      <c r="X746" s="144">
        <f>IFERROR(__xludf.DUMMYFUNCTION("""COMPUTED_VALUE"""),45857.0)</f>
        <v>45857</v>
      </c>
      <c r="Y746" s="144">
        <f>IFERROR(__xludf.DUMMYFUNCTION("""COMPUTED_VALUE"""),45878.0)</f>
        <v>45878</v>
      </c>
      <c r="Z746" s="131" t="str">
        <f>IFERROR(__xludf.DUMMYFUNCTION("""COMPUTED_VALUE"""),"D41-2R")</f>
        <v>D41-2R</v>
      </c>
      <c r="AA746" s="131"/>
      <c r="AB746" s="131"/>
      <c r="AC746" s="131"/>
      <c r="AD746" s="131"/>
      <c r="AE746" s="131">
        <f>IFERROR(__xludf.DUMMYFUNCTION("""COMPUTED_VALUE"""),94.0)</f>
        <v>94</v>
      </c>
      <c r="AF746" s="131">
        <f>IFERROR(__xludf.DUMMYFUNCTION("""COMPUTED_VALUE"""),128.0)</f>
        <v>128</v>
      </c>
      <c r="AG746" s="131">
        <f>IFERROR(__xludf.DUMMYFUNCTION("""COMPUTED_VALUE"""),18.0)</f>
        <v>18</v>
      </c>
      <c r="AH746" s="131">
        <f>IFERROR(__xludf.DUMMYFUNCTION("""COMPUTED_VALUE"""),18.0)</f>
        <v>18</v>
      </c>
      <c r="AI746" s="131">
        <f>IFERROR(__xludf.DUMMYFUNCTION("""COMPUTED_VALUE"""),395.0)</f>
        <v>395</v>
      </c>
      <c r="AJ746" s="131"/>
      <c r="AK746" s="131"/>
    </row>
    <row r="747">
      <c r="A747" s="124"/>
      <c r="B747" s="131"/>
      <c r="C747" s="131"/>
      <c r="D747" s="144">
        <f>IFERROR(__xludf.DUMMYFUNCTION("""COMPUTED_VALUE"""),45850.0)</f>
        <v>45850</v>
      </c>
      <c r="E747" s="147">
        <f>IFERROR(__xludf.DUMMYFUNCTION("""COMPUTED_VALUE"""),45857.0)</f>
        <v>45857</v>
      </c>
      <c r="F747" s="147">
        <f>IFERROR(__xludf.DUMMYFUNCTION("""COMPUTED_VALUE"""),45878.0)</f>
        <v>45878</v>
      </c>
      <c r="G747" s="131" t="str">
        <f>IFERROR(__xludf.DUMMYFUNCTION("""COMPUTED_VALUE"""),"D41-2R")</f>
        <v>D41-2R</v>
      </c>
      <c r="H747" s="126"/>
      <c r="I747" s="126"/>
      <c r="J747" s="131"/>
      <c r="K747" s="131"/>
      <c r="L747" s="131">
        <f>IFERROR(__xludf.DUMMYFUNCTION("""COMPUTED_VALUE"""),94.0)</f>
        <v>94</v>
      </c>
      <c r="M747" s="131">
        <f>IFERROR(__xludf.DUMMYFUNCTION("""COMPUTED_VALUE"""),128.0)</f>
        <v>128</v>
      </c>
      <c r="N747" s="131">
        <f>IFERROR(__xludf.DUMMYFUNCTION("""COMPUTED_VALUE"""),18.0)</f>
        <v>18</v>
      </c>
      <c r="O747" s="131">
        <f>IFERROR(__xludf.DUMMYFUNCTION("""COMPUTED_VALUE"""),18.0)</f>
        <v>18</v>
      </c>
      <c r="P747" s="131">
        <f>IFERROR(__xludf.DUMMYFUNCTION("""COMPUTED_VALUE"""),395.0)</f>
        <v>395</v>
      </c>
      <c r="Q747" s="131"/>
      <c r="R747" s="131"/>
      <c r="T747" s="131"/>
      <c r="U747" s="131"/>
      <c r="V747" s="131"/>
      <c r="W747" s="144">
        <f>IFERROR(__xludf.DUMMYFUNCTION("""COMPUTED_VALUE"""),45850.0)</f>
        <v>45850</v>
      </c>
      <c r="X747" s="144">
        <f>IFERROR(__xludf.DUMMYFUNCTION("""COMPUTED_VALUE"""),45857.0)</f>
        <v>45857</v>
      </c>
      <c r="Y747" s="144">
        <f>IFERROR(__xludf.DUMMYFUNCTION("""COMPUTED_VALUE"""),45878.0)</f>
        <v>45878</v>
      </c>
      <c r="Z747" s="131" t="str">
        <f>IFERROR(__xludf.DUMMYFUNCTION("""COMPUTED_VALUE"""),"DC32")</f>
        <v>DC32</v>
      </c>
      <c r="AA747" s="131"/>
      <c r="AB747" s="131"/>
      <c r="AC747" s="131"/>
      <c r="AD747" s="131"/>
      <c r="AE747" s="131">
        <f>IFERROR(__xludf.DUMMYFUNCTION("""COMPUTED_VALUE"""),2.0)</f>
        <v>2</v>
      </c>
      <c r="AF747" s="131">
        <f>IFERROR(__xludf.DUMMYFUNCTION("""COMPUTED_VALUE"""),16.0)</f>
        <v>16</v>
      </c>
      <c r="AG747" s="131">
        <f>IFERROR(__xludf.DUMMYFUNCTION("""COMPUTED_VALUE"""),8.0)</f>
        <v>8</v>
      </c>
      <c r="AH747" s="131">
        <f>IFERROR(__xludf.DUMMYFUNCTION("""COMPUTED_VALUE"""),8.0)</f>
        <v>8</v>
      </c>
      <c r="AI747" s="131">
        <f>IFERROR(__xludf.DUMMYFUNCTION("""COMPUTED_VALUE"""),396.0)</f>
        <v>396</v>
      </c>
      <c r="AJ747" s="131"/>
      <c r="AK747" s="131"/>
    </row>
    <row r="748">
      <c r="A748" s="124"/>
      <c r="B748" s="131"/>
      <c r="C748" s="131"/>
      <c r="D748" s="144">
        <f>IFERROR(__xludf.DUMMYFUNCTION("""COMPUTED_VALUE"""),45850.0)</f>
        <v>45850</v>
      </c>
      <c r="E748" s="147">
        <f>IFERROR(__xludf.DUMMYFUNCTION("""COMPUTED_VALUE"""),45857.0)</f>
        <v>45857</v>
      </c>
      <c r="F748" s="147">
        <f>IFERROR(__xludf.DUMMYFUNCTION("""COMPUTED_VALUE"""),45878.0)</f>
        <v>45878</v>
      </c>
      <c r="G748" s="131" t="str">
        <f>IFERROR(__xludf.DUMMYFUNCTION("""COMPUTED_VALUE"""),"DC32")</f>
        <v>DC32</v>
      </c>
      <c r="H748" s="126"/>
      <c r="I748" s="126"/>
      <c r="J748" s="131"/>
      <c r="K748" s="131"/>
      <c r="L748" s="131">
        <f>IFERROR(__xludf.DUMMYFUNCTION("""COMPUTED_VALUE"""),2.0)</f>
        <v>2</v>
      </c>
      <c r="M748" s="131">
        <f>IFERROR(__xludf.DUMMYFUNCTION("""COMPUTED_VALUE"""),16.0)</f>
        <v>16</v>
      </c>
      <c r="N748" s="131">
        <f>IFERROR(__xludf.DUMMYFUNCTION("""COMPUTED_VALUE"""),8.0)</f>
        <v>8</v>
      </c>
      <c r="O748" s="131">
        <f>IFERROR(__xludf.DUMMYFUNCTION("""COMPUTED_VALUE"""),8.0)</f>
        <v>8</v>
      </c>
      <c r="P748" s="131">
        <f>IFERROR(__xludf.DUMMYFUNCTION("""COMPUTED_VALUE"""),396.0)</f>
        <v>396</v>
      </c>
      <c r="Q748" s="131"/>
      <c r="R748" s="131"/>
      <c r="T748" s="131"/>
      <c r="U748" s="131"/>
      <c r="V748" s="131"/>
      <c r="W748" s="144">
        <f>IFERROR(__xludf.DUMMYFUNCTION("""COMPUTED_VALUE"""),45851.0)</f>
        <v>45851</v>
      </c>
      <c r="X748" s="144">
        <f>IFERROR(__xludf.DUMMYFUNCTION("""COMPUTED_VALUE"""),45858.0)</f>
        <v>45858</v>
      </c>
      <c r="Y748" s="144">
        <f>IFERROR(__xludf.DUMMYFUNCTION("""COMPUTED_VALUE"""),45879.0)</f>
        <v>45879</v>
      </c>
      <c r="Z748" s="131" t="str">
        <f>IFERROR(__xludf.DUMMYFUNCTION("""COMPUTED_VALUE"""),"D41-2R")</f>
        <v>D41-2R</v>
      </c>
      <c r="AA748" s="131">
        <f>IFERROR(__xludf.DUMMYFUNCTION("""COMPUTED_VALUE"""),227.0)</f>
        <v>227</v>
      </c>
      <c r="AB748" s="131">
        <f>IFERROR(__xludf.DUMMYFUNCTION("""COMPUTED_VALUE"""),303.0)</f>
        <v>303</v>
      </c>
      <c r="AC748" s="131">
        <f>IFERROR(__xludf.DUMMYFUNCTION("""COMPUTED_VALUE"""),39.0)</f>
        <v>39</v>
      </c>
      <c r="AD748" s="131">
        <f>IFERROR(__xludf.DUMMYFUNCTION("""COMPUTED_VALUE"""),39.0)</f>
        <v>39</v>
      </c>
      <c r="AE748" s="131">
        <f>IFERROR(__xludf.DUMMYFUNCTION("""COMPUTED_VALUE"""),142.0)</f>
        <v>142</v>
      </c>
      <c r="AF748" s="131">
        <f>IFERROR(__xludf.DUMMYFUNCTION("""COMPUTED_VALUE"""),142.0)</f>
        <v>142</v>
      </c>
      <c r="AG748" s="131">
        <f>IFERROR(__xludf.DUMMYFUNCTION("""COMPUTED_VALUE"""),1.0)</f>
        <v>1</v>
      </c>
      <c r="AH748" s="131">
        <f>IFERROR(__xludf.DUMMYFUNCTION("""COMPUTED_VALUE"""),1.0)</f>
        <v>1</v>
      </c>
      <c r="AI748" s="131">
        <f>IFERROR(__xludf.DUMMYFUNCTION("""COMPUTED_VALUE"""),397.0)</f>
        <v>397</v>
      </c>
      <c r="AJ748" s="131"/>
      <c r="AK748" s="131"/>
    </row>
    <row r="749">
      <c r="A749" s="124"/>
      <c r="B749" s="131"/>
      <c r="C749" s="131"/>
      <c r="D749" s="144">
        <f>IFERROR(__xludf.DUMMYFUNCTION("""COMPUTED_VALUE"""),45851.0)</f>
        <v>45851</v>
      </c>
      <c r="E749" s="147">
        <f>IFERROR(__xludf.DUMMYFUNCTION("""COMPUTED_VALUE"""),45858.0)</f>
        <v>45858</v>
      </c>
      <c r="F749" s="147">
        <f>IFERROR(__xludf.DUMMYFUNCTION("""COMPUTED_VALUE"""),45879.0)</f>
        <v>45879</v>
      </c>
      <c r="G749" s="131" t="str">
        <f>IFERROR(__xludf.DUMMYFUNCTION("""COMPUTED_VALUE"""),"D41-2R")</f>
        <v>D41-2R</v>
      </c>
      <c r="H749" s="126">
        <f>IFERROR(__xludf.DUMMYFUNCTION("""COMPUTED_VALUE"""),227.0)</f>
        <v>227</v>
      </c>
      <c r="I749" s="126">
        <f>IFERROR(__xludf.DUMMYFUNCTION("""COMPUTED_VALUE"""),303.0)</f>
        <v>303</v>
      </c>
      <c r="J749" s="131">
        <f>IFERROR(__xludf.DUMMYFUNCTION("""COMPUTED_VALUE"""),39.0)</f>
        <v>39</v>
      </c>
      <c r="K749" s="131">
        <f>IFERROR(__xludf.DUMMYFUNCTION("""COMPUTED_VALUE"""),39.0)</f>
        <v>39</v>
      </c>
      <c r="L749" s="131">
        <f>IFERROR(__xludf.DUMMYFUNCTION("""COMPUTED_VALUE"""),142.0)</f>
        <v>142</v>
      </c>
      <c r="M749" s="131">
        <f>IFERROR(__xludf.DUMMYFUNCTION("""COMPUTED_VALUE"""),142.0)</f>
        <v>142</v>
      </c>
      <c r="N749" s="131">
        <f>IFERROR(__xludf.DUMMYFUNCTION("""COMPUTED_VALUE"""),1.0)</f>
        <v>1</v>
      </c>
      <c r="O749" s="131">
        <f>IFERROR(__xludf.DUMMYFUNCTION("""COMPUTED_VALUE"""),1.0)</f>
        <v>1</v>
      </c>
      <c r="P749" s="131">
        <f>IFERROR(__xludf.DUMMYFUNCTION("""COMPUTED_VALUE"""),397.0)</f>
        <v>397</v>
      </c>
      <c r="Q749" s="131"/>
      <c r="R749" s="131"/>
      <c r="T749" s="131"/>
      <c r="U749" s="131"/>
      <c r="V749" s="131"/>
      <c r="W749" s="144">
        <f>IFERROR(__xludf.DUMMYFUNCTION("""COMPUTED_VALUE"""),45851.0)</f>
        <v>45851</v>
      </c>
      <c r="X749" s="144">
        <f>IFERROR(__xludf.DUMMYFUNCTION("""COMPUTED_VALUE"""),45858.0)</f>
        <v>45858</v>
      </c>
      <c r="Y749" s="144">
        <f>IFERROR(__xludf.DUMMYFUNCTION("""COMPUTED_VALUE"""),45879.0)</f>
        <v>45879</v>
      </c>
      <c r="Z749" s="131" t="str">
        <f>IFERROR(__xludf.DUMMYFUNCTION("""COMPUTED_VALUE"""),"D41-2R")</f>
        <v>D41-2R</v>
      </c>
      <c r="AA749" s="131"/>
      <c r="AB749" s="131"/>
      <c r="AC749" s="131"/>
      <c r="AD749" s="131"/>
      <c r="AE749" s="131">
        <f>IFERROR(__xludf.DUMMYFUNCTION("""COMPUTED_VALUE"""),146.0)</f>
        <v>146</v>
      </c>
      <c r="AF749" s="131">
        <f>IFERROR(__xludf.DUMMYFUNCTION("""COMPUTED_VALUE"""),190.0)</f>
        <v>190</v>
      </c>
      <c r="AG749" s="131">
        <f>IFERROR(__xludf.DUMMYFUNCTION("""COMPUTED_VALUE"""),23.0)</f>
        <v>23</v>
      </c>
      <c r="AH749" s="131">
        <f>IFERROR(__xludf.DUMMYFUNCTION("""COMPUTED_VALUE"""),23.0)</f>
        <v>23</v>
      </c>
      <c r="AI749" s="131">
        <f>IFERROR(__xludf.DUMMYFUNCTION("""COMPUTED_VALUE"""),397.0)</f>
        <v>397</v>
      </c>
      <c r="AJ749" s="131"/>
      <c r="AK749" s="131"/>
    </row>
    <row r="750">
      <c r="A750" s="124"/>
      <c r="B750" s="131"/>
      <c r="C750" s="131"/>
      <c r="D750" s="144">
        <f>IFERROR(__xludf.DUMMYFUNCTION("""COMPUTED_VALUE"""),45851.0)</f>
        <v>45851</v>
      </c>
      <c r="E750" s="147">
        <f>IFERROR(__xludf.DUMMYFUNCTION("""COMPUTED_VALUE"""),45858.0)</f>
        <v>45858</v>
      </c>
      <c r="F750" s="147">
        <f>IFERROR(__xludf.DUMMYFUNCTION("""COMPUTED_VALUE"""),45879.0)</f>
        <v>45879</v>
      </c>
      <c r="G750" s="131" t="str">
        <f>IFERROR(__xludf.DUMMYFUNCTION("""COMPUTED_VALUE"""),"D41-2R")</f>
        <v>D41-2R</v>
      </c>
      <c r="H750" s="126"/>
      <c r="I750" s="126"/>
      <c r="J750" s="131"/>
      <c r="K750" s="131"/>
      <c r="L750" s="131">
        <f>IFERROR(__xludf.DUMMYFUNCTION("""COMPUTED_VALUE"""),146.0)</f>
        <v>146</v>
      </c>
      <c r="M750" s="131">
        <f>IFERROR(__xludf.DUMMYFUNCTION("""COMPUTED_VALUE"""),190.0)</f>
        <v>190</v>
      </c>
      <c r="N750" s="131">
        <f>IFERROR(__xludf.DUMMYFUNCTION("""COMPUTED_VALUE"""),23.0)</f>
        <v>23</v>
      </c>
      <c r="O750" s="131">
        <f>IFERROR(__xludf.DUMMYFUNCTION("""COMPUTED_VALUE"""),23.0)</f>
        <v>23</v>
      </c>
      <c r="P750" s="131">
        <f>IFERROR(__xludf.DUMMYFUNCTION("""COMPUTED_VALUE"""),397.0)</f>
        <v>397</v>
      </c>
      <c r="Q750" s="131"/>
      <c r="R750" s="131"/>
      <c r="T750" s="131"/>
      <c r="U750" s="131"/>
      <c r="V750" s="131"/>
      <c r="W750" s="144">
        <f>IFERROR(__xludf.DUMMYFUNCTION("""COMPUTED_VALUE"""),45851.0)</f>
        <v>45851</v>
      </c>
      <c r="X750" s="144">
        <f>IFERROR(__xludf.DUMMYFUNCTION("""COMPUTED_VALUE"""),45858.0)</f>
        <v>45858</v>
      </c>
      <c r="Y750" s="144">
        <f>IFERROR(__xludf.DUMMYFUNCTION("""COMPUTED_VALUE"""),45879.0)</f>
        <v>45879</v>
      </c>
      <c r="Z750" s="131" t="str">
        <f>IFERROR(__xludf.DUMMYFUNCTION("""COMPUTED_VALUE"""),"D41-2R")</f>
        <v>D41-2R</v>
      </c>
      <c r="AA750" s="131"/>
      <c r="AB750" s="131"/>
      <c r="AC750" s="131"/>
      <c r="AD750" s="131"/>
      <c r="AE750" s="131">
        <f>IFERROR(__xludf.DUMMYFUNCTION("""COMPUTED_VALUE"""),194.0)</f>
        <v>194</v>
      </c>
      <c r="AF750" s="131">
        <f>IFERROR(__xludf.DUMMYFUNCTION("""COMPUTED_VALUE"""),228.0)</f>
        <v>228</v>
      </c>
      <c r="AG750" s="131">
        <f>IFERROR(__xludf.DUMMYFUNCTION("""COMPUTED_VALUE"""),18.0)</f>
        <v>18</v>
      </c>
      <c r="AH750" s="131">
        <f>IFERROR(__xludf.DUMMYFUNCTION("""COMPUTED_VALUE"""),18.0)</f>
        <v>18</v>
      </c>
      <c r="AI750" s="131">
        <f>IFERROR(__xludf.DUMMYFUNCTION("""COMPUTED_VALUE"""),397.0)</f>
        <v>397</v>
      </c>
      <c r="AJ750" s="131"/>
      <c r="AK750" s="131"/>
    </row>
    <row r="751">
      <c r="A751" s="124"/>
      <c r="B751" s="131"/>
      <c r="C751" s="131"/>
      <c r="D751" s="144">
        <f>IFERROR(__xludf.DUMMYFUNCTION("""COMPUTED_VALUE"""),45851.0)</f>
        <v>45851</v>
      </c>
      <c r="E751" s="147">
        <f>IFERROR(__xludf.DUMMYFUNCTION("""COMPUTED_VALUE"""),45858.0)</f>
        <v>45858</v>
      </c>
      <c r="F751" s="147">
        <f>IFERROR(__xludf.DUMMYFUNCTION("""COMPUTED_VALUE"""),45879.0)</f>
        <v>45879</v>
      </c>
      <c r="G751" s="131" t="str">
        <f>IFERROR(__xludf.DUMMYFUNCTION("""COMPUTED_VALUE"""),"D41-2R")</f>
        <v>D41-2R</v>
      </c>
      <c r="H751" s="126"/>
      <c r="I751" s="126"/>
      <c r="J751" s="131"/>
      <c r="K751" s="131"/>
      <c r="L751" s="131">
        <f>IFERROR(__xludf.DUMMYFUNCTION("""COMPUTED_VALUE"""),194.0)</f>
        <v>194</v>
      </c>
      <c r="M751" s="131">
        <f>IFERROR(__xludf.DUMMYFUNCTION("""COMPUTED_VALUE"""),228.0)</f>
        <v>228</v>
      </c>
      <c r="N751" s="131">
        <f>IFERROR(__xludf.DUMMYFUNCTION("""COMPUTED_VALUE"""),18.0)</f>
        <v>18</v>
      </c>
      <c r="O751" s="131">
        <f>IFERROR(__xludf.DUMMYFUNCTION("""COMPUTED_VALUE"""),18.0)</f>
        <v>18</v>
      </c>
      <c r="P751" s="131">
        <f>IFERROR(__xludf.DUMMYFUNCTION("""COMPUTED_VALUE"""),397.0)</f>
        <v>397</v>
      </c>
      <c r="Q751" s="131"/>
      <c r="R751" s="131"/>
      <c r="T751" s="131"/>
      <c r="U751" s="131"/>
      <c r="V751" s="131"/>
      <c r="W751" s="144">
        <f>IFERROR(__xludf.DUMMYFUNCTION("""COMPUTED_VALUE"""),45851.0)</f>
        <v>45851</v>
      </c>
      <c r="X751" s="144">
        <f>IFERROR(__xludf.DUMMYFUNCTION("""COMPUTED_VALUE"""),45858.0)</f>
        <v>45858</v>
      </c>
      <c r="Y751" s="144">
        <f>IFERROR(__xludf.DUMMYFUNCTION("""COMPUTED_VALUE"""),45879.0)</f>
        <v>45879</v>
      </c>
      <c r="Z751" s="131"/>
      <c r="AA751" s="131"/>
      <c r="AB751" s="131"/>
      <c r="AC751" s="131"/>
      <c r="AD751" s="131"/>
      <c r="AE751" s="131"/>
      <c r="AF751" s="131"/>
      <c r="AG751" s="131"/>
      <c r="AH751" s="131"/>
      <c r="AI751" s="131">
        <f>IFERROR(__xludf.DUMMYFUNCTION("""COMPUTED_VALUE"""),398.0)</f>
        <v>398</v>
      </c>
      <c r="AJ751" s="131"/>
      <c r="AK751" s="131"/>
    </row>
    <row r="752">
      <c r="A752" s="124"/>
      <c r="B752" s="131"/>
      <c r="C752" s="131"/>
      <c r="D752" s="144">
        <f>IFERROR(__xludf.DUMMYFUNCTION("""COMPUTED_VALUE"""),45851.0)</f>
        <v>45851</v>
      </c>
      <c r="E752" s="147">
        <f>IFERROR(__xludf.DUMMYFUNCTION("""COMPUTED_VALUE"""),45858.0)</f>
        <v>45858</v>
      </c>
      <c r="F752" s="147">
        <f>IFERROR(__xludf.DUMMYFUNCTION("""COMPUTED_VALUE"""),45879.0)</f>
        <v>45879</v>
      </c>
      <c r="G752" s="131"/>
      <c r="H752" s="126"/>
      <c r="I752" s="126"/>
      <c r="J752" s="131"/>
      <c r="K752" s="131"/>
      <c r="L752" s="131"/>
      <c r="M752" s="131"/>
      <c r="N752" s="131"/>
      <c r="O752" s="131"/>
      <c r="P752" s="131">
        <f>IFERROR(__xludf.DUMMYFUNCTION("""COMPUTED_VALUE"""),398.0)</f>
        <v>398</v>
      </c>
      <c r="Q752" s="131"/>
      <c r="R752" s="131"/>
      <c r="T752" s="131"/>
      <c r="U752" s="131"/>
      <c r="V752" s="131"/>
      <c r="W752" s="144">
        <f>IFERROR(__xludf.DUMMYFUNCTION("""COMPUTED_VALUE"""),45851.0)</f>
        <v>45851</v>
      </c>
      <c r="X752" s="144">
        <f>IFERROR(__xludf.DUMMYFUNCTION("""COMPUTED_VALUE"""),45858.0)</f>
        <v>45858</v>
      </c>
      <c r="Y752" s="144">
        <f>IFERROR(__xludf.DUMMYFUNCTION("""COMPUTED_VALUE"""),45879.0)</f>
        <v>45879</v>
      </c>
      <c r="Z752" s="131" t="str">
        <f>IFERROR(__xludf.DUMMYFUNCTION("""COMPUTED_VALUE"""),"DC32")</f>
        <v>DC32</v>
      </c>
      <c r="AA752" s="131">
        <f>IFERROR(__xludf.DUMMYFUNCTION("""COMPUTED_VALUE"""),18.0)</f>
        <v>18</v>
      </c>
      <c r="AB752" s="131">
        <f>IFERROR(__xludf.DUMMYFUNCTION("""COMPUTED_VALUE"""),24.0)</f>
        <v>24</v>
      </c>
      <c r="AC752" s="131">
        <f>IFERROR(__xludf.DUMMYFUNCTION("""COMPUTED_VALUE"""),4.0)</f>
        <v>4</v>
      </c>
      <c r="AD752" s="131">
        <f>IFERROR(__xludf.DUMMYFUNCTION("""COMPUTED_VALUE"""),4.0)</f>
        <v>4</v>
      </c>
      <c r="AE752" s="131">
        <f>IFERROR(__xludf.DUMMYFUNCTION("""COMPUTED_VALUE"""),8.0)</f>
        <v>8</v>
      </c>
      <c r="AF752" s="131">
        <f>IFERROR(__xludf.DUMMYFUNCTION("""COMPUTED_VALUE"""),24.0)</f>
        <v>24</v>
      </c>
      <c r="AG752" s="131">
        <f>IFERROR(__xludf.DUMMYFUNCTION("""COMPUTED_VALUE"""),9.0)</f>
        <v>9</v>
      </c>
      <c r="AH752" s="131">
        <f>IFERROR(__xludf.DUMMYFUNCTION("""COMPUTED_VALUE"""),9.0)</f>
        <v>9</v>
      </c>
      <c r="AI752" s="131">
        <f>IFERROR(__xludf.DUMMYFUNCTION("""COMPUTED_VALUE"""),399.0)</f>
        <v>399</v>
      </c>
      <c r="AJ752" s="131"/>
      <c r="AK752" s="131"/>
    </row>
    <row r="753">
      <c r="A753" s="124"/>
      <c r="B753" s="131"/>
      <c r="C753" s="131"/>
      <c r="D753" s="144">
        <f>IFERROR(__xludf.DUMMYFUNCTION("""COMPUTED_VALUE"""),45851.0)</f>
        <v>45851</v>
      </c>
      <c r="E753" s="147">
        <f>IFERROR(__xludf.DUMMYFUNCTION("""COMPUTED_VALUE"""),45858.0)</f>
        <v>45858</v>
      </c>
      <c r="F753" s="147">
        <f>IFERROR(__xludf.DUMMYFUNCTION("""COMPUTED_VALUE"""),45879.0)</f>
        <v>45879</v>
      </c>
      <c r="G753" s="131" t="str">
        <f>IFERROR(__xludf.DUMMYFUNCTION("""COMPUTED_VALUE"""),"DC32")</f>
        <v>DC32</v>
      </c>
      <c r="H753" s="126">
        <f>IFERROR(__xludf.DUMMYFUNCTION("""COMPUTED_VALUE"""),18.0)</f>
        <v>18</v>
      </c>
      <c r="I753" s="126">
        <f>IFERROR(__xludf.DUMMYFUNCTION("""COMPUTED_VALUE"""),24.0)</f>
        <v>24</v>
      </c>
      <c r="J753" s="131">
        <f>IFERROR(__xludf.DUMMYFUNCTION("""COMPUTED_VALUE"""),4.0)</f>
        <v>4</v>
      </c>
      <c r="K753" s="131">
        <f>IFERROR(__xludf.DUMMYFUNCTION("""COMPUTED_VALUE"""),4.0)</f>
        <v>4</v>
      </c>
      <c r="L753" s="131">
        <f>IFERROR(__xludf.DUMMYFUNCTION("""COMPUTED_VALUE"""),8.0)</f>
        <v>8</v>
      </c>
      <c r="M753" s="131">
        <f>IFERROR(__xludf.DUMMYFUNCTION("""COMPUTED_VALUE"""),24.0)</f>
        <v>24</v>
      </c>
      <c r="N753" s="131">
        <f>IFERROR(__xludf.DUMMYFUNCTION("""COMPUTED_VALUE"""),9.0)</f>
        <v>9</v>
      </c>
      <c r="O753" s="131">
        <f>IFERROR(__xludf.DUMMYFUNCTION("""COMPUTED_VALUE"""),9.0)</f>
        <v>9</v>
      </c>
      <c r="P753" s="131">
        <f>IFERROR(__xludf.DUMMYFUNCTION("""COMPUTED_VALUE"""),399.0)</f>
        <v>399</v>
      </c>
      <c r="Q753" s="131"/>
      <c r="R753" s="131"/>
      <c r="T753" s="131"/>
      <c r="U753" s="131"/>
      <c r="V753" s="131"/>
      <c r="W753" s="144">
        <f>IFERROR(__xludf.DUMMYFUNCTION("""COMPUTED_VALUE"""),45851.0)</f>
        <v>45851</v>
      </c>
      <c r="X753" s="144">
        <f>IFERROR(__xludf.DUMMYFUNCTION("""COMPUTED_VALUE"""),45858.0)</f>
        <v>45858</v>
      </c>
      <c r="Y753" s="144">
        <f>IFERROR(__xludf.DUMMYFUNCTION("""COMPUTED_VALUE"""),45879.0)</f>
        <v>45879</v>
      </c>
      <c r="Z753" s="131" t="str">
        <f>IFERROR(__xludf.DUMMYFUNCTION("""COMPUTED_VALUE"""),"DC32")</f>
        <v>DC32</v>
      </c>
      <c r="AA753" s="131"/>
      <c r="AB753" s="131"/>
      <c r="AC753" s="131"/>
      <c r="AD753" s="131"/>
      <c r="AE753" s="131">
        <f>IFERROR(__xludf.DUMMYFUNCTION("""COMPUTED_VALUE"""),554.0)</f>
        <v>554</v>
      </c>
      <c r="AF753" s="131">
        <f>IFERROR(__xludf.DUMMYFUNCTION("""COMPUTED_VALUE"""),556.0)</f>
        <v>556</v>
      </c>
      <c r="AG753" s="131">
        <f>IFERROR(__xludf.DUMMYFUNCTION("""COMPUTED_VALUE"""),2.0)</f>
        <v>2</v>
      </c>
      <c r="AH753" s="131">
        <f>IFERROR(__xludf.DUMMYFUNCTION("""COMPUTED_VALUE"""),2.0)</f>
        <v>2</v>
      </c>
      <c r="AI753" s="131">
        <f>IFERROR(__xludf.DUMMYFUNCTION("""COMPUTED_VALUE"""),399.0)</f>
        <v>399</v>
      </c>
      <c r="AJ753" s="131"/>
      <c r="AK753" s="131"/>
    </row>
    <row r="754">
      <c r="A754" s="124"/>
      <c r="B754" s="131"/>
      <c r="C754" s="131"/>
      <c r="D754" s="144">
        <f>IFERROR(__xludf.DUMMYFUNCTION("""COMPUTED_VALUE"""),45851.0)</f>
        <v>45851</v>
      </c>
      <c r="E754" s="147">
        <f>IFERROR(__xludf.DUMMYFUNCTION("""COMPUTED_VALUE"""),45858.0)</f>
        <v>45858</v>
      </c>
      <c r="F754" s="147">
        <f>IFERROR(__xludf.DUMMYFUNCTION("""COMPUTED_VALUE"""),45879.0)</f>
        <v>45879</v>
      </c>
      <c r="G754" s="131" t="str">
        <f>IFERROR(__xludf.DUMMYFUNCTION("""COMPUTED_VALUE"""),"DC32")</f>
        <v>DC32</v>
      </c>
      <c r="H754" s="126"/>
      <c r="I754" s="126"/>
      <c r="J754" s="131"/>
      <c r="K754" s="131"/>
      <c r="L754" s="131">
        <f>IFERROR(__xludf.DUMMYFUNCTION("""COMPUTED_VALUE"""),554.0)</f>
        <v>554</v>
      </c>
      <c r="M754" s="131">
        <f>IFERROR(__xludf.DUMMYFUNCTION("""COMPUTED_VALUE"""),556.0)</f>
        <v>556</v>
      </c>
      <c r="N754" s="131">
        <f>IFERROR(__xludf.DUMMYFUNCTION("""COMPUTED_VALUE"""),2.0)</f>
        <v>2</v>
      </c>
      <c r="O754" s="131">
        <f>IFERROR(__xludf.DUMMYFUNCTION("""COMPUTED_VALUE"""),2.0)</f>
        <v>2</v>
      </c>
      <c r="P754" s="131">
        <f>IFERROR(__xludf.DUMMYFUNCTION("""COMPUTED_VALUE"""),399.0)</f>
        <v>399</v>
      </c>
      <c r="Q754" s="131"/>
      <c r="R754" s="131"/>
      <c r="T754" s="131"/>
      <c r="U754" s="131"/>
      <c r="V754" s="131"/>
      <c r="W754" s="144">
        <f>IFERROR(__xludf.DUMMYFUNCTION("""COMPUTED_VALUE"""),45851.0)</f>
        <v>45851</v>
      </c>
      <c r="X754" s="144">
        <f>IFERROR(__xludf.DUMMYFUNCTION("""COMPUTED_VALUE"""),45858.0)</f>
        <v>45858</v>
      </c>
      <c r="Y754" s="144">
        <f>IFERROR(__xludf.DUMMYFUNCTION("""COMPUTED_VALUE"""),45879.0)</f>
        <v>45879</v>
      </c>
      <c r="Z754" s="131" t="str">
        <f>IFERROR(__xludf.DUMMYFUNCTION("""COMPUTED_VALUE"""),"DC33")</f>
        <v>DC33</v>
      </c>
      <c r="AA754" s="131">
        <f>IFERROR(__xludf.DUMMYFUNCTION("""COMPUTED_VALUE"""),3.0)</f>
        <v>3</v>
      </c>
      <c r="AB754" s="131">
        <f>IFERROR(__xludf.DUMMYFUNCTION("""COMPUTED_VALUE"""),9.0)</f>
        <v>9</v>
      </c>
      <c r="AC754" s="131">
        <f>IFERROR(__xludf.DUMMYFUNCTION("""COMPUTED_VALUE"""),4.0)</f>
        <v>4</v>
      </c>
      <c r="AD754" s="131">
        <f>IFERROR(__xludf.DUMMYFUNCTION("""COMPUTED_VALUE"""),4.0)</f>
        <v>4</v>
      </c>
      <c r="AE754" s="131"/>
      <c r="AF754" s="131"/>
      <c r="AG754" s="131"/>
      <c r="AH754" s="131"/>
      <c r="AI754" s="131">
        <f>IFERROR(__xludf.DUMMYFUNCTION("""COMPUTED_VALUE"""),399.0)</f>
        <v>399</v>
      </c>
      <c r="AJ754" s="131"/>
      <c r="AK754" s="131"/>
    </row>
    <row r="755">
      <c r="A755" s="124"/>
      <c r="B755" s="131"/>
      <c r="C755" s="131"/>
      <c r="D755" s="144">
        <f>IFERROR(__xludf.DUMMYFUNCTION("""COMPUTED_VALUE"""),45851.0)</f>
        <v>45851</v>
      </c>
      <c r="E755" s="147">
        <f>IFERROR(__xludf.DUMMYFUNCTION("""COMPUTED_VALUE"""),45858.0)</f>
        <v>45858</v>
      </c>
      <c r="F755" s="147">
        <f>IFERROR(__xludf.DUMMYFUNCTION("""COMPUTED_VALUE"""),45879.0)</f>
        <v>45879</v>
      </c>
      <c r="G755" s="131" t="str">
        <f>IFERROR(__xludf.DUMMYFUNCTION("""COMPUTED_VALUE"""),"DC33")</f>
        <v>DC33</v>
      </c>
      <c r="H755" s="126">
        <f>IFERROR(__xludf.DUMMYFUNCTION("""COMPUTED_VALUE"""),3.0)</f>
        <v>3</v>
      </c>
      <c r="I755" s="126">
        <f>IFERROR(__xludf.DUMMYFUNCTION("""COMPUTED_VALUE"""),9.0)</f>
        <v>9</v>
      </c>
      <c r="J755" s="131">
        <f>IFERROR(__xludf.DUMMYFUNCTION("""COMPUTED_VALUE"""),4.0)</f>
        <v>4</v>
      </c>
      <c r="K755" s="131">
        <f>IFERROR(__xludf.DUMMYFUNCTION("""COMPUTED_VALUE"""),4.0)</f>
        <v>4</v>
      </c>
      <c r="L755" s="131"/>
      <c r="M755" s="131"/>
      <c r="N755" s="131"/>
      <c r="O755" s="131"/>
      <c r="P755" s="131">
        <f>IFERROR(__xludf.DUMMYFUNCTION("""COMPUTED_VALUE"""),399.0)</f>
        <v>399</v>
      </c>
      <c r="Q755" s="131"/>
      <c r="R755" s="131"/>
      <c r="T755" s="131"/>
      <c r="U755" s="131"/>
      <c r="V755" s="131"/>
      <c r="W755" s="144">
        <f>IFERROR(__xludf.DUMMYFUNCTION("""COMPUTED_VALUE"""),45852.0)</f>
        <v>45852</v>
      </c>
      <c r="X755" s="144">
        <f>IFERROR(__xludf.DUMMYFUNCTION("""COMPUTED_VALUE"""),45859.0)</f>
        <v>45859</v>
      </c>
      <c r="Y755" s="144">
        <f>IFERROR(__xludf.DUMMYFUNCTION("""COMPUTED_VALUE"""),45880.0)</f>
        <v>45880</v>
      </c>
      <c r="Z755" s="131" t="str">
        <f>IFERROR(__xludf.DUMMYFUNCTION("""COMPUTED_VALUE"""),"D41-2R")</f>
        <v>D41-2R</v>
      </c>
      <c r="AA755" s="131"/>
      <c r="AB755" s="131"/>
      <c r="AC755" s="131"/>
      <c r="AD755" s="131"/>
      <c r="AE755" s="131">
        <f>IFERROR(__xludf.DUMMYFUNCTION("""COMPUTED_VALUE"""),230.0)</f>
        <v>230</v>
      </c>
      <c r="AF755" s="131">
        <f>IFERROR(__xludf.DUMMYFUNCTION("""COMPUTED_VALUE"""),240.0)</f>
        <v>240</v>
      </c>
      <c r="AG755" s="131">
        <f>IFERROR(__xludf.DUMMYFUNCTION("""COMPUTED_VALUE"""),6.0)</f>
        <v>6</v>
      </c>
      <c r="AH755" s="131">
        <f>IFERROR(__xludf.DUMMYFUNCTION("""COMPUTED_VALUE"""),6.0)</f>
        <v>6</v>
      </c>
      <c r="AI755" s="131">
        <f>IFERROR(__xludf.DUMMYFUNCTION("""COMPUTED_VALUE"""),400.0)</f>
        <v>400</v>
      </c>
      <c r="AJ755" s="131"/>
      <c r="AK755" s="131"/>
    </row>
    <row r="756">
      <c r="A756" s="124"/>
      <c r="B756" s="131"/>
      <c r="C756" s="131"/>
      <c r="D756" s="144">
        <f>IFERROR(__xludf.DUMMYFUNCTION("""COMPUTED_VALUE"""),45852.0)</f>
        <v>45852</v>
      </c>
      <c r="E756" s="147">
        <f>IFERROR(__xludf.DUMMYFUNCTION("""COMPUTED_VALUE"""),45859.0)</f>
        <v>45859</v>
      </c>
      <c r="F756" s="147">
        <f>IFERROR(__xludf.DUMMYFUNCTION("""COMPUTED_VALUE"""),45880.0)</f>
        <v>45880</v>
      </c>
      <c r="G756" s="131" t="str">
        <f>IFERROR(__xludf.DUMMYFUNCTION("""COMPUTED_VALUE"""),"D41-2R")</f>
        <v>D41-2R</v>
      </c>
      <c r="H756" s="126"/>
      <c r="I756" s="126"/>
      <c r="J756" s="131"/>
      <c r="K756" s="131"/>
      <c r="L756" s="131">
        <f>IFERROR(__xludf.DUMMYFUNCTION("""COMPUTED_VALUE"""),230.0)</f>
        <v>230</v>
      </c>
      <c r="M756" s="131">
        <f>IFERROR(__xludf.DUMMYFUNCTION("""COMPUTED_VALUE"""),240.0)</f>
        <v>240</v>
      </c>
      <c r="N756" s="131">
        <f>IFERROR(__xludf.DUMMYFUNCTION("""COMPUTED_VALUE"""),6.0)</f>
        <v>6</v>
      </c>
      <c r="O756" s="131">
        <f>IFERROR(__xludf.DUMMYFUNCTION("""COMPUTED_VALUE"""),6.0)</f>
        <v>6</v>
      </c>
      <c r="P756" s="131">
        <f>IFERROR(__xludf.DUMMYFUNCTION("""COMPUTED_VALUE"""),400.0)</f>
        <v>400</v>
      </c>
      <c r="Q756" s="131"/>
      <c r="R756" s="131"/>
      <c r="T756" s="131"/>
      <c r="U756" s="131"/>
      <c r="V756" s="131"/>
      <c r="W756" s="144">
        <f>IFERROR(__xludf.DUMMYFUNCTION("""COMPUTED_VALUE"""),45852.0)</f>
        <v>45852</v>
      </c>
      <c r="X756" s="144">
        <f>IFERROR(__xludf.DUMMYFUNCTION("""COMPUTED_VALUE"""),45859.0)</f>
        <v>45859</v>
      </c>
      <c r="Y756" s="144">
        <f>IFERROR(__xludf.DUMMYFUNCTION("""COMPUTED_VALUE"""),45880.0)</f>
        <v>45880</v>
      </c>
      <c r="Z756" s="131" t="str">
        <f>IFERROR(__xludf.DUMMYFUNCTION("""COMPUTED_VALUE"""),"D41-2R")</f>
        <v>D41-2R</v>
      </c>
      <c r="AA756" s="131"/>
      <c r="AB756" s="131"/>
      <c r="AC756" s="131"/>
      <c r="AD756" s="131"/>
      <c r="AE756" s="131">
        <f>IFERROR(__xludf.DUMMYFUNCTION("""COMPUTED_VALUE"""),244.0)</f>
        <v>244</v>
      </c>
      <c r="AF756" s="131">
        <f>IFERROR(__xludf.DUMMYFUNCTION("""COMPUTED_VALUE"""),300.0)</f>
        <v>300</v>
      </c>
      <c r="AG756" s="131">
        <f>IFERROR(__xludf.DUMMYFUNCTION("""COMPUTED_VALUE"""),29.0)</f>
        <v>29</v>
      </c>
      <c r="AH756" s="131">
        <f>IFERROR(__xludf.DUMMYFUNCTION("""COMPUTED_VALUE"""),29.0)</f>
        <v>29</v>
      </c>
      <c r="AI756" s="131">
        <f>IFERROR(__xludf.DUMMYFUNCTION("""COMPUTED_VALUE"""),400.0)</f>
        <v>400</v>
      </c>
      <c r="AJ756" s="131"/>
      <c r="AK756" s="131"/>
    </row>
    <row r="757">
      <c r="A757" s="124"/>
      <c r="B757" s="131"/>
      <c r="C757" s="131"/>
      <c r="D757" s="144">
        <f>IFERROR(__xludf.DUMMYFUNCTION("""COMPUTED_VALUE"""),45852.0)</f>
        <v>45852</v>
      </c>
      <c r="E757" s="147">
        <f>IFERROR(__xludf.DUMMYFUNCTION("""COMPUTED_VALUE"""),45859.0)</f>
        <v>45859</v>
      </c>
      <c r="F757" s="147">
        <f>IFERROR(__xludf.DUMMYFUNCTION("""COMPUTED_VALUE"""),45880.0)</f>
        <v>45880</v>
      </c>
      <c r="G757" s="131" t="str">
        <f>IFERROR(__xludf.DUMMYFUNCTION("""COMPUTED_VALUE"""),"D41-2R")</f>
        <v>D41-2R</v>
      </c>
      <c r="H757" s="126"/>
      <c r="I757" s="126"/>
      <c r="J757" s="131"/>
      <c r="K757" s="131"/>
      <c r="L757" s="131">
        <f>IFERROR(__xludf.DUMMYFUNCTION("""COMPUTED_VALUE"""),244.0)</f>
        <v>244</v>
      </c>
      <c r="M757" s="131">
        <f>IFERROR(__xludf.DUMMYFUNCTION("""COMPUTED_VALUE"""),300.0)</f>
        <v>300</v>
      </c>
      <c r="N757" s="131">
        <f>IFERROR(__xludf.DUMMYFUNCTION("""COMPUTED_VALUE"""),29.0)</f>
        <v>29</v>
      </c>
      <c r="O757" s="131">
        <f>IFERROR(__xludf.DUMMYFUNCTION("""COMPUTED_VALUE"""),29.0)</f>
        <v>29</v>
      </c>
      <c r="P757" s="131">
        <f>IFERROR(__xludf.DUMMYFUNCTION("""COMPUTED_VALUE"""),400.0)</f>
        <v>400</v>
      </c>
      <c r="Q757" s="131"/>
      <c r="R757" s="131"/>
      <c r="T757" s="131"/>
      <c r="U757" s="131"/>
      <c r="V757" s="131"/>
      <c r="W757" s="144">
        <f>IFERROR(__xludf.DUMMYFUNCTION("""COMPUTED_VALUE"""),45852.0)</f>
        <v>45852</v>
      </c>
      <c r="X757" s="144">
        <f>IFERROR(__xludf.DUMMYFUNCTION("""COMPUTED_VALUE"""),45859.0)</f>
        <v>45859</v>
      </c>
      <c r="Y757" s="144">
        <f>IFERROR(__xludf.DUMMYFUNCTION("""COMPUTED_VALUE"""),45880.0)</f>
        <v>45880</v>
      </c>
      <c r="Z757" s="131" t="str">
        <f>IFERROR(__xludf.DUMMYFUNCTION("""COMPUTED_VALUE"""),"D42-3L")</f>
        <v>D42-3L</v>
      </c>
      <c r="AA757" s="131">
        <f>IFERROR(__xludf.DUMMYFUNCTION("""COMPUTED_VALUE"""),1.0)</f>
        <v>1</v>
      </c>
      <c r="AB757" s="131">
        <f>IFERROR(__xludf.DUMMYFUNCTION("""COMPUTED_VALUE"""),103.0)</f>
        <v>103</v>
      </c>
      <c r="AC757" s="131">
        <f>IFERROR(__xludf.DUMMYFUNCTION("""COMPUTED_VALUE"""),52.0)</f>
        <v>52</v>
      </c>
      <c r="AD757" s="131">
        <f>IFERROR(__xludf.DUMMYFUNCTION("""COMPUTED_VALUE"""),52.0)</f>
        <v>52</v>
      </c>
      <c r="AE757" s="131"/>
      <c r="AF757" s="131"/>
      <c r="AG757" s="131"/>
      <c r="AH757" s="131"/>
      <c r="AI757" s="131">
        <f>IFERROR(__xludf.DUMMYFUNCTION("""COMPUTED_VALUE"""),401.0)</f>
        <v>401</v>
      </c>
      <c r="AJ757" s="131"/>
      <c r="AK757" s="131"/>
    </row>
    <row r="758">
      <c r="A758" s="124"/>
      <c r="B758" s="131"/>
      <c r="C758" s="131"/>
      <c r="D758" s="144">
        <f>IFERROR(__xludf.DUMMYFUNCTION("""COMPUTED_VALUE"""),45852.0)</f>
        <v>45852</v>
      </c>
      <c r="E758" s="147">
        <f>IFERROR(__xludf.DUMMYFUNCTION("""COMPUTED_VALUE"""),45859.0)</f>
        <v>45859</v>
      </c>
      <c r="F758" s="147">
        <f>IFERROR(__xludf.DUMMYFUNCTION("""COMPUTED_VALUE"""),45880.0)</f>
        <v>45880</v>
      </c>
      <c r="G758" s="131" t="str">
        <f>IFERROR(__xludf.DUMMYFUNCTION("""COMPUTED_VALUE"""),"D42-3L")</f>
        <v>D42-3L</v>
      </c>
      <c r="H758" s="126">
        <f>IFERROR(__xludf.DUMMYFUNCTION("""COMPUTED_VALUE"""),1.0)</f>
        <v>1</v>
      </c>
      <c r="I758" s="126">
        <f>IFERROR(__xludf.DUMMYFUNCTION("""COMPUTED_VALUE"""),103.0)</f>
        <v>103</v>
      </c>
      <c r="J758" s="131">
        <f>IFERROR(__xludf.DUMMYFUNCTION("""COMPUTED_VALUE"""),52.0)</f>
        <v>52</v>
      </c>
      <c r="K758" s="131">
        <f>IFERROR(__xludf.DUMMYFUNCTION("""COMPUTED_VALUE"""),52.0)</f>
        <v>52</v>
      </c>
      <c r="L758" s="131"/>
      <c r="M758" s="131"/>
      <c r="N758" s="131"/>
      <c r="O758" s="131"/>
      <c r="P758" s="131">
        <f>IFERROR(__xludf.DUMMYFUNCTION("""COMPUTED_VALUE"""),401.0)</f>
        <v>401</v>
      </c>
      <c r="Q758" s="131"/>
      <c r="R758" s="131"/>
      <c r="T758" s="131"/>
      <c r="U758" s="131"/>
      <c r="V758" s="131"/>
      <c r="W758" s="144">
        <f>IFERROR(__xludf.DUMMYFUNCTION("""COMPUTED_VALUE"""),45853.0)</f>
        <v>45853</v>
      </c>
      <c r="X758" s="144">
        <f>IFERROR(__xludf.DUMMYFUNCTION("""COMPUTED_VALUE"""),45860.0)</f>
        <v>45860</v>
      </c>
      <c r="Y758" s="144">
        <f>IFERROR(__xludf.DUMMYFUNCTION("""COMPUTED_VALUE"""),45881.0)</f>
        <v>45881</v>
      </c>
      <c r="Z758" s="131" t="str">
        <f>IFERROR(__xludf.DUMMYFUNCTION("""COMPUTED_VALUE"""),"D42-3L")</f>
        <v>D42-3L</v>
      </c>
      <c r="AA758" s="131">
        <f>IFERROR(__xludf.DUMMYFUNCTION("""COMPUTED_VALUE"""),105.0)</f>
        <v>105</v>
      </c>
      <c r="AB758" s="131">
        <f>IFERROR(__xludf.DUMMYFUNCTION("""COMPUTED_VALUE"""),307.0)</f>
        <v>307</v>
      </c>
      <c r="AC758" s="131">
        <f>IFERROR(__xludf.DUMMYFUNCTION("""COMPUTED_VALUE"""),102.0)</f>
        <v>102</v>
      </c>
      <c r="AD758" s="131">
        <f>IFERROR(__xludf.DUMMYFUNCTION("""COMPUTED_VALUE"""),102.0)</f>
        <v>102</v>
      </c>
      <c r="AE758" s="131"/>
      <c r="AF758" s="131"/>
      <c r="AG758" s="131"/>
      <c r="AH758" s="131"/>
      <c r="AI758" s="131">
        <f>IFERROR(__xludf.DUMMYFUNCTION("""COMPUTED_VALUE"""),402.0)</f>
        <v>402</v>
      </c>
      <c r="AJ758" s="131"/>
      <c r="AK758" s="131"/>
    </row>
    <row r="759">
      <c r="A759" s="124"/>
      <c r="B759" s="131"/>
      <c r="C759" s="131"/>
      <c r="D759" s="144">
        <f>IFERROR(__xludf.DUMMYFUNCTION("""COMPUTED_VALUE"""),45853.0)</f>
        <v>45853</v>
      </c>
      <c r="E759" s="147">
        <f>IFERROR(__xludf.DUMMYFUNCTION("""COMPUTED_VALUE"""),45860.0)</f>
        <v>45860</v>
      </c>
      <c r="F759" s="147">
        <f>IFERROR(__xludf.DUMMYFUNCTION("""COMPUTED_VALUE"""),45881.0)</f>
        <v>45881</v>
      </c>
      <c r="G759" s="131" t="str">
        <f>IFERROR(__xludf.DUMMYFUNCTION("""COMPUTED_VALUE"""),"D42-3L")</f>
        <v>D42-3L</v>
      </c>
      <c r="H759" s="126">
        <f>IFERROR(__xludf.DUMMYFUNCTION("""COMPUTED_VALUE"""),105.0)</f>
        <v>105</v>
      </c>
      <c r="I759" s="126">
        <f>IFERROR(__xludf.DUMMYFUNCTION("""COMPUTED_VALUE"""),307.0)</f>
        <v>307</v>
      </c>
      <c r="J759" s="131">
        <f>IFERROR(__xludf.DUMMYFUNCTION("""COMPUTED_VALUE"""),102.0)</f>
        <v>102</v>
      </c>
      <c r="K759" s="131">
        <f>IFERROR(__xludf.DUMMYFUNCTION("""COMPUTED_VALUE"""),102.0)</f>
        <v>102</v>
      </c>
      <c r="L759" s="131"/>
      <c r="M759" s="131"/>
      <c r="N759" s="131"/>
      <c r="O759" s="131"/>
      <c r="P759" s="131">
        <f>IFERROR(__xludf.DUMMYFUNCTION("""COMPUTED_VALUE"""),402.0)</f>
        <v>402</v>
      </c>
      <c r="Q759" s="131"/>
      <c r="R759" s="131"/>
      <c r="T759" s="131"/>
      <c r="U759" s="131"/>
      <c r="V759" s="131"/>
      <c r="W759" s="144">
        <f>IFERROR(__xludf.DUMMYFUNCTION("""COMPUTED_VALUE"""),45853.0)</f>
        <v>45853</v>
      </c>
      <c r="X759" s="144">
        <f>IFERROR(__xludf.DUMMYFUNCTION("""COMPUTED_VALUE"""),45860.0)</f>
        <v>45860</v>
      </c>
      <c r="Y759" s="144">
        <f>IFERROR(__xludf.DUMMYFUNCTION("""COMPUTED_VALUE"""),45881.0)</f>
        <v>45881</v>
      </c>
      <c r="Z759" s="131" t="str">
        <f>IFERROR(__xludf.DUMMYFUNCTION("""COMPUTED_VALUE"""),"DC42")</f>
        <v>DC42</v>
      </c>
      <c r="AA759" s="131"/>
      <c r="AB759" s="131"/>
      <c r="AC759" s="131"/>
      <c r="AD759" s="131"/>
      <c r="AE759" s="131">
        <f>IFERROR(__xludf.DUMMYFUNCTION("""COMPUTED_VALUE"""),2.0)</f>
        <v>2</v>
      </c>
      <c r="AF759" s="131">
        <f>IFERROR(__xludf.DUMMYFUNCTION("""COMPUTED_VALUE"""),12.0)</f>
        <v>12</v>
      </c>
      <c r="AG759" s="131">
        <f>IFERROR(__xludf.DUMMYFUNCTION("""COMPUTED_VALUE"""),6.0)</f>
        <v>6</v>
      </c>
      <c r="AH759" s="131">
        <f>IFERROR(__xludf.DUMMYFUNCTION("""COMPUTED_VALUE"""),6.0)</f>
        <v>6</v>
      </c>
      <c r="AI759" s="131">
        <f>IFERROR(__xludf.DUMMYFUNCTION("""COMPUTED_VALUE"""),403.0)</f>
        <v>403</v>
      </c>
      <c r="AJ759" s="131"/>
      <c r="AK759" s="131"/>
    </row>
    <row r="760">
      <c r="A760" s="124"/>
      <c r="B760" s="131"/>
      <c r="C760" s="131"/>
      <c r="D760" s="144">
        <f>IFERROR(__xludf.DUMMYFUNCTION("""COMPUTED_VALUE"""),45853.0)</f>
        <v>45853</v>
      </c>
      <c r="E760" s="147">
        <f>IFERROR(__xludf.DUMMYFUNCTION("""COMPUTED_VALUE"""),45860.0)</f>
        <v>45860</v>
      </c>
      <c r="F760" s="147">
        <f>IFERROR(__xludf.DUMMYFUNCTION("""COMPUTED_VALUE"""),45881.0)</f>
        <v>45881</v>
      </c>
      <c r="G760" s="131" t="str">
        <f>IFERROR(__xludf.DUMMYFUNCTION("""COMPUTED_VALUE"""),"DC42")</f>
        <v>DC42</v>
      </c>
      <c r="H760" s="126"/>
      <c r="I760" s="126"/>
      <c r="J760" s="131"/>
      <c r="K760" s="131"/>
      <c r="L760" s="131">
        <f>IFERROR(__xludf.DUMMYFUNCTION("""COMPUTED_VALUE"""),2.0)</f>
        <v>2</v>
      </c>
      <c r="M760" s="131">
        <f>IFERROR(__xludf.DUMMYFUNCTION("""COMPUTED_VALUE"""),12.0)</f>
        <v>12</v>
      </c>
      <c r="N760" s="131">
        <f>IFERROR(__xludf.DUMMYFUNCTION("""COMPUTED_VALUE"""),6.0)</f>
        <v>6</v>
      </c>
      <c r="O760" s="131">
        <f>IFERROR(__xludf.DUMMYFUNCTION("""COMPUTED_VALUE"""),6.0)</f>
        <v>6</v>
      </c>
      <c r="P760" s="131">
        <f>IFERROR(__xludf.DUMMYFUNCTION("""COMPUTED_VALUE"""),403.0)</f>
        <v>403</v>
      </c>
      <c r="Q760" s="131"/>
      <c r="R760" s="131"/>
      <c r="T760" s="131"/>
      <c r="U760" s="131"/>
      <c r="V760" s="131"/>
      <c r="W760" s="144">
        <f>IFERROR(__xludf.DUMMYFUNCTION("""COMPUTED_VALUE"""),45853.0)</f>
        <v>45853</v>
      </c>
      <c r="X760" s="144">
        <f>IFERROR(__xludf.DUMMYFUNCTION("""COMPUTED_VALUE"""),45860.0)</f>
        <v>45860</v>
      </c>
      <c r="Y760" s="144">
        <f>IFERROR(__xludf.DUMMYFUNCTION("""COMPUTED_VALUE"""),45881.0)</f>
        <v>45881</v>
      </c>
      <c r="Z760" s="131" t="str">
        <f>IFERROR(__xludf.DUMMYFUNCTION("""COMPUTED_VALUE"""),"DC41")</f>
        <v>DC41</v>
      </c>
      <c r="AA760" s="131"/>
      <c r="AB760" s="131"/>
      <c r="AC760" s="131"/>
      <c r="AD760" s="131"/>
      <c r="AE760" s="131">
        <f>IFERROR(__xludf.DUMMYFUNCTION("""COMPUTED_VALUE"""),2.0)</f>
        <v>2</v>
      </c>
      <c r="AF760" s="131">
        <f>IFERROR(__xludf.DUMMYFUNCTION("""COMPUTED_VALUE"""),4.0)</f>
        <v>4</v>
      </c>
      <c r="AG760" s="131">
        <f>IFERROR(__xludf.DUMMYFUNCTION("""COMPUTED_VALUE"""),2.0)</f>
        <v>2</v>
      </c>
      <c r="AH760" s="131">
        <f>IFERROR(__xludf.DUMMYFUNCTION("""COMPUTED_VALUE"""),2.0)</f>
        <v>2</v>
      </c>
      <c r="AI760" s="131">
        <f>IFERROR(__xludf.DUMMYFUNCTION("""COMPUTED_VALUE"""),403.0)</f>
        <v>403</v>
      </c>
      <c r="AJ760" s="131"/>
      <c r="AK760" s="131"/>
    </row>
    <row r="761">
      <c r="A761" s="124"/>
      <c r="B761" s="131"/>
      <c r="C761" s="131"/>
      <c r="D761" s="144">
        <f>IFERROR(__xludf.DUMMYFUNCTION("""COMPUTED_VALUE"""),45853.0)</f>
        <v>45853</v>
      </c>
      <c r="E761" s="147">
        <f>IFERROR(__xludf.DUMMYFUNCTION("""COMPUTED_VALUE"""),45860.0)</f>
        <v>45860</v>
      </c>
      <c r="F761" s="147">
        <f>IFERROR(__xludf.DUMMYFUNCTION("""COMPUTED_VALUE"""),45881.0)</f>
        <v>45881</v>
      </c>
      <c r="G761" s="131" t="str">
        <f>IFERROR(__xludf.DUMMYFUNCTION("""COMPUTED_VALUE"""),"DC41")</f>
        <v>DC41</v>
      </c>
      <c r="H761" s="126"/>
      <c r="I761" s="126"/>
      <c r="J761" s="131"/>
      <c r="K761" s="131"/>
      <c r="L761" s="131">
        <f>IFERROR(__xludf.DUMMYFUNCTION("""COMPUTED_VALUE"""),2.0)</f>
        <v>2</v>
      </c>
      <c r="M761" s="131">
        <f>IFERROR(__xludf.DUMMYFUNCTION("""COMPUTED_VALUE"""),4.0)</f>
        <v>4</v>
      </c>
      <c r="N761" s="131">
        <f>IFERROR(__xludf.DUMMYFUNCTION("""COMPUTED_VALUE"""),2.0)</f>
        <v>2</v>
      </c>
      <c r="O761" s="131">
        <f>IFERROR(__xludf.DUMMYFUNCTION("""COMPUTED_VALUE"""),2.0)</f>
        <v>2</v>
      </c>
      <c r="P761" s="131">
        <f>IFERROR(__xludf.DUMMYFUNCTION("""COMPUTED_VALUE"""),403.0)</f>
        <v>403</v>
      </c>
      <c r="Q761" s="131"/>
      <c r="R761" s="131"/>
      <c r="T761" s="131"/>
      <c r="U761" s="131"/>
      <c r="V761" s="131"/>
      <c r="W761" s="144">
        <f>IFERROR(__xludf.DUMMYFUNCTION("""COMPUTED_VALUE"""),45853.0)</f>
        <v>45853</v>
      </c>
      <c r="X761" s="144">
        <f>IFERROR(__xludf.DUMMYFUNCTION("""COMPUTED_VALUE"""),45860.0)</f>
        <v>45860</v>
      </c>
      <c r="Y761" s="144">
        <f>IFERROR(__xludf.DUMMYFUNCTION("""COMPUTED_VALUE"""),45881.0)</f>
        <v>45881</v>
      </c>
      <c r="Z761" s="131" t="str">
        <f>IFERROR(__xludf.DUMMYFUNCTION("""COMPUTED_VALUE"""),"DC37")</f>
        <v>DC37</v>
      </c>
      <c r="AA761" s="131">
        <f>IFERROR(__xludf.DUMMYFUNCTION("""COMPUTED_VALUE"""),1.0)</f>
        <v>1</v>
      </c>
      <c r="AB761" s="131">
        <f>IFERROR(__xludf.DUMMYFUNCTION("""COMPUTED_VALUE"""),3.0)</f>
        <v>3</v>
      </c>
      <c r="AC761" s="131">
        <f>IFERROR(__xludf.DUMMYFUNCTION("""COMPUTED_VALUE"""),2.0)</f>
        <v>2</v>
      </c>
      <c r="AD761" s="131">
        <f>IFERROR(__xludf.DUMMYFUNCTION("""COMPUTED_VALUE"""),2.0)</f>
        <v>2</v>
      </c>
      <c r="AE761" s="131"/>
      <c r="AF761" s="131"/>
      <c r="AG761" s="131"/>
      <c r="AH761" s="131"/>
      <c r="AI761" s="131">
        <f>IFERROR(__xludf.DUMMYFUNCTION("""COMPUTED_VALUE"""),403.0)</f>
        <v>403</v>
      </c>
      <c r="AJ761" s="131"/>
      <c r="AK761" s="131"/>
    </row>
    <row r="762">
      <c r="A762" s="124"/>
      <c r="B762" s="131"/>
      <c r="C762" s="131"/>
      <c r="D762" s="144">
        <f>IFERROR(__xludf.DUMMYFUNCTION("""COMPUTED_VALUE"""),45853.0)</f>
        <v>45853</v>
      </c>
      <c r="E762" s="147">
        <f>IFERROR(__xludf.DUMMYFUNCTION("""COMPUTED_VALUE"""),45860.0)</f>
        <v>45860</v>
      </c>
      <c r="F762" s="147">
        <f>IFERROR(__xludf.DUMMYFUNCTION("""COMPUTED_VALUE"""),45881.0)</f>
        <v>45881</v>
      </c>
      <c r="G762" s="131" t="str">
        <f>IFERROR(__xludf.DUMMYFUNCTION("""COMPUTED_VALUE"""),"DC37")</f>
        <v>DC37</v>
      </c>
      <c r="H762" s="126">
        <f>IFERROR(__xludf.DUMMYFUNCTION("""COMPUTED_VALUE"""),1.0)</f>
        <v>1</v>
      </c>
      <c r="I762" s="126">
        <f>IFERROR(__xludf.DUMMYFUNCTION("""COMPUTED_VALUE"""),3.0)</f>
        <v>3</v>
      </c>
      <c r="J762" s="131">
        <f>IFERROR(__xludf.DUMMYFUNCTION("""COMPUTED_VALUE"""),2.0)</f>
        <v>2</v>
      </c>
      <c r="K762" s="131">
        <f>IFERROR(__xludf.DUMMYFUNCTION("""COMPUTED_VALUE"""),2.0)</f>
        <v>2</v>
      </c>
      <c r="L762" s="131"/>
      <c r="M762" s="131"/>
      <c r="N762" s="131"/>
      <c r="O762" s="131"/>
      <c r="P762" s="131">
        <f>IFERROR(__xludf.DUMMYFUNCTION("""COMPUTED_VALUE"""),403.0)</f>
        <v>403</v>
      </c>
      <c r="Q762" s="131"/>
      <c r="R762" s="131"/>
      <c r="T762" s="131"/>
      <c r="U762" s="131"/>
      <c r="V762" s="131"/>
      <c r="W762" s="144">
        <f>IFERROR(__xludf.DUMMYFUNCTION("""COMPUTED_VALUE"""),45853.0)</f>
        <v>45853</v>
      </c>
      <c r="X762" s="144">
        <f>IFERROR(__xludf.DUMMYFUNCTION("""COMPUTED_VALUE"""),45860.0)</f>
        <v>45860</v>
      </c>
      <c r="Y762" s="144">
        <f>IFERROR(__xludf.DUMMYFUNCTION("""COMPUTED_VALUE"""),45881.0)</f>
        <v>45881</v>
      </c>
      <c r="Z762" s="131" t="str">
        <f>IFERROR(__xludf.DUMMYFUNCTION("""COMPUTED_VALUE"""),"D36-2L")</f>
        <v>D36-2L</v>
      </c>
      <c r="AA762" s="131"/>
      <c r="AB762" s="131"/>
      <c r="AC762" s="131"/>
      <c r="AD762" s="131"/>
      <c r="AE762" s="131">
        <f>IFERROR(__xludf.DUMMYFUNCTION("""COMPUTED_VALUE"""),2.0)</f>
        <v>2</v>
      </c>
      <c r="AF762" s="131">
        <f>IFERROR(__xludf.DUMMYFUNCTION("""COMPUTED_VALUE"""),2.0)</f>
        <v>2</v>
      </c>
      <c r="AG762" s="131">
        <f>IFERROR(__xludf.DUMMYFUNCTION("""COMPUTED_VALUE"""),1.0)</f>
        <v>1</v>
      </c>
      <c r="AH762" s="131">
        <f>IFERROR(__xludf.DUMMYFUNCTION("""COMPUTED_VALUE"""),1.0)</f>
        <v>1</v>
      </c>
      <c r="AI762" s="131">
        <f>IFERROR(__xludf.DUMMYFUNCTION("""COMPUTED_VALUE"""),403.0)</f>
        <v>403</v>
      </c>
      <c r="AJ762" s="131"/>
      <c r="AK762" s="131"/>
    </row>
    <row r="763">
      <c r="A763" s="124"/>
      <c r="B763" s="131"/>
      <c r="C763" s="131"/>
      <c r="D763" s="144">
        <f>IFERROR(__xludf.DUMMYFUNCTION("""COMPUTED_VALUE"""),45853.0)</f>
        <v>45853</v>
      </c>
      <c r="E763" s="147">
        <f>IFERROR(__xludf.DUMMYFUNCTION("""COMPUTED_VALUE"""),45860.0)</f>
        <v>45860</v>
      </c>
      <c r="F763" s="147">
        <f>IFERROR(__xludf.DUMMYFUNCTION("""COMPUTED_VALUE"""),45881.0)</f>
        <v>45881</v>
      </c>
      <c r="G763" s="131" t="str">
        <f>IFERROR(__xludf.DUMMYFUNCTION("""COMPUTED_VALUE"""),"D36-2L")</f>
        <v>D36-2L</v>
      </c>
      <c r="H763" s="126"/>
      <c r="I763" s="126"/>
      <c r="J763" s="131"/>
      <c r="K763" s="131"/>
      <c r="L763" s="131">
        <f>IFERROR(__xludf.DUMMYFUNCTION("""COMPUTED_VALUE"""),2.0)</f>
        <v>2</v>
      </c>
      <c r="M763" s="131">
        <f>IFERROR(__xludf.DUMMYFUNCTION("""COMPUTED_VALUE"""),2.0)</f>
        <v>2</v>
      </c>
      <c r="N763" s="131">
        <f>IFERROR(__xludf.DUMMYFUNCTION("""COMPUTED_VALUE"""),1.0)</f>
        <v>1</v>
      </c>
      <c r="O763" s="131">
        <f>IFERROR(__xludf.DUMMYFUNCTION("""COMPUTED_VALUE"""),1.0)</f>
        <v>1</v>
      </c>
      <c r="P763" s="131">
        <f>IFERROR(__xludf.DUMMYFUNCTION("""COMPUTED_VALUE"""),403.0)</f>
        <v>403</v>
      </c>
      <c r="Q763" s="131"/>
      <c r="R763" s="131"/>
      <c r="T763" s="131"/>
      <c r="U763" s="131"/>
      <c r="V763" s="131"/>
      <c r="W763" s="144">
        <f>IFERROR(__xludf.DUMMYFUNCTION("""COMPUTED_VALUE"""),45853.0)</f>
        <v>45853</v>
      </c>
      <c r="X763" s="144">
        <f>IFERROR(__xludf.DUMMYFUNCTION("""COMPUTED_VALUE"""),45860.0)</f>
        <v>45860</v>
      </c>
      <c r="Y763" s="144">
        <f>IFERROR(__xludf.DUMMYFUNCTION("""COMPUTED_VALUE"""),45881.0)</f>
        <v>45881</v>
      </c>
      <c r="Z763" s="131" t="str">
        <f>IFERROR(__xludf.DUMMYFUNCTION("""COMPUTED_VALUE"""),"DC36")</f>
        <v>DC36</v>
      </c>
      <c r="AA763" s="131"/>
      <c r="AB763" s="131"/>
      <c r="AC763" s="131"/>
      <c r="AD763" s="131"/>
      <c r="AE763" s="131">
        <f>IFERROR(__xludf.DUMMYFUNCTION("""COMPUTED_VALUE"""),60.0)</f>
        <v>60</v>
      </c>
      <c r="AF763" s="131">
        <f>IFERROR(__xludf.DUMMYFUNCTION("""COMPUTED_VALUE"""),64.0)</f>
        <v>64</v>
      </c>
      <c r="AG763" s="131">
        <f>IFERROR(__xludf.DUMMYFUNCTION("""COMPUTED_VALUE"""),3.0)</f>
        <v>3</v>
      </c>
      <c r="AH763" s="131">
        <f>IFERROR(__xludf.DUMMYFUNCTION("""COMPUTED_VALUE"""),3.0)</f>
        <v>3</v>
      </c>
      <c r="AI763" s="131">
        <f>IFERROR(__xludf.DUMMYFUNCTION("""COMPUTED_VALUE"""),403.0)</f>
        <v>403</v>
      </c>
      <c r="AJ763" s="131"/>
      <c r="AK763" s="131"/>
    </row>
    <row r="764">
      <c r="A764" s="124"/>
      <c r="B764" s="131"/>
      <c r="C764" s="131"/>
      <c r="D764" s="144">
        <f>IFERROR(__xludf.DUMMYFUNCTION("""COMPUTED_VALUE"""),45853.0)</f>
        <v>45853</v>
      </c>
      <c r="E764" s="147">
        <f>IFERROR(__xludf.DUMMYFUNCTION("""COMPUTED_VALUE"""),45860.0)</f>
        <v>45860</v>
      </c>
      <c r="F764" s="147">
        <f>IFERROR(__xludf.DUMMYFUNCTION("""COMPUTED_VALUE"""),45881.0)</f>
        <v>45881</v>
      </c>
      <c r="G764" s="131" t="str">
        <f>IFERROR(__xludf.DUMMYFUNCTION("""COMPUTED_VALUE"""),"DC36")</f>
        <v>DC36</v>
      </c>
      <c r="H764" s="126"/>
      <c r="I764" s="126"/>
      <c r="J764" s="131"/>
      <c r="K764" s="131"/>
      <c r="L764" s="131">
        <f>IFERROR(__xludf.DUMMYFUNCTION("""COMPUTED_VALUE"""),60.0)</f>
        <v>60</v>
      </c>
      <c r="M764" s="131">
        <f>IFERROR(__xludf.DUMMYFUNCTION("""COMPUTED_VALUE"""),64.0)</f>
        <v>64</v>
      </c>
      <c r="N764" s="131">
        <f>IFERROR(__xludf.DUMMYFUNCTION("""COMPUTED_VALUE"""),3.0)</f>
        <v>3</v>
      </c>
      <c r="O764" s="131">
        <f>IFERROR(__xludf.DUMMYFUNCTION("""COMPUTED_VALUE"""),3.0)</f>
        <v>3</v>
      </c>
      <c r="P764" s="131">
        <f>IFERROR(__xludf.DUMMYFUNCTION("""COMPUTED_VALUE"""),403.0)</f>
        <v>403</v>
      </c>
      <c r="Q764" s="131"/>
      <c r="R764" s="131"/>
      <c r="T764" s="131"/>
      <c r="U764" s="131"/>
      <c r="V764" s="131"/>
      <c r="W764" s="144">
        <f>IFERROR(__xludf.DUMMYFUNCTION("""COMPUTED_VALUE"""),45853.0)</f>
        <v>45853</v>
      </c>
      <c r="X764" s="144">
        <f>IFERROR(__xludf.DUMMYFUNCTION("""COMPUTED_VALUE"""),45860.0)</f>
        <v>45860</v>
      </c>
      <c r="Y764" s="144">
        <f>IFERROR(__xludf.DUMMYFUNCTION("""COMPUTED_VALUE"""),45881.0)</f>
        <v>45881</v>
      </c>
      <c r="Z764" s="131" t="str">
        <f>IFERROR(__xludf.DUMMYFUNCTION("""COMPUTED_VALUE"""),"BRG10")</f>
        <v>BRG10</v>
      </c>
      <c r="AA764" s="131">
        <f>IFERROR(__xludf.DUMMYFUNCTION("""COMPUTED_VALUE"""),581.0)</f>
        <v>581</v>
      </c>
      <c r="AB764" s="131">
        <f>IFERROR(__xludf.DUMMYFUNCTION("""COMPUTED_VALUE"""),581.0)</f>
        <v>581</v>
      </c>
      <c r="AC764" s="131">
        <f>IFERROR(__xludf.DUMMYFUNCTION("""COMPUTED_VALUE"""),1.0)</f>
        <v>1</v>
      </c>
      <c r="AD764" s="131">
        <f>IFERROR(__xludf.DUMMYFUNCTION("""COMPUTED_VALUE"""),1.0)</f>
        <v>1</v>
      </c>
      <c r="AE764" s="131">
        <f>IFERROR(__xludf.DUMMYFUNCTION("""COMPUTED_VALUE"""),558.0)</f>
        <v>558</v>
      </c>
      <c r="AF764" s="131">
        <f>IFERROR(__xludf.DUMMYFUNCTION("""COMPUTED_VALUE"""),590.0)</f>
        <v>590</v>
      </c>
      <c r="AG764" s="131">
        <f>IFERROR(__xludf.DUMMYFUNCTION("""COMPUTED_VALUE"""),17.0)</f>
        <v>17</v>
      </c>
      <c r="AH764" s="131">
        <f>IFERROR(__xludf.DUMMYFUNCTION("""COMPUTED_VALUE"""),17.0)</f>
        <v>17</v>
      </c>
      <c r="AI764" s="131">
        <f>IFERROR(__xludf.DUMMYFUNCTION("""COMPUTED_VALUE"""),404.0)</f>
        <v>404</v>
      </c>
      <c r="AJ764" s="131"/>
      <c r="AK764" s="131"/>
    </row>
    <row r="765">
      <c r="A765" s="124"/>
      <c r="B765" s="131"/>
      <c r="C765" s="131"/>
      <c r="D765" s="144">
        <f>IFERROR(__xludf.DUMMYFUNCTION("""COMPUTED_VALUE"""),45853.0)</f>
        <v>45853</v>
      </c>
      <c r="E765" s="147">
        <f>IFERROR(__xludf.DUMMYFUNCTION("""COMPUTED_VALUE"""),45860.0)</f>
        <v>45860</v>
      </c>
      <c r="F765" s="147">
        <f>IFERROR(__xludf.DUMMYFUNCTION("""COMPUTED_VALUE"""),45881.0)</f>
        <v>45881</v>
      </c>
      <c r="G765" s="131" t="str">
        <f>IFERROR(__xludf.DUMMYFUNCTION("""COMPUTED_VALUE"""),"BRG10")</f>
        <v>BRG10</v>
      </c>
      <c r="H765" s="126">
        <f>IFERROR(__xludf.DUMMYFUNCTION("""COMPUTED_VALUE"""),581.0)</f>
        <v>581</v>
      </c>
      <c r="I765" s="126">
        <f>IFERROR(__xludf.DUMMYFUNCTION("""COMPUTED_VALUE"""),581.0)</f>
        <v>581</v>
      </c>
      <c r="J765" s="131">
        <f>IFERROR(__xludf.DUMMYFUNCTION("""COMPUTED_VALUE"""),1.0)</f>
        <v>1</v>
      </c>
      <c r="K765" s="131">
        <f>IFERROR(__xludf.DUMMYFUNCTION("""COMPUTED_VALUE"""),1.0)</f>
        <v>1</v>
      </c>
      <c r="L765" s="131">
        <f>IFERROR(__xludf.DUMMYFUNCTION("""COMPUTED_VALUE"""),558.0)</f>
        <v>558</v>
      </c>
      <c r="M765" s="131">
        <f>IFERROR(__xludf.DUMMYFUNCTION("""COMPUTED_VALUE"""),590.0)</f>
        <v>590</v>
      </c>
      <c r="N765" s="131">
        <f>IFERROR(__xludf.DUMMYFUNCTION("""COMPUTED_VALUE"""),17.0)</f>
        <v>17</v>
      </c>
      <c r="O765" s="131">
        <f>IFERROR(__xludf.DUMMYFUNCTION("""COMPUTED_VALUE"""),17.0)</f>
        <v>17</v>
      </c>
      <c r="P765" s="131">
        <f>IFERROR(__xludf.DUMMYFUNCTION("""COMPUTED_VALUE"""),404.0)</f>
        <v>404</v>
      </c>
      <c r="Q765" s="131"/>
      <c r="R765" s="131"/>
      <c r="T765" s="131"/>
      <c r="U765" s="131"/>
      <c r="V765" s="131"/>
      <c r="W765" s="144">
        <f>IFERROR(__xludf.DUMMYFUNCTION("""COMPUTED_VALUE"""),45853.0)</f>
        <v>45853</v>
      </c>
      <c r="X765" s="144">
        <f>IFERROR(__xludf.DUMMYFUNCTION("""COMPUTED_VALUE"""),45860.0)</f>
        <v>45860</v>
      </c>
      <c r="Y765" s="144">
        <f>IFERROR(__xludf.DUMMYFUNCTION("""COMPUTED_VALUE"""),45881.0)</f>
        <v>45881</v>
      </c>
      <c r="Z765" s="131" t="str">
        <f>IFERROR(__xludf.DUMMYFUNCTION("""COMPUTED_VALUE"""),"BRG10")</f>
        <v>BRG10</v>
      </c>
      <c r="AA765" s="131">
        <f>IFERROR(__xludf.DUMMYFUNCTION("""COMPUTED_VALUE"""),587.0)</f>
        <v>587</v>
      </c>
      <c r="AB765" s="131">
        <f>IFERROR(__xludf.DUMMYFUNCTION("""COMPUTED_VALUE"""),589.0)</f>
        <v>589</v>
      </c>
      <c r="AC765" s="131">
        <f>IFERROR(__xludf.DUMMYFUNCTION("""COMPUTED_VALUE"""),2.0)</f>
        <v>2</v>
      </c>
      <c r="AD765" s="131">
        <f>IFERROR(__xludf.DUMMYFUNCTION("""COMPUTED_VALUE"""),2.0)</f>
        <v>2</v>
      </c>
      <c r="AE765" s="131"/>
      <c r="AF765" s="131"/>
      <c r="AG765" s="131"/>
      <c r="AH765" s="131"/>
      <c r="AI765" s="131">
        <f>IFERROR(__xludf.DUMMYFUNCTION("""COMPUTED_VALUE"""),404.0)</f>
        <v>404</v>
      </c>
      <c r="AJ765" s="131"/>
      <c r="AK765" s="131"/>
    </row>
    <row r="766">
      <c r="A766" s="124"/>
      <c r="B766" s="131"/>
      <c r="C766" s="131"/>
      <c r="D766" s="144">
        <f>IFERROR(__xludf.DUMMYFUNCTION("""COMPUTED_VALUE"""),45853.0)</f>
        <v>45853</v>
      </c>
      <c r="E766" s="147">
        <f>IFERROR(__xludf.DUMMYFUNCTION("""COMPUTED_VALUE"""),45860.0)</f>
        <v>45860</v>
      </c>
      <c r="F766" s="147">
        <f>IFERROR(__xludf.DUMMYFUNCTION("""COMPUTED_VALUE"""),45881.0)</f>
        <v>45881</v>
      </c>
      <c r="G766" s="131" t="str">
        <f>IFERROR(__xludf.DUMMYFUNCTION("""COMPUTED_VALUE"""),"BRG10")</f>
        <v>BRG10</v>
      </c>
      <c r="H766" s="126">
        <f>IFERROR(__xludf.DUMMYFUNCTION("""COMPUTED_VALUE"""),587.0)</f>
        <v>587</v>
      </c>
      <c r="I766" s="126">
        <f>IFERROR(__xludf.DUMMYFUNCTION("""COMPUTED_VALUE"""),589.0)</f>
        <v>589</v>
      </c>
      <c r="J766" s="131">
        <f>IFERROR(__xludf.DUMMYFUNCTION("""COMPUTED_VALUE"""),2.0)</f>
        <v>2</v>
      </c>
      <c r="K766" s="131">
        <f>IFERROR(__xludf.DUMMYFUNCTION("""COMPUTED_VALUE"""),2.0)</f>
        <v>2</v>
      </c>
      <c r="L766" s="131"/>
      <c r="M766" s="131"/>
      <c r="N766" s="131"/>
      <c r="O766" s="131"/>
      <c r="P766" s="131">
        <f>IFERROR(__xludf.DUMMYFUNCTION("""COMPUTED_VALUE"""),404.0)</f>
        <v>404</v>
      </c>
      <c r="Q766" s="131"/>
      <c r="R766" s="131"/>
      <c r="T766" s="131"/>
      <c r="U766" s="131"/>
      <c r="V766" s="131"/>
      <c r="W766" s="144">
        <f>IFERROR(__xludf.DUMMYFUNCTION("""COMPUTED_VALUE"""),45853.0)</f>
        <v>45853</v>
      </c>
      <c r="X766" s="144">
        <f>IFERROR(__xludf.DUMMYFUNCTION("""COMPUTED_VALUE"""),45860.0)</f>
        <v>45860</v>
      </c>
      <c r="Y766" s="144">
        <f>IFERROR(__xludf.DUMMYFUNCTION("""COMPUTED_VALUE"""),45881.0)</f>
        <v>45881</v>
      </c>
      <c r="Z766" s="131" t="str">
        <f>IFERROR(__xludf.DUMMYFUNCTION("""COMPUTED_VALUE"""),"BRG12")</f>
        <v>BRG12</v>
      </c>
      <c r="AA766" s="131">
        <f>IFERROR(__xludf.DUMMYFUNCTION("""COMPUTED_VALUE"""),2775.0)</f>
        <v>2775</v>
      </c>
      <c r="AB766" s="131">
        <f>IFERROR(__xludf.DUMMYFUNCTION("""COMPUTED_VALUE"""),2779.0)</f>
        <v>2779</v>
      </c>
      <c r="AC766" s="131">
        <f>IFERROR(__xludf.DUMMYFUNCTION("""COMPUTED_VALUE"""),3.0)</f>
        <v>3</v>
      </c>
      <c r="AD766" s="131">
        <f>IFERROR(__xludf.DUMMYFUNCTION("""COMPUTED_VALUE"""),3.0)</f>
        <v>3</v>
      </c>
      <c r="AE766" s="131">
        <f>IFERROR(__xludf.DUMMYFUNCTION("""COMPUTED_VALUE"""),2774.0)</f>
        <v>2774</v>
      </c>
      <c r="AF766" s="131">
        <f>IFERROR(__xludf.DUMMYFUNCTION("""COMPUTED_VALUE"""),2778.0)</f>
        <v>2778</v>
      </c>
      <c r="AG766" s="131">
        <f>IFERROR(__xludf.DUMMYFUNCTION("""COMPUTED_VALUE"""),3.0)</f>
        <v>3</v>
      </c>
      <c r="AH766" s="131">
        <f>IFERROR(__xludf.DUMMYFUNCTION("""COMPUTED_VALUE"""),3.0)</f>
        <v>3</v>
      </c>
      <c r="AI766" s="131">
        <f>IFERROR(__xludf.DUMMYFUNCTION("""COMPUTED_VALUE"""),404.0)</f>
        <v>404</v>
      </c>
      <c r="AJ766" s="131"/>
      <c r="AK766" s="131"/>
    </row>
    <row r="767">
      <c r="A767" s="124"/>
      <c r="B767" s="131"/>
      <c r="C767" s="131"/>
      <c r="D767" s="144">
        <f>IFERROR(__xludf.DUMMYFUNCTION("""COMPUTED_VALUE"""),45853.0)</f>
        <v>45853</v>
      </c>
      <c r="E767" s="147">
        <f>IFERROR(__xludf.DUMMYFUNCTION("""COMPUTED_VALUE"""),45860.0)</f>
        <v>45860</v>
      </c>
      <c r="F767" s="147">
        <f>IFERROR(__xludf.DUMMYFUNCTION("""COMPUTED_VALUE"""),45881.0)</f>
        <v>45881</v>
      </c>
      <c r="G767" s="131" t="str">
        <f>IFERROR(__xludf.DUMMYFUNCTION("""COMPUTED_VALUE"""),"BRG12")</f>
        <v>BRG12</v>
      </c>
      <c r="H767" s="126">
        <f>IFERROR(__xludf.DUMMYFUNCTION("""COMPUTED_VALUE"""),2775.0)</f>
        <v>2775</v>
      </c>
      <c r="I767" s="126">
        <f>IFERROR(__xludf.DUMMYFUNCTION("""COMPUTED_VALUE"""),2779.0)</f>
        <v>2779</v>
      </c>
      <c r="J767" s="131">
        <f>IFERROR(__xludf.DUMMYFUNCTION("""COMPUTED_VALUE"""),3.0)</f>
        <v>3</v>
      </c>
      <c r="K767" s="131">
        <f>IFERROR(__xludf.DUMMYFUNCTION("""COMPUTED_VALUE"""),3.0)</f>
        <v>3</v>
      </c>
      <c r="L767" s="131">
        <f>IFERROR(__xludf.DUMMYFUNCTION("""COMPUTED_VALUE"""),2774.0)</f>
        <v>2774</v>
      </c>
      <c r="M767" s="131">
        <f>IFERROR(__xludf.DUMMYFUNCTION("""COMPUTED_VALUE"""),2778.0)</f>
        <v>2778</v>
      </c>
      <c r="N767" s="131">
        <f>IFERROR(__xludf.DUMMYFUNCTION("""COMPUTED_VALUE"""),3.0)</f>
        <v>3</v>
      </c>
      <c r="O767" s="131">
        <f>IFERROR(__xludf.DUMMYFUNCTION("""COMPUTED_VALUE"""),3.0)</f>
        <v>3</v>
      </c>
      <c r="P767" s="131">
        <f>IFERROR(__xludf.DUMMYFUNCTION("""COMPUTED_VALUE"""),404.0)</f>
        <v>404</v>
      </c>
      <c r="Q767" s="131"/>
      <c r="R767" s="131"/>
      <c r="T767" s="131"/>
      <c r="U767" s="131"/>
      <c r="V767" s="131"/>
      <c r="W767" s="144">
        <f>IFERROR(__xludf.DUMMYFUNCTION("""COMPUTED_VALUE"""),45853.0)</f>
        <v>45853</v>
      </c>
      <c r="X767" s="144">
        <f>IFERROR(__xludf.DUMMYFUNCTION("""COMPUTED_VALUE"""),45860.0)</f>
        <v>45860</v>
      </c>
      <c r="Y767" s="144">
        <f>IFERROR(__xludf.DUMMYFUNCTION("""COMPUTED_VALUE"""),45881.0)</f>
        <v>45881</v>
      </c>
      <c r="Z767" s="131" t="str">
        <f>IFERROR(__xludf.DUMMYFUNCTION("""COMPUTED_VALUE"""),"BRG11")</f>
        <v>BRG11</v>
      </c>
      <c r="AA767" s="131">
        <f>IFERROR(__xludf.DUMMYFUNCTION("""COMPUTED_VALUE"""),1.0)</f>
        <v>1</v>
      </c>
      <c r="AB767" s="131">
        <f>IFERROR(__xludf.DUMMYFUNCTION("""COMPUTED_VALUE"""),5.0)</f>
        <v>5</v>
      </c>
      <c r="AC767" s="131">
        <f>IFERROR(__xludf.DUMMYFUNCTION("""COMPUTED_VALUE"""),3.0)</f>
        <v>3</v>
      </c>
      <c r="AD767" s="131">
        <f>IFERROR(__xludf.DUMMYFUNCTION("""COMPUTED_VALUE"""),3.0)</f>
        <v>3</v>
      </c>
      <c r="AE767" s="131">
        <f>IFERROR(__xludf.DUMMYFUNCTION("""COMPUTED_VALUE"""),2.0)</f>
        <v>2</v>
      </c>
      <c r="AF767" s="131">
        <f>IFERROR(__xludf.DUMMYFUNCTION("""COMPUTED_VALUE"""),6.0)</f>
        <v>6</v>
      </c>
      <c r="AG767" s="131">
        <f>IFERROR(__xludf.DUMMYFUNCTION("""COMPUTED_VALUE"""),3.0)</f>
        <v>3</v>
      </c>
      <c r="AH767" s="131">
        <f>IFERROR(__xludf.DUMMYFUNCTION("""COMPUTED_VALUE"""),3.0)</f>
        <v>3</v>
      </c>
      <c r="AI767" s="131">
        <f>IFERROR(__xludf.DUMMYFUNCTION("""COMPUTED_VALUE"""),404.0)</f>
        <v>404</v>
      </c>
      <c r="AJ767" s="131"/>
      <c r="AK767" s="131"/>
    </row>
    <row r="768">
      <c r="A768" s="124"/>
      <c r="B768" s="131"/>
      <c r="C768" s="131"/>
      <c r="D768" s="144">
        <f>IFERROR(__xludf.DUMMYFUNCTION("""COMPUTED_VALUE"""),45853.0)</f>
        <v>45853</v>
      </c>
      <c r="E768" s="147">
        <f>IFERROR(__xludf.DUMMYFUNCTION("""COMPUTED_VALUE"""),45860.0)</f>
        <v>45860</v>
      </c>
      <c r="F768" s="147">
        <f>IFERROR(__xludf.DUMMYFUNCTION("""COMPUTED_VALUE"""),45881.0)</f>
        <v>45881</v>
      </c>
      <c r="G768" s="131" t="str">
        <f>IFERROR(__xludf.DUMMYFUNCTION("""COMPUTED_VALUE"""),"BRG11")</f>
        <v>BRG11</v>
      </c>
      <c r="H768" s="126">
        <f>IFERROR(__xludf.DUMMYFUNCTION("""COMPUTED_VALUE"""),1.0)</f>
        <v>1</v>
      </c>
      <c r="I768" s="126">
        <f>IFERROR(__xludf.DUMMYFUNCTION("""COMPUTED_VALUE"""),5.0)</f>
        <v>5</v>
      </c>
      <c r="J768" s="131">
        <f>IFERROR(__xludf.DUMMYFUNCTION("""COMPUTED_VALUE"""),3.0)</f>
        <v>3</v>
      </c>
      <c r="K768" s="131">
        <f>IFERROR(__xludf.DUMMYFUNCTION("""COMPUTED_VALUE"""),3.0)</f>
        <v>3</v>
      </c>
      <c r="L768" s="131">
        <f>IFERROR(__xludf.DUMMYFUNCTION("""COMPUTED_VALUE"""),2.0)</f>
        <v>2</v>
      </c>
      <c r="M768" s="131">
        <f>IFERROR(__xludf.DUMMYFUNCTION("""COMPUTED_VALUE"""),6.0)</f>
        <v>6</v>
      </c>
      <c r="N768" s="131">
        <f>IFERROR(__xludf.DUMMYFUNCTION("""COMPUTED_VALUE"""),3.0)</f>
        <v>3</v>
      </c>
      <c r="O768" s="131">
        <f>IFERROR(__xludf.DUMMYFUNCTION("""COMPUTED_VALUE"""),3.0)</f>
        <v>3</v>
      </c>
      <c r="P768" s="131">
        <f>IFERROR(__xludf.DUMMYFUNCTION("""COMPUTED_VALUE"""),404.0)</f>
        <v>404</v>
      </c>
      <c r="Q768" s="131"/>
      <c r="R768" s="131"/>
      <c r="T768" s="131"/>
      <c r="U768" s="131"/>
      <c r="V768" s="131"/>
      <c r="W768" s="144">
        <f>IFERROR(__xludf.DUMMYFUNCTION("""COMPUTED_VALUE"""),45854.0)</f>
        <v>45854</v>
      </c>
      <c r="X768" s="144">
        <f>IFERROR(__xludf.DUMMYFUNCTION("""COMPUTED_VALUE"""),45861.0)</f>
        <v>45861</v>
      </c>
      <c r="Y768" s="144">
        <f>IFERROR(__xludf.DUMMYFUNCTION("""COMPUTED_VALUE"""),45882.0)</f>
        <v>45882</v>
      </c>
      <c r="Z768" s="131" t="str">
        <f>IFERROR(__xludf.DUMMYFUNCTION("""COMPUTED_VALUE"""),"D42-3L")</f>
        <v>D42-3L</v>
      </c>
      <c r="AA768" s="131"/>
      <c r="AB768" s="131"/>
      <c r="AC768" s="131"/>
      <c r="AD768" s="131"/>
      <c r="AE768" s="131">
        <f>IFERROR(__xludf.DUMMYFUNCTION("""COMPUTED_VALUE"""),2.0)</f>
        <v>2</v>
      </c>
      <c r="AF768" s="131">
        <f>IFERROR(__xludf.DUMMYFUNCTION("""COMPUTED_VALUE"""),188.0)</f>
        <v>188</v>
      </c>
      <c r="AG768" s="131">
        <f>IFERROR(__xludf.DUMMYFUNCTION("""COMPUTED_VALUE"""),94.0)</f>
        <v>94</v>
      </c>
      <c r="AH768" s="131">
        <f>IFERROR(__xludf.DUMMYFUNCTION("""COMPUTED_VALUE"""),94.0)</f>
        <v>94</v>
      </c>
      <c r="AI768" s="131">
        <f>IFERROR(__xludf.DUMMYFUNCTION("""COMPUTED_VALUE"""),405.0)</f>
        <v>405</v>
      </c>
      <c r="AJ768" s="131"/>
      <c r="AK768" s="131"/>
    </row>
    <row r="769">
      <c r="A769" s="124"/>
      <c r="B769" s="131"/>
      <c r="C769" s="131"/>
      <c r="D769" s="144">
        <f>IFERROR(__xludf.DUMMYFUNCTION("""COMPUTED_VALUE"""),45854.0)</f>
        <v>45854</v>
      </c>
      <c r="E769" s="147">
        <f>IFERROR(__xludf.DUMMYFUNCTION("""COMPUTED_VALUE"""),45861.0)</f>
        <v>45861</v>
      </c>
      <c r="F769" s="147">
        <f>IFERROR(__xludf.DUMMYFUNCTION("""COMPUTED_VALUE"""),45882.0)</f>
        <v>45882</v>
      </c>
      <c r="G769" s="131" t="str">
        <f>IFERROR(__xludf.DUMMYFUNCTION("""COMPUTED_VALUE"""),"D42-3L")</f>
        <v>D42-3L</v>
      </c>
      <c r="H769" s="126"/>
      <c r="I769" s="126"/>
      <c r="J769" s="131"/>
      <c r="K769" s="131"/>
      <c r="L769" s="131">
        <f>IFERROR(__xludf.DUMMYFUNCTION("""COMPUTED_VALUE"""),2.0)</f>
        <v>2</v>
      </c>
      <c r="M769" s="131">
        <f>IFERROR(__xludf.DUMMYFUNCTION("""COMPUTED_VALUE"""),188.0)</f>
        <v>188</v>
      </c>
      <c r="N769" s="131">
        <f>IFERROR(__xludf.DUMMYFUNCTION("""COMPUTED_VALUE"""),94.0)</f>
        <v>94</v>
      </c>
      <c r="O769" s="131">
        <f>IFERROR(__xludf.DUMMYFUNCTION("""COMPUTED_VALUE"""),94.0)</f>
        <v>94</v>
      </c>
      <c r="P769" s="131">
        <f>IFERROR(__xludf.DUMMYFUNCTION("""COMPUTED_VALUE"""),405.0)</f>
        <v>405</v>
      </c>
      <c r="Q769" s="131"/>
      <c r="R769" s="131"/>
      <c r="T769" s="131"/>
      <c r="U769" s="131"/>
      <c r="V769" s="131"/>
      <c r="W769" s="144">
        <f>IFERROR(__xludf.DUMMYFUNCTION("""COMPUTED_VALUE"""),45854.0)</f>
        <v>45854</v>
      </c>
      <c r="X769" s="144">
        <f>IFERROR(__xludf.DUMMYFUNCTION("""COMPUTED_VALUE"""),45861.0)</f>
        <v>45861</v>
      </c>
      <c r="Y769" s="144">
        <f>IFERROR(__xludf.DUMMYFUNCTION("""COMPUTED_VALUE"""),45882.0)</f>
        <v>45882</v>
      </c>
      <c r="Z769" s="131" t="str">
        <f>IFERROR(__xludf.DUMMYFUNCTION("""COMPUTED_VALUE"""),"D42-5L")</f>
        <v>D42-5L</v>
      </c>
      <c r="AA769" s="131">
        <f>IFERROR(__xludf.DUMMYFUNCTION("""COMPUTED_VALUE"""),7.0)</f>
        <v>7</v>
      </c>
      <c r="AB769" s="131">
        <f>IFERROR(__xludf.DUMMYFUNCTION("""COMPUTED_VALUE"""),15.0)</f>
        <v>15</v>
      </c>
      <c r="AC769" s="131">
        <f>IFERROR(__xludf.DUMMYFUNCTION("""COMPUTED_VALUE"""),5.0)</f>
        <v>5</v>
      </c>
      <c r="AD769" s="131">
        <f>IFERROR(__xludf.DUMMYFUNCTION("""COMPUTED_VALUE"""),5.0)</f>
        <v>5</v>
      </c>
      <c r="AE769" s="131"/>
      <c r="AF769" s="131"/>
      <c r="AG769" s="131"/>
      <c r="AH769" s="131"/>
      <c r="AI769" s="131">
        <f>IFERROR(__xludf.DUMMYFUNCTION("""COMPUTED_VALUE"""),405.0)</f>
        <v>405</v>
      </c>
      <c r="AJ769" s="131"/>
      <c r="AK769" s="131"/>
    </row>
    <row r="770">
      <c r="A770" s="124"/>
      <c r="B770" s="131"/>
      <c r="C770" s="131"/>
      <c r="D770" s="144">
        <f>IFERROR(__xludf.DUMMYFUNCTION("""COMPUTED_VALUE"""),45854.0)</f>
        <v>45854</v>
      </c>
      <c r="E770" s="147">
        <f>IFERROR(__xludf.DUMMYFUNCTION("""COMPUTED_VALUE"""),45861.0)</f>
        <v>45861</v>
      </c>
      <c r="F770" s="147">
        <f>IFERROR(__xludf.DUMMYFUNCTION("""COMPUTED_VALUE"""),45882.0)</f>
        <v>45882</v>
      </c>
      <c r="G770" s="131" t="str">
        <f>IFERROR(__xludf.DUMMYFUNCTION("""COMPUTED_VALUE"""),"D42-5L")</f>
        <v>D42-5L</v>
      </c>
      <c r="H770" s="126">
        <f>IFERROR(__xludf.DUMMYFUNCTION("""COMPUTED_VALUE"""),7.0)</f>
        <v>7</v>
      </c>
      <c r="I770" s="126">
        <f>IFERROR(__xludf.DUMMYFUNCTION("""COMPUTED_VALUE"""),15.0)</f>
        <v>15</v>
      </c>
      <c r="J770" s="131">
        <f>IFERROR(__xludf.DUMMYFUNCTION("""COMPUTED_VALUE"""),5.0)</f>
        <v>5</v>
      </c>
      <c r="K770" s="131">
        <f>IFERROR(__xludf.DUMMYFUNCTION("""COMPUTED_VALUE"""),5.0)</f>
        <v>5</v>
      </c>
      <c r="L770" s="131"/>
      <c r="M770" s="131"/>
      <c r="N770" s="131"/>
      <c r="O770" s="131"/>
      <c r="P770" s="131">
        <f>IFERROR(__xludf.DUMMYFUNCTION("""COMPUTED_VALUE"""),405.0)</f>
        <v>405</v>
      </c>
      <c r="Q770" s="131"/>
      <c r="R770" s="131"/>
      <c r="T770" s="131"/>
      <c r="U770" s="131"/>
      <c r="V770" s="131"/>
      <c r="W770" s="144">
        <f>IFERROR(__xludf.DUMMYFUNCTION("""COMPUTED_VALUE"""),45854.0)</f>
        <v>45854</v>
      </c>
      <c r="X770" s="144">
        <f>IFERROR(__xludf.DUMMYFUNCTION("""COMPUTED_VALUE"""),45861.0)</f>
        <v>45861</v>
      </c>
      <c r="Y770" s="144">
        <f>IFERROR(__xludf.DUMMYFUNCTION("""COMPUTED_VALUE"""),45882.0)</f>
        <v>45882</v>
      </c>
      <c r="Z770" s="131" t="str">
        <f>IFERROR(__xludf.DUMMYFUNCTION("""COMPUTED_VALUE"""),"D42-2L")</f>
        <v>D42-2L</v>
      </c>
      <c r="AA770" s="131">
        <f>IFERROR(__xludf.DUMMYFUNCTION("""COMPUTED_VALUE"""),1.0)</f>
        <v>1</v>
      </c>
      <c r="AB770" s="131">
        <f>IFERROR(__xludf.DUMMYFUNCTION("""COMPUTED_VALUE"""),7.0)</f>
        <v>7</v>
      </c>
      <c r="AC770" s="131">
        <f>IFERROR(__xludf.DUMMYFUNCTION("""COMPUTED_VALUE"""),4.0)</f>
        <v>4</v>
      </c>
      <c r="AD770" s="131">
        <f>IFERROR(__xludf.DUMMYFUNCTION("""COMPUTED_VALUE"""),4.0)</f>
        <v>4</v>
      </c>
      <c r="AE770" s="131"/>
      <c r="AF770" s="131"/>
      <c r="AG770" s="131"/>
      <c r="AH770" s="131"/>
      <c r="AI770" s="131">
        <f>IFERROR(__xludf.DUMMYFUNCTION("""COMPUTED_VALUE"""),405.0)</f>
        <v>405</v>
      </c>
      <c r="AJ770" s="131"/>
      <c r="AK770" s="131"/>
    </row>
    <row r="771">
      <c r="A771" s="124"/>
      <c r="B771" s="131"/>
      <c r="C771" s="131"/>
      <c r="D771" s="144">
        <f>IFERROR(__xludf.DUMMYFUNCTION("""COMPUTED_VALUE"""),45854.0)</f>
        <v>45854</v>
      </c>
      <c r="E771" s="147">
        <f>IFERROR(__xludf.DUMMYFUNCTION("""COMPUTED_VALUE"""),45861.0)</f>
        <v>45861</v>
      </c>
      <c r="F771" s="147">
        <f>IFERROR(__xludf.DUMMYFUNCTION("""COMPUTED_VALUE"""),45882.0)</f>
        <v>45882</v>
      </c>
      <c r="G771" s="131" t="str">
        <f>IFERROR(__xludf.DUMMYFUNCTION("""COMPUTED_VALUE"""),"D42-2L")</f>
        <v>D42-2L</v>
      </c>
      <c r="H771" s="126">
        <f>IFERROR(__xludf.DUMMYFUNCTION("""COMPUTED_VALUE"""),1.0)</f>
        <v>1</v>
      </c>
      <c r="I771" s="126">
        <f>IFERROR(__xludf.DUMMYFUNCTION("""COMPUTED_VALUE"""),7.0)</f>
        <v>7</v>
      </c>
      <c r="J771" s="131">
        <f>IFERROR(__xludf.DUMMYFUNCTION("""COMPUTED_VALUE"""),4.0)</f>
        <v>4</v>
      </c>
      <c r="K771" s="131">
        <f>IFERROR(__xludf.DUMMYFUNCTION("""COMPUTED_VALUE"""),4.0)</f>
        <v>4</v>
      </c>
      <c r="L771" s="131"/>
      <c r="M771" s="131"/>
      <c r="N771" s="131"/>
      <c r="O771" s="131"/>
      <c r="P771" s="131">
        <f>IFERROR(__xludf.DUMMYFUNCTION("""COMPUTED_VALUE"""),405.0)</f>
        <v>405</v>
      </c>
      <c r="Q771" s="131"/>
      <c r="R771" s="131"/>
      <c r="T771" s="131"/>
      <c r="U771" s="131"/>
      <c r="V771" s="131"/>
      <c r="W771" s="144">
        <f>IFERROR(__xludf.DUMMYFUNCTION("""COMPUTED_VALUE"""),45854.0)</f>
        <v>45854</v>
      </c>
      <c r="X771" s="144">
        <f>IFERROR(__xludf.DUMMYFUNCTION("""COMPUTED_VALUE"""),45861.0)</f>
        <v>45861</v>
      </c>
      <c r="Y771" s="144">
        <f>IFERROR(__xludf.DUMMYFUNCTION("""COMPUTED_VALUE"""),45882.0)</f>
        <v>45882</v>
      </c>
      <c r="Z771" s="131" t="str">
        <f>IFERROR(__xludf.DUMMYFUNCTION("""COMPUTED_VALUE"""),"DC42")</f>
        <v>DC42</v>
      </c>
      <c r="AA771" s="131">
        <f>IFERROR(__xludf.DUMMYFUNCTION("""COMPUTED_VALUE"""),1.0)</f>
        <v>1</v>
      </c>
      <c r="AB771" s="131">
        <f>IFERROR(__xludf.DUMMYFUNCTION("""COMPUTED_VALUE"""),11.0)</f>
        <v>11</v>
      </c>
      <c r="AC771" s="131">
        <f>IFERROR(__xludf.DUMMYFUNCTION("""COMPUTED_VALUE"""),6.0)</f>
        <v>6</v>
      </c>
      <c r="AD771" s="131">
        <f>IFERROR(__xludf.DUMMYFUNCTION("""COMPUTED_VALUE"""),6.0)</f>
        <v>6</v>
      </c>
      <c r="AE771" s="131">
        <f>IFERROR(__xludf.DUMMYFUNCTION("""COMPUTED_VALUE"""),10.0)</f>
        <v>10</v>
      </c>
      <c r="AF771" s="131">
        <f>IFERROR(__xludf.DUMMYFUNCTION("""COMPUTED_VALUE"""),18.0)</f>
        <v>18</v>
      </c>
      <c r="AG771" s="131">
        <f>IFERROR(__xludf.DUMMYFUNCTION("""COMPUTED_VALUE"""),5.0)</f>
        <v>5</v>
      </c>
      <c r="AH771" s="131">
        <f>IFERROR(__xludf.DUMMYFUNCTION("""COMPUTED_VALUE"""),5.0)</f>
        <v>5</v>
      </c>
      <c r="AI771" s="131">
        <f>IFERROR(__xludf.DUMMYFUNCTION("""COMPUTED_VALUE"""),406.0)</f>
        <v>406</v>
      </c>
      <c r="AJ771" s="131"/>
      <c r="AK771" s="131"/>
    </row>
    <row r="772">
      <c r="A772" s="124"/>
      <c r="B772" s="131"/>
      <c r="C772" s="131"/>
      <c r="D772" s="144">
        <f>IFERROR(__xludf.DUMMYFUNCTION("""COMPUTED_VALUE"""),45854.0)</f>
        <v>45854</v>
      </c>
      <c r="E772" s="147">
        <f>IFERROR(__xludf.DUMMYFUNCTION("""COMPUTED_VALUE"""),45861.0)</f>
        <v>45861</v>
      </c>
      <c r="F772" s="147">
        <f>IFERROR(__xludf.DUMMYFUNCTION("""COMPUTED_VALUE"""),45882.0)</f>
        <v>45882</v>
      </c>
      <c r="G772" s="131" t="str">
        <f>IFERROR(__xludf.DUMMYFUNCTION("""COMPUTED_VALUE"""),"DC42")</f>
        <v>DC42</v>
      </c>
      <c r="H772" s="126">
        <f>IFERROR(__xludf.DUMMYFUNCTION("""COMPUTED_VALUE"""),1.0)</f>
        <v>1</v>
      </c>
      <c r="I772" s="126">
        <f>IFERROR(__xludf.DUMMYFUNCTION("""COMPUTED_VALUE"""),11.0)</f>
        <v>11</v>
      </c>
      <c r="J772" s="131">
        <f>IFERROR(__xludf.DUMMYFUNCTION("""COMPUTED_VALUE"""),6.0)</f>
        <v>6</v>
      </c>
      <c r="K772" s="131">
        <f>IFERROR(__xludf.DUMMYFUNCTION("""COMPUTED_VALUE"""),6.0)</f>
        <v>6</v>
      </c>
      <c r="L772" s="131">
        <f>IFERROR(__xludf.DUMMYFUNCTION("""COMPUTED_VALUE"""),10.0)</f>
        <v>10</v>
      </c>
      <c r="M772" s="131">
        <f>IFERROR(__xludf.DUMMYFUNCTION("""COMPUTED_VALUE"""),18.0)</f>
        <v>18</v>
      </c>
      <c r="N772" s="131">
        <f>IFERROR(__xludf.DUMMYFUNCTION("""COMPUTED_VALUE"""),5.0)</f>
        <v>5</v>
      </c>
      <c r="O772" s="131">
        <f>IFERROR(__xludf.DUMMYFUNCTION("""COMPUTED_VALUE"""),5.0)</f>
        <v>5</v>
      </c>
      <c r="P772" s="131">
        <f>IFERROR(__xludf.DUMMYFUNCTION("""COMPUTED_VALUE"""),406.0)</f>
        <v>406</v>
      </c>
      <c r="Q772" s="131"/>
      <c r="R772" s="131"/>
      <c r="T772" s="131"/>
      <c r="U772" s="131"/>
      <c r="V772" s="131"/>
      <c r="W772" s="144">
        <f>IFERROR(__xludf.DUMMYFUNCTION("""COMPUTED_VALUE"""),45854.0)</f>
        <v>45854</v>
      </c>
      <c r="X772" s="144">
        <f>IFERROR(__xludf.DUMMYFUNCTION("""COMPUTED_VALUE"""),45861.0)</f>
        <v>45861</v>
      </c>
      <c r="Y772" s="144">
        <f>IFERROR(__xludf.DUMMYFUNCTION("""COMPUTED_VALUE"""),45882.0)</f>
        <v>45882</v>
      </c>
      <c r="Z772" s="131" t="str">
        <f>IFERROR(__xludf.DUMMYFUNCTION("""COMPUTED_VALUE"""),"DC41")</f>
        <v>DC41</v>
      </c>
      <c r="AA772" s="131">
        <f>IFERROR(__xludf.DUMMYFUNCTION("""COMPUTED_VALUE"""),1.0)</f>
        <v>1</v>
      </c>
      <c r="AB772" s="131">
        <f>IFERROR(__xludf.DUMMYFUNCTION("""COMPUTED_VALUE"""),3.0)</f>
        <v>3</v>
      </c>
      <c r="AC772" s="131">
        <f>IFERROR(__xludf.DUMMYFUNCTION("""COMPUTED_VALUE"""),2.0)</f>
        <v>2</v>
      </c>
      <c r="AD772" s="131">
        <f>IFERROR(__xludf.DUMMYFUNCTION("""COMPUTED_VALUE"""),2.0)</f>
        <v>2</v>
      </c>
      <c r="AE772" s="131">
        <f>IFERROR(__xludf.DUMMYFUNCTION("""COMPUTED_VALUE"""),22.0)</f>
        <v>22</v>
      </c>
      <c r="AF772" s="131">
        <f>IFERROR(__xludf.DUMMYFUNCTION("""COMPUTED_VALUE"""),24.0)</f>
        <v>24</v>
      </c>
      <c r="AG772" s="131">
        <f>IFERROR(__xludf.DUMMYFUNCTION("""COMPUTED_VALUE"""),2.0)</f>
        <v>2</v>
      </c>
      <c r="AH772" s="131">
        <f>IFERROR(__xludf.DUMMYFUNCTION("""COMPUTED_VALUE"""),2.0)</f>
        <v>2</v>
      </c>
      <c r="AI772" s="131">
        <f>IFERROR(__xludf.DUMMYFUNCTION("""COMPUTED_VALUE"""),406.0)</f>
        <v>406</v>
      </c>
      <c r="AJ772" s="131"/>
      <c r="AK772" s="131"/>
    </row>
    <row r="773">
      <c r="A773" s="124"/>
      <c r="B773" s="131"/>
      <c r="C773" s="131"/>
      <c r="D773" s="144">
        <f>IFERROR(__xludf.DUMMYFUNCTION("""COMPUTED_VALUE"""),45854.0)</f>
        <v>45854</v>
      </c>
      <c r="E773" s="147">
        <f>IFERROR(__xludf.DUMMYFUNCTION("""COMPUTED_VALUE"""),45861.0)</f>
        <v>45861</v>
      </c>
      <c r="F773" s="147">
        <f>IFERROR(__xludf.DUMMYFUNCTION("""COMPUTED_VALUE"""),45882.0)</f>
        <v>45882</v>
      </c>
      <c r="G773" s="131" t="str">
        <f>IFERROR(__xludf.DUMMYFUNCTION("""COMPUTED_VALUE"""),"DC41")</f>
        <v>DC41</v>
      </c>
      <c r="H773" s="126">
        <f>IFERROR(__xludf.DUMMYFUNCTION("""COMPUTED_VALUE"""),1.0)</f>
        <v>1</v>
      </c>
      <c r="I773" s="126">
        <f>IFERROR(__xludf.DUMMYFUNCTION("""COMPUTED_VALUE"""),3.0)</f>
        <v>3</v>
      </c>
      <c r="J773" s="131">
        <f>IFERROR(__xludf.DUMMYFUNCTION("""COMPUTED_VALUE"""),2.0)</f>
        <v>2</v>
      </c>
      <c r="K773" s="131">
        <f>IFERROR(__xludf.DUMMYFUNCTION("""COMPUTED_VALUE"""),2.0)</f>
        <v>2</v>
      </c>
      <c r="L773" s="131">
        <f>IFERROR(__xludf.DUMMYFUNCTION("""COMPUTED_VALUE"""),22.0)</f>
        <v>22</v>
      </c>
      <c r="M773" s="131">
        <f>IFERROR(__xludf.DUMMYFUNCTION("""COMPUTED_VALUE"""),24.0)</f>
        <v>24</v>
      </c>
      <c r="N773" s="131">
        <f>IFERROR(__xludf.DUMMYFUNCTION("""COMPUTED_VALUE"""),2.0)</f>
        <v>2</v>
      </c>
      <c r="O773" s="131">
        <f>IFERROR(__xludf.DUMMYFUNCTION("""COMPUTED_VALUE"""),2.0)</f>
        <v>2</v>
      </c>
      <c r="P773" s="131">
        <f>IFERROR(__xludf.DUMMYFUNCTION("""COMPUTED_VALUE"""),406.0)</f>
        <v>406</v>
      </c>
      <c r="Q773" s="131"/>
      <c r="R773" s="131"/>
      <c r="T773" s="131"/>
      <c r="U773" s="131"/>
      <c r="V773" s="131"/>
      <c r="W773" s="144">
        <f>IFERROR(__xludf.DUMMYFUNCTION("""COMPUTED_VALUE"""),45854.0)</f>
        <v>45854</v>
      </c>
      <c r="X773" s="144">
        <f>IFERROR(__xludf.DUMMYFUNCTION("""COMPUTED_VALUE"""),45861.0)</f>
        <v>45861</v>
      </c>
      <c r="Y773" s="144">
        <f>IFERROR(__xludf.DUMMYFUNCTION("""COMPUTED_VALUE"""),45882.0)</f>
        <v>45882</v>
      </c>
      <c r="Z773" s="131" t="str">
        <f>IFERROR(__xludf.DUMMYFUNCTION("""COMPUTED_VALUE"""),"DC36")</f>
        <v>DC36</v>
      </c>
      <c r="AA773" s="131">
        <f>IFERROR(__xludf.DUMMYFUNCTION("""COMPUTED_VALUE"""),59.0)</f>
        <v>59</v>
      </c>
      <c r="AB773" s="131">
        <f>IFERROR(__xludf.DUMMYFUNCTION("""COMPUTED_VALUE"""),65.0)</f>
        <v>65</v>
      </c>
      <c r="AC773" s="131">
        <f>IFERROR(__xludf.DUMMYFUNCTION("""COMPUTED_VALUE"""),4.0)</f>
        <v>4</v>
      </c>
      <c r="AD773" s="131">
        <f>IFERROR(__xludf.DUMMYFUNCTION("""COMPUTED_VALUE"""),4.0)</f>
        <v>4</v>
      </c>
      <c r="AE773" s="131"/>
      <c r="AF773" s="131"/>
      <c r="AG773" s="131"/>
      <c r="AH773" s="131"/>
      <c r="AI773" s="131">
        <f>IFERROR(__xludf.DUMMYFUNCTION("""COMPUTED_VALUE"""),406.0)</f>
        <v>406</v>
      </c>
      <c r="AJ773" s="131"/>
      <c r="AK773" s="131"/>
    </row>
    <row r="774">
      <c r="A774" s="124"/>
      <c r="B774" s="131"/>
      <c r="C774" s="131"/>
      <c r="D774" s="144">
        <f>IFERROR(__xludf.DUMMYFUNCTION("""COMPUTED_VALUE"""),45854.0)</f>
        <v>45854</v>
      </c>
      <c r="E774" s="147">
        <f>IFERROR(__xludf.DUMMYFUNCTION("""COMPUTED_VALUE"""),45861.0)</f>
        <v>45861</v>
      </c>
      <c r="F774" s="147">
        <f>IFERROR(__xludf.DUMMYFUNCTION("""COMPUTED_VALUE"""),45882.0)</f>
        <v>45882</v>
      </c>
      <c r="G774" s="131" t="str">
        <f>IFERROR(__xludf.DUMMYFUNCTION("""COMPUTED_VALUE"""),"DC36")</f>
        <v>DC36</v>
      </c>
      <c r="H774" s="126">
        <f>IFERROR(__xludf.DUMMYFUNCTION("""COMPUTED_VALUE"""),59.0)</f>
        <v>59</v>
      </c>
      <c r="I774" s="126">
        <f>IFERROR(__xludf.DUMMYFUNCTION("""COMPUTED_VALUE"""),65.0)</f>
        <v>65</v>
      </c>
      <c r="J774" s="131">
        <f>IFERROR(__xludf.DUMMYFUNCTION("""COMPUTED_VALUE"""),4.0)</f>
        <v>4</v>
      </c>
      <c r="K774" s="131">
        <f>IFERROR(__xludf.DUMMYFUNCTION("""COMPUTED_VALUE"""),4.0)</f>
        <v>4</v>
      </c>
      <c r="L774" s="131"/>
      <c r="M774" s="131"/>
      <c r="N774" s="131"/>
      <c r="O774" s="131"/>
      <c r="P774" s="131">
        <f>IFERROR(__xludf.DUMMYFUNCTION("""COMPUTED_VALUE"""),406.0)</f>
        <v>406</v>
      </c>
      <c r="Q774" s="131"/>
      <c r="R774" s="131"/>
      <c r="T774" s="131"/>
      <c r="U774" s="131"/>
      <c r="V774" s="131"/>
      <c r="W774" s="144">
        <f>IFERROR(__xludf.DUMMYFUNCTION("""COMPUTED_VALUE"""),45854.0)</f>
        <v>45854</v>
      </c>
      <c r="X774" s="144">
        <f>IFERROR(__xludf.DUMMYFUNCTION("""COMPUTED_VALUE"""),45861.0)</f>
        <v>45861</v>
      </c>
      <c r="Y774" s="144">
        <f>IFERROR(__xludf.DUMMYFUNCTION("""COMPUTED_VALUE"""),45882.0)</f>
        <v>45882</v>
      </c>
      <c r="Z774" s="131" t="str">
        <f>IFERROR(__xludf.DUMMYFUNCTION("""COMPUTED_VALUE"""),"DC32")</f>
        <v>DC32</v>
      </c>
      <c r="AA774" s="131">
        <f>IFERROR(__xludf.DUMMYFUNCTION("""COMPUTED_VALUE"""),407.0)</f>
        <v>407</v>
      </c>
      <c r="AB774" s="131">
        <f>IFERROR(__xludf.DUMMYFUNCTION("""COMPUTED_VALUE"""),407.0)</f>
        <v>407</v>
      </c>
      <c r="AC774" s="131">
        <f>IFERROR(__xludf.DUMMYFUNCTION("""COMPUTED_VALUE"""),1.0)</f>
        <v>1</v>
      </c>
      <c r="AD774" s="131">
        <f>IFERROR(__xludf.DUMMYFUNCTION("""COMPUTED_VALUE"""),1.0)</f>
        <v>1</v>
      </c>
      <c r="AE774" s="131">
        <f>IFERROR(__xludf.DUMMYFUNCTION("""COMPUTED_VALUE"""),12.0)</f>
        <v>12</v>
      </c>
      <c r="AF774" s="131">
        <f>IFERROR(__xludf.DUMMYFUNCTION("""COMPUTED_VALUE"""),32.0)</f>
        <v>32</v>
      </c>
      <c r="AG774" s="131">
        <f>IFERROR(__xludf.DUMMYFUNCTION("""COMPUTED_VALUE"""),11.0)</f>
        <v>11</v>
      </c>
      <c r="AH774" s="131">
        <f>IFERROR(__xludf.DUMMYFUNCTION("""COMPUTED_VALUE"""),11.0)</f>
        <v>11</v>
      </c>
      <c r="AI774" s="131">
        <f>IFERROR(__xludf.DUMMYFUNCTION("""COMPUTED_VALUE"""),407.0)</f>
        <v>407</v>
      </c>
      <c r="AJ774" s="131"/>
      <c r="AK774" s="131"/>
    </row>
    <row r="775">
      <c r="A775" s="124"/>
      <c r="B775" s="131"/>
      <c r="C775" s="131"/>
      <c r="D775" s="144">
        <f>IFERROR(__xludf.DUMMYFUNCTION("""COMPUTED_VALUE"""),45854.0)</f>
        <v>45854</v>
      </c>
      <c r="E775" s="147">
        <f>IFERROR(__xludf.DUMMYFUNCTION("""COMPUTED_VALUE"""),45861.0)</f>
        <v>45861</v>
      </c>
      <c r="F775" s="147">
        <f>IFERROR(__xludf.DUMMYFUNCTION("""COMPUTED_VALUE"""),45882.0)</f>
        <v>45882</v>
      </c>
      <c r="G775" s="131" t="str">
        <f>IFERROR(__xludf.DUMMYFUNCTION("""COMPUTED_VALUE"""),"DC32")</f>
        <v>DC32</v>
      </c>
      <c r="H775" s="126">
        <f>IFERROR(__xludf.DUMMYFUNCTION("""COMPUTED_VALUE"""),407.0)</f>
        <v>407</v>
      </c>
      <c r="I775" s="126">
        <f>IFERROR(__xludf.DUMMYFUNCTION("""COMPUTED_VALUE"""),407.0)</f>
        <v>407</v>
      </c>
      <c r="J775" s="131">
        <f>IFERROR(__xludf.DUMMYFUNCTION("""COMPUTED_VALUE"""),1.0)</f>
        <v>1</v>
      </c>
      <c r="K775" s="131">
        <f>IFERROR(__xludf.DUMMYFUNCTION("""COMPUTED_VALUE"""),1.0)</f>
        <v>1</v>
      </c>
      <c r="L775" s="131">
        <f>IFERROR(__xludf.DUMMYFUNCTION("""COMPUTED_VALUE"""),12.0)</f>
        <v>12</v>
      </c>
      <c r="M775" s="131">
        <f>IFERROR(__xludf.DUMMYFUNCTION("""COMPUTED_VALUE"""),32.0)</f>
        <v>32</v>
      </c>
      <c r="N775" s="131">
        <f>IFERROR(__xludf.DUMMYFUNCTION("""COMPUTED_VALUE"""),11.0)</f>
        <v>11</v>
      </c>
      <c r="O775" s="131">
        <f>IFERROR(__xludf.DUMMYFUNCTION("""COMPUTED_VALUE"""),11.0)</f>
        <v>11</v>
      </c>
      <c r="P775" s="131">
        <f>IFERROR(__xludf.DUMMYFUNCTION("""COMPUTED_VALUE"""),407.0)</f>
        <v>407</v>
      </c>
      <c r="Q775" s="131"/>
      <c r="R775" s="131"/>
      <c r="T775" s="131"/>
      <c r="U775" s="131"/>
      <c r="V775" s="131"/>
      <c r="W775" s="144">
        <f>IFERROR(__xludf.DUMMYFUNCTION("""COMPUTED_VALUE"""),45854.0)</f>
        <v>45854</v>
      </c>
      <c r="X775" s="144">
        <f>IFERROR(__xludf.DUMMYFUNCTION("""COMPUTED_VALUE"""),45861.0)</f>
        <v>45861</v>
      </c>
      <c r="Y775" s="144">
        <f>IFERROR(__xludf.DUMMYFUNCTION("""COMPUTED_VALUE"""),45882.0)</f>
        <v>45882</v>
      </c>
      <c r="Z775" s="131" t="str">
        <f>IFERROR(__xludf.DUMMYFUNCTION("""COMPUTED_VALUE"""),"DC32")</f>
        <v>DC32</v>
      </c>
      <c r="AA775" s="131">
        <f>IFERROR(__xludf.DUMMYFUNCTION("""COMPUTED_VALUE"""),565.0)</f>
        <v>565</v>
      </c>
      <c r="AB775" s="131">
        <f>IFERROR(__xludf.DUMMYFUNCTION("""COMPUTED_VALUE"""),565.0)</f>
        <v>565</v>
      </c>
      <c r="AC775" s="131">
        <f>IFERROR(__xludf.DUMMYFUNCTION("""COMPUTED_VALUE"""),1.0)</f>
        <v>1</v>
      </c>
      <c r="AD775" s="131">
        <f>IFERROR(__xludf.DUMMYFUNCTION("""COMPUTED_VALUE"""),1.0)</f>
        <v>1</v>
      </c>
      <c r="AE775" s="131">
        <f>IFERROR(__xludf.DUMMYFUNCTION("""COMPUTED_VALUE"""),220.0)</f>
        <v>220</v>
      </c>
      <c r="AF775" s="131">
        <f>IFERROR(__xludf.DUMMYFUNCTION("""COMPUTED_VALUE"""),232.0)</f>
        <v>232</v>
      </c>
      <c r="AG775" s="131">
        <f>IFERROR(__xludf.DUMMYFUNCTION("""COMPUTED_VALUE"""),7.0)</f>
        <v>7</v>
      </c>
      <c r="AH775" s="131">
        <f>IFERROR(__xludf.DUMMYFUNCTION("""COMPUTED_VALUE"""),7.0)</f>
        <v>7</v>
      </c>
      <c r="AI775" s="131">
        <f>IFERROR(__xludf.DUMMYFUNCTION("""COMPUTED_VALUE"""),407.0)</f>
        <v>407</v>
      </c>
      <c r="AJ775" s="131"/>
      <c r="AK775" s="131"/>
    </row>
    <row r="776">
      <c r="A776" s="124"/>
      <c r="B776" s="131"/>
      <c r="C776" s="131"/>
      <c r="D776" s="144">
        <f>IFERROR(__xludf.DUMMYFUNCTION("""COMPUTED_VALUE"""),45854.0)</f>
        <v>45854</v>
      </c>
      <c r="E776" s="147">
        <f>IFERROR(__xludf.DUMMYFUNCTION("""COMPUTED_VALUE"""),45861.0)</f>
        <v>45861</v>
      </c>
      <c r="F776" s="147">
        <f>IFERROR(__xludf.DUMMYFUNCTION("""COMPUTED_VALUE"""),45882.0)</f>
        <v>45882</v>
      </c>
      <c r="G776" s="131" t="str">
        <f>IFERROR(__xludf.DUMMYFUNCTION("""COMPUTED_VALUE"""),"DC32")</f>
        <v>DC32</v>
      </c>
      <c r="H776" s="126">
        <f>IFERROR(__xludf.DUMMYFUNCTION("""COMPUTED_VALUE"""),565.0)</f>
        <v>565</v>
      </c>
      <c r="I776" s="126">
        <f>IFERROR(__xludf.DUMMYFUNCTION("""COMPUTED_VALUE"""),565.0)</f>
        <v>565</v>
      </c>
      <c r="J776" s="131">
        <f>IFERROR(__xludf.DUMMYFUNCTION("""COMPUTED_VALUE"""),1.0)</f>
        <v>1</v>
      </c>
      <c r="K776" s="131">
        <f>IFERROR(__xludf.DUMMYFUNCTION("""COMPUTED_VALUE"""),1.0)</f>
        <v>1</v>
      </c>
      <c r="L776" s="131">
        <f>IFERROR(__xludf.DUMMYFUNCTION("""COMPUTED_VALUE"""),220.0)</f>
        <v>220</v>
      </c>
      <c r="M776" s="131">
        <f>IFERROR(__xludf.DUMMYFUNCTION("""COMPUTED_VALUE"""),232.0)</f>
        <v>232</v>
      </c>
      <c r="N776" s="131">
        <f>IFERROR(__xludf.DUMMYFUNCTION("""COMPUTED_VALUE"""),7.0)</f>
        <v>7</v>
      </c>
      <c r="O776" s="131">
        <f>IFERROR(__xludf.DUMMYFUNCTION("""COMPUTED_VALUE"""),7.0)</f>
        <v>7</v>
      </c>
      <c r="P776" s="131">
        <f>IFERROR(__xludf.DUMMYFUNCTION("""COMPUTED_VALUE"""),407.0)</f>
        <v>407</v>
      </c>
      <c r="Q776" s="131"/>
      <c r="R776" s="131"/>
      <c r="T776" s="131"/>
      <c r="U776" s="131"/>
      <c r="V776" s="131"/>
      <c r="W776" s="144">
        <f>IFERROR(__xludf.DUMMYFUNCTION("""COMPUTED_VALUE"""),45854.0)</f>
        <v>45854</v>
      </c>
      <c r="X776" s="144">
        <f>IFERROR(__xludf.DUMMYFUNCTION("""COMPUTED_VALUE"""),45861.0)</f>
        <v>45861</v>
      </c>
      <c r="Y776" s="144">
        <f>IFERROR(__xludf.DUMMYFUNCTION("""COMPUTED_VALUE"""),45882.0)</f>
        <v>45882</v>
      </c>
      <c r="Z776" s="131" t="str">
        <f>IFERROR(__xludf.DUMMYFUNCTION("""COMPUTED_VALUE"""),"DC32")</f>
        <v>DC32</v>
      </c>
      <c r="AA776" s="131"/>
      <c r="AB776" s="131"/>
      <c r="AC776" s="131"/>
      <c r="AD776" s="131"/>
      <c r="AE776" s="131">
        <f>IFERROR(__xludf.DUMMYFUNCTION("""COMPUTED_VALUE"""),386.0)</f>
        <v>386</v>
      </c>
      <c r="AF776" s="131">
        <f>IFERROR(__xludf.DUMMYFUNCTION("""COMPUTED_VALUE"""),386.0)</f>
        <v>386</v>
      </c>
      <c r="AG776" s="131">
        <f>IFERROR(__xludf.DUMMYFUNCTION("""COMPUTED_VALUE"""),1.0)</f>
        <v>1</v>
      </c>
      <c r="AH776" s="131">
        <f>IFERROR(__xludf.DUMMYFUNCTION("""COMPUTED_VALUE"""),1.0)</f>
        <v>1</v>
      </c>
      <c r="AI776" s="131">
        <f>IFERROR(__xludf.DUMMYFUNCTION("""COMPUTED_VALUE"""),407.0)</f>
        <v>407</v>
      </c>
      <c r="AJ776" s="131"/>
      <c r="AK776" s="131"/>
    </row>
    <row r="777">
      <c r="A777" s="124"/>
      <c r="B777" s="131"/>
      <c r="C777" s="131"/>
      <c r="D777" s="144">
        <f>IFERROR(__xludf.DUMMYFUNCTION("""COMPUTED_VALUE"""),45854.0)</f>
        <v>45854</v>
      </c>
      <c r="E777" s="147">
        <f>IFERROR(__xludf.DUMMYFUNCTION("""COMPUTED_VALUE"""),45861.0)</f>
        <v>45861</v>
      </c>
      <c r="F777" s="147">
        <f>IFERROR(__xludf.DUMMYFUNCTION("""COMPUTED_VALUE"""),45882.0)</f>
        <v>45882</v>
      </c>
      <c r="G777" s="131" t="str">
        <f>IFERROR(__xludf.DUMMYFUNCTION("""COMPUTED_VALUE"""),"DC32")</f>
        <v>DC32</v>
      </c>
      <c r="H777" s="126"/>
      <c r="I777" s="126"/>
      <c r="J777" s="131"/>
      <c r="K777" s="131"/>
      <c r="L777" s="131">
        <f>IFERROR(__xludf.DUMMYFUNCTION("""COMPUTED_VALUE"""),386.0)</f>
        <v>386</v>
      </c>
      <c r="M777" s="131">
        <f>IFERROR(__xludf.DUMMYFUNCTION("""COMPUTED_VALUE"""),386.0)</f>
        <v>386</v>
      </c>
      <c r="N777" s="131">
        <f>IFERROR(__xludf.DUMMYFUNCTION("""COMPUTED_VALUE"""),1.0)</f>
        <v>1</v>
      </c>
      <c r="O777" s="131">
        <f>IFERROR(__xludf.DUMMYFUNCTION("""COMPUTED_VALUE"""),1.0)</f>
        <v>1</v>
      </c>
      <c r="P777" s="131">
        <f>IFERROR(__xludf.DUMMYFUNCTION("""COMPUTED_VALUE"""),407.0)</f>
        <v>407</v>
      </c>
      <c r="Q777" s="131"/>
      <c r="R777" s="131"/>
      <c r="T777" s="131"/>
      <c r="U777" s="131"/>
      <c r="V777" s="131"/>
      <c r="W777" s="144">
        <f>IFERROR(__xludf.DUMMYFUNCTION("""COMPUTED_VALUE"""),45854.0)</f>
        <v>45854</v>
      </c>
      <c r="X777" s="144">
        <f>IFERROR(__xludf.DUMMYFUNCTION("""COMPUTED_VALUE"""),45861.0)</f>
        <v>45861</v>
      </c>
      <c r="Y777" s="144">
        <f>IFERROR(__xludf.DUMMYFUNCTION("""COMPUTED_VALUE"""),45882.0)</f>
        <v>45882</v>
      </c>
      <c r="Z777" s="131" t="str">
        <f>IFERROR(__xludf.DUMMYFUNCTION("""COMPUTED_VALUE"""),"DC32")</f>
        <v>DC32</v>
      </c>
      <c r="AA777" s="131"/>
      <c r="AB777" s="131"/>
      <c r="AC777" s="131"/>
      <c r="AD777" s="131"/>
      <c r="AE777" s="131">
        <f>IFERROR(__xludf.DUMMYFUNCTION("""COMPUTED_VALUE"""),558.0)</f>
        <v>558</v>
      </c>
      <c r="AF777" s="131">
        <f>IFERROR(__xludf.DUMMYFUNCTION("""COMPUTED_VALUE"""),564.0)</f>
        <v>564</v>
      </c>
      <c r="AG777" s="131">
        <f>IFERROR(__xludf.DUMMYFUNCTION("""COMPUTED_VALUE"""),4.0)</f>
        <v>4</v>
      </c>
      <c r="AH777" s="131">
        <f>IFERROR(__xludf.DUMMYFUNCTION("""COMPUTED_VALUE"""),4.0)</f>
        <v>4</v>
      </c>
      <c r="AI777" s="131">
        <f>IFERROR(__xludf.DUMMYFUNCTION("""COMPUTED_VALUE"""),407.0)</f>
        <v>407</v>
      </c>
      <c r="AJ777" s="131"/>
      <c r="AK777" s="131"/>
    </row>
    <row r="778">
      <c r="A778" s="124"/>
      <c r="B778" s="131"/>
      <c r="C778" s="131"/>
      <c r="D778" s="144">
        <f>IFERROR(__xludf.DUMMYFUNCTION("""COMPUTED_VALUE"""),45854.0)</f>
        <v>45854</v>
      </c>
      <c r="E778" s="147">
        <f>IFERROR(__xludf.DUMMYFUNCTION("""COMPUTED_VALUE"""),45861.0)</f>
        <v>45861</v>
      </c>
      <c r="F778" s="147">
        <f>IFERROR(__xludf.DUMMYFUNCTION("""COMPUTED_VALUE"""),45882.0)</f>
        <v>45882</v>
      </c>
      <c r="G778" s="131" t="str">
        <f>IFERROR(__xludf.DUMMYFUNCTION("""COMPUTED_VALUE"""),"DC32")</f>
        <v>DC32</v>
      </c>
      <c r="H778" s="126"/>
      <c r="I778" s="126"/>
      <c r="J778" s="131"/>
      <c r="K778" s="131"/>
      <c r="L778" s="131">
        <f>IFERROR(__xludf.DUMMYFUNCTION("""COMPUTED_VALUE"""),558.0)</f>
        <v>558</v>
      </c>
      <c r="M778" s="131">
        <f>IFERROR(__xludf.DUMMYFUNCTION("""COMPUTED_VALUE"""),564.0)</f>
        <v>564</v>
      </c>
      <c r="N778" s="131">
        <f>IFERROR(__xludf.DUMMYFUNCTION("""COMPUTED_VALUE"""),4.0)</f>
        <v>4</v>
      </c>
      <c r="O778" s="131">
        <f>IFERROR(__xludf.DUMMYFUNCTION("""COMPUTED_VALUE"""),4.0)</f>
        <v>4</v>
      </c>
      <c r="P778" s="131">
        <f>IFERROR(__xludf.DUMMYFUNCTION("""COMPUTED_VALUE"""),407.0)</f>
        <v>407</v>
      </c>
      <c r="Q778" s="131"/>
      <c r="R778" s="131"/>
      <c r="T778" s="131"/>
      <c r="U778" s="131"/>
      <c r="V778" s="131"/>
      <c r="W778" s="144">
        <f>IFERROR(__xludf.DUMMYFUNCTION("""COMPUTED_VALUE"""),45854.0)</f>
        <v>45854</v>
      </c>
      <c r="X778" s="144">
        <f>IFERROR(__xludf.DUMMYFUNCTION("""COMPUTED_VALUE"""),45861.0)</f>
        <v>45861</v>
      </c>
      <c r="Y778" s="144">
        <f>IFERROR(__xludf.DUMMYFUNCTION("""COMPUTED_VALUE"""),45882.0)</f>
        <v>45882</v>
      </c>
      <c r="Z778" s="131" t="str">
        <f>IFERROR(__xludf.DUMMYFUNCTION("""COMPUTED_VALUE"""),"DC33")</f>
        <v>DC33</v>
      </c>
      <c r="AA778" s="131"/>
      <c r="AB778" s="131"/>
      <c r="AC778" s="131"/>
      <c r="AD778" s="131"/>
      <c r="AE778" s="131">
        <f>IFERROR(__xludf.DUMMYFUNCTION("""COMPUTED_VALUE"""),2.0)</f>
        <v>2</v>
      </c>
      <c r="AF778" s="131">
        <f>IFERROR(__xludf.DUMMYFUNCTION("""COMPUTED_VALUE"""),8.0)</f>
        <v>8</v>
      </c>
      <c r="AG778" s="131">
        <f>IFERROR(__xludf.DUMMYFUNCTION("""COMPUTED_VALUE"""),4.0)</f>
        <v>4</v>
      </c>
      <c r="AH778" s="131">
        <f>IFERROR(__xludf.DUMMYFUNCTION("""COMPUTED_VALUE"""),4.0)</f>
        <v>4</v>
      </c>
      <c r="AI778" s="131">
        <f>IFERROR(__xludf.DUMMYFUNCTION("""COMPUTED_VALUE"""),407.0)</f>
        <v>407</v>
      </c>
      <c r="AJ778" s="131"/>
      <c r="AK778" s="131"/>
    </row>
    <row r="779">
      <c r="A779" s="124"/>
      <c r="B779" s="131"/>
      <c r="C779" s="131"/>
      <c r="D779" s="144">
        <f>IFERROR(__xludf.DUMMYFUNCTION("""COMPUTED_VALUE"""),45854.0)</f>
        <v>45854</v>
      </c>
      <c r="E779" s="147">
        <f>IFERROR(__xludf.DUMMYFUNCTION("""COMPUTED_VALUE"""),45861.0)</f>
        <v>45861</v>
      </c>
      <c r="F779" s="147">
        <f>IFERROR(__xludf.DUMMYFUNCTION("""COMPUTED_VALUE"""),45882.0)</f>
        <v>45882</v>
      </c>
      <c r="G779" s="131" t="str">
        <f>IFERROR(__xludf.DUMMYFUNCTION("""COMPUTED_VALUE"""),"DC33")</f>
        <v>DC33</v>
      </c>
      <c r="H779" s="126"/>
      <c r="I779" s="126"/>
      <c r="J779" s="131"/>
      <c r="K779" s="131"/>
      <c r="L779" s="131">
        <f>IFERROR(__xludf.DUMMYFUNCTION("""COMPUTED_VALUE"""),2.0)</f>
        <v>2</v>
      </c>
      <c r="M779" s="131">
        <f>IFERROR(__xludf.DUMMYFUNCTION("""COMPUTED_VALUE"""),8.0)</f>
        <v>8</v>
      </c>
      <c r="N779" s="131">
        <f>IFERROR(__xludf.DUMMYFUNCTION("""COMPUTED_VALUE"""),4.0)</f>
        <v>4</v>
      </c>
      <c r="O779" s="131">
        <f>IFERROR(__xludf.DUMMYFUNCTION("""COMPUTED_VALUE"""),4.0)</f>
        <v>4</v>
      </c>
      <c r="P779" s="131">
        <f>IFERROR(__xludf.DUMMYFUNCTION("""COMPUTED_VALUE"""),407.0)</f>
        <v>407</v>
      </c>
      <c r="Q779" s="131"/>
      <c r="R779" s="131"/>
      <c r="T779" s="131"/>
      <c r="U779" s="131"/>
      <c r="V779" s="131"/>
      <c r="W779" s="144">
        <f>IFERROR(__xludf.DUMMYFUNCTION("""COMPUTED_VALUE"""),45854.0)</f>
        <v>45854</v>
      </c>
      <c r="X779" s="144">
        <f>IFERROR(__xludf.DUMMYFUNCTION("""COMPUTED_VALUE"""),45861.0)</f>
        <v>45861</v>
      </c>
      <c r="Y779" s="144">
        <f>IFERROR(__xludf.DUMMYFUNCTION("""COMPUTED_VALUE"""),45882.0)</f>
        <v>45882</v>
      </c>
      <c r="Z779" s="131" t="str">
        <f>IFERROR(__xludf.DUMMYFUNCTION("""COMPUTED_VALUE"""),"DC34")</f>
        <v>DC34</v>
      </c>
      <c r="AA779" s="131">
        <f>IFERROR(__xludf.DUMMYFUNCTION("""COMPUTED_VALUE"""),225.0)</f>
        <v>225</v>
      </c>
      <c r="AB779" s="131">
        <f>IFERROR(__xludf.DUMMYFUNCTION("""COMPUTED_VALUE"""),225.0)</f>
        <v>225</v>
      </c>
      <c r="AC779" s="131">
        <f>IFERROR(__xludf.DUMMYFUNCTION("""COMPUTED_VALUE"""),1.0)</f>
        <v>1</v>
      </c>
      <c r="AD779" s="131">
        <f>IFERROR(__xludf.DUMMYFUNCTION("""COMPUTED_VALUE"""),1.0)</f>
        <v>1</v>
      </c>
      <c r="AE779" s="131">
        <f>IFERROR(__xludf.DUMMYFUNCTION("""COMPUTED_VALUE"""),6.0)</f>
        <v>6</v>
      </c>
      <c r="AF779" s="131">
        <f>IFERROR(__xludf.DUMMYFUNCTION("""COMPUTED_VALUE"""),10.0)</f>
        <v>10</v>
      </c>
      <c r="AG779" s="131">
        <f>IFERROR(__xludf.DUMMYFUNCTION("""COMPUTED_VALUE"""),3.0)</f>
        <v>3</v>
      </c>
      <c r="AH779" s="131">
        <f>IFERROR(__xludf.DUMMYFUNCTION("""COMPUTED_VALUE"""),3.0)</f>
        <v>3</v>
      </c>
      <c r="AI779" s="131">
        <f>IFERROR(__xludf.DUMMYFUNCTION("""COMPUTED_VALUE"""),407.0)</f>
        <v>407</v>
      </c>
      <c r="AJ779" s="131"/>
      <c r="AK779" s="131"/>
    </row>
    <row r="780">
      <c r="A780" s="124"/>
      <c r="B780" s="131"/>
      <c r="C780" s="131"/>
      <c r="D780" s="144">
        <f>IFERROR(__xludf.DUMMYFUNCTION("""COMPUTED_VALUE"""),45854.0)</f>
        <v>45854</v>
      </c>
      <c r="E780" s="147">
        <f>IFERROR(__xludf.DUMMYFUNCTION("""COMPUTED_VALUE"""),45861.0)</f>
        <v>45861</v>
      </c>
      <c r="F780" s="147">
        <f>IFERROR(__xludf.DUMMYFUNCTION("""COMPUTED_VALUE"""),45882.0)</f>
        <v>45882</v>
      </c>
      <c r="G780" s="131" t="str">
        <f>IFERROR(__xludf.DUMMYFUNCTION("""COMPUTED_VALUE"""),"DC34")</f>
        <v>DC34</v>
      </c>
      <c r="H780" s="126">
        <f>IFERROR(__xludf.DUMMYFUNCTION("""COMPUTED_VALUE"""),225.0)</f>
        <v>225</v>
      </c>
      <c r="I780" s="126">
        <f>IFERROR(__xludf.DUMMYFUNCTION("""COMPUTED_VALUE"""),225.0)</f>
        <v>225</v>
      </c>
      <c r="J780" s="131">
        <f>IFERROR(__xludf.DUMMYFUNCTION("""COMPUTED_VALUE"""),1.0)</f>
        <v>1</v>
      </c>
      <c r="K780" s="131">
        <f>IFERROR(__xludf.DUMMYFUNCTION("""COMPUTED_VALUE"""),1.0)</f>
        <v>1</v>
      </c>
      <c r="L780" s="131">
        <f>IFERROR(__xludf.DUMMYFUNCTION("""COMPUTED_VALUE"""),6.0)</f>
        <v>6</v>
      </c>
      <c r="M780" s="131">
        <f>IFERROR(__xludf.DUMMYFUNCTION("""COMPUTED_VALUE"""),10.0)</f>
        <v>10</v>
      </c>
      <c r="N780" s="131">
        <f>IFERROR(__xludf.DUMMYFUNCTION("""COMPUTED_VALUE"""),3.0)</f>
        <v>3</v>
      </c>
      <c r="O780" s="131">
        <f>IFERROR(__xludf.DUMMYFUNCTION("""COMPUTED_VALUE"""),3.0)</f>
        <v>3</v>
      </c>
      <c r="P780" s="131">
        <f>IFERROR(__xludf.DUMMYFUNCTION("""COMPUTED_VALUE"""),407.0)</f>
        <v>407</v>
      </c>
      <c r="Q780" s="131"/>
      <c r="R780" s="131"/>
      <c r="T780" s="131"/>
      <c r="U780" s="131"/>
      <c r="V780" s="131"/>
      <c r="W780" s="144">
        <f>IFERROR(__xludf.DUMMYFUNCTION("""COMPUTED_VALUE"""),45854.0)</f>
        <v>45854</v>
      </c>
      <c r="X780" s="144">
        <f>IFERROR(__xludf.DUMMYFUNCTION("""COMPUTED_VALUE"""),45861.0)</f>
        <v>45861</v>
      </c>
      <c r="Y780" s="144">
        <f>IFERROR(__xludf.DUMMYFUNCTION("""COMPUTED_VALUE"""),45882.0)</f>
        <v>45882</v>
      </c>
      <c r="Z780" s="131" t="str">
        <f>IFERROR(__xludf.DUMMYFUNCTION("""COMPUTED_VALUE"""),"D34-2R")</f>
        <v>D34-2R</v>
      </c>
      <c r="AA780" s="131">
        <f>IFERROR(__xludf.DUMMYFUNCTION("""COMPUTED_VALUE"""),1.0)</f>
        <v>1</v>
      </c>
      <c r="AB780" s="131">
        <f>IFERROR(__xludf.DUMMYFUNCTION("""COMPUTED_VALUE"""),1.0)</f>
        <v>1</v>
      </c>
      <c r="AC780" s="131">
        <f>IFERROR(__xludf.DUMMYFUNCTION("""COMPUTED_VALUE"""),1.0)</f>
        <v>1</v>
      </c>
      <c r="AD780" s="131">
        <f>IFERROR(__xludf.DUMMYFUNCTION("""COMPUTED_VALUE"""),1.0)</f>
        <v>1</v>
      </c>
      <c r="AE780" s="131"/>
      <c r="AF780" s="131"/>
      <c r="AG780" s="131"/>
      <c r="AH780" s="131"/>
      <c r="AI780" s="131">
        <f>IFERROR(__xludf.DUMMYFUNCTION("""COMPUTED_VALUE"""),407.0)</f>
        <v>407</v>
      </c>
      <c r="AJ780" s="131"/>
      <c r="AK780" s="131"/>
    </row>
    <row r="781">
      <c r="A781" s="124"/>
      <c r="B781" s="131"/>
      <c r="C781" s="131"/>
      <c r="D781" s="144">
        <f>IFERROR(__xludf.DUMMYFUNCTION("""COMPUTED_VALUE"""),45854.0)</f>
        <v>45854</v>
      </c>
      <c r="E781" s="147">
        <f>IFERROR(__xludf.DUMMYFUNCTION("""COMPUTED_VALUE"""),45861.0)</f>
        <v>45861</v>
      </c>
      <c r="F781" s="147">
        <f>IFERROR(__xludf.DUMMYFUNCTION("""COMPUTED_VALUE"""),45882.0)</f>
        <v>45882</v>
      </c>
      <c r="G781" s="131" t="str">
        <f>IFERROR(__xludf.DUMMYFUNCTION("""COMPUTED_VALUE"""),"D34-2R")</f>
        <v>D34-2R</v>
      </c>
      <c r="H781" s="126">
        <f>IFERROR(__xludf.DUMMYFUNCTION("""COMPUTED_VALUE"""),1.0)</f>
        <v>1</v>
      </c>
      <c r="I781" s="126">
        <f>IFERROR(__xludf.DUMMYFUNCTION("""COMPUTED_VALUE"""),1.0)</f>
        <v>1</v>
      </c>
      <c r="J781" s="131">
        <f>IFERROR(__xludf.DUMMYFUNCTION("""COMPUTED_VALUE"""),1.0)</f>
        <v>1</v>
      </c>
      <c r="K781" s="131">
        <f>IFERROR(__xludf.DUMMYFUNCTION("""COMPUTED_VALUE"""),1.0)</f>
        <v>1</v>
      </c>
      <c r="L781" s="131"/>
      <c r="M781" s="131"/>
      <c r="N781" s="131"/>
      <c r="O781" s="131"/>
      <c r="P781" s="131">
        <f>IFERROR(__xludf.DUMMYFUNCTION("""COMPUTED_VALUE"""),407.0)</f>
        <v>407</v>
      </c>
      <c r="Q781" s="131"/>
      <c r="R781" s="131"/>
      <c r="T781" s="131"/>
      <c r="U781" s="131"/>
      <c r="V781" s="131"/>
      <c r="W781" s="144">
        <f>IFERROR(__xludf.DUMMYFUNCTION("""COMPUTED_VALUE"""),45854.0)</f>
        <v>45854</v>
      </c>
      <c r="X781" s="144">
        <f>IFERROR(__xludf.DUMMYFUNCTION("""COMPUTED_VALUE"""),45861.0)</f>
        <v>45861</v>
      </c>
      <c r="Y781" s="144">
        <f>IFERROR(__xludf.DUMMYFUNCTION("""COMPUTED_VALUE"""),45882.0)</f>
        <v>45882</v>
      </c>
      <c r="Z781" s="131" t="str">
        <f>IFERROR(__xludf.DUMMYFUNCTION("""COMPUTED_VALUE"""),"D34-3R")</f>
        <v>D34-3R</v>
      </c>
      <c r="AA781" s="131"/>
      <c r="AB781" s="131"/>
      <c r="AC781" s="131"/>
      <c r="AD781" s="131"/>
      <c r="AE781" s="131">
        <f>IFERROR(__xludf.DUMMYFUNCTION("""COMPUTED_VALUE"""),6.0)</f>
        <v>6</v>
      </c>
      <c r="AF781" s="131">
        <f>IFERROR(__xludf.DUMMYFUNCTION("""COMPUTED_VALUE"""),8.0)</f>
        <v>8</v>
      </c>
      <c r="AG781" s="131">
        <f>IFERROR(__xludf.DUMMYFUNCTION("""COMPUTED_VALUE"""),2.0)</f>
        <v>2</v>
      </c>
      <c r="AH781" s="131">
        <f>IFERROR(__xludf.DUMMYFUNCTION("""COMPUTED_VALUE"""),2.0)</f>
        <v>2</v>
      </c>
      <c r="AI781" s="131">
        <f>IFERROR(__xludf.DUMMYFUNCTION("""COMPUTED_VALUE"""),407.0)</f>
        <v>407</v>
      </c>
      <c r="AJ781" s="131"/>
      <c r="AK781" s="131"/>
    </row>
    <row r="782">
      <c r="A782" s="124"/>
      <c r="B782" s="131"/>
      <c r="C782" s="131"/>
      <c r="D782" s="144">
        <f>IFERROR(__xludf.DUMMYFUNCTION("""COMPUTED_VALUE"""),45854.0)</f>
        <v>45854</v>
      </c>
      <c r="E782" s="147">
        <f>IFERROR(__xludf.DUMMYFUNCTION("""COMPUTED_VALUE"""),45861.0)</f>
        <v>45861</v>
      </c>
      <c r="F782" s="147">
        <f>IFERROR(__xludf.DUMMYFUNCTION("""COMPUTED_VALUE"""),45882.0)</f>
        <v>45882</v>
      </c>
      <c r="G782" s="131" t="str">
        <f>IFERROR(__xludf.DUMMYFUNCTION("""COMPUTED_VALUE"""),"D34-3R")</f>
        <v>D34-3R</v>
      </c>
      <c r="H782" s="126"/>
      <c r="I782" s="126"/>
      <c r="J782" s="131"/>
      <c r="K782" s="131"/>
      <c r="L782" s="131">
        <f>IFERROR(__xludf.DUMMYFUNCTION("""COMPUTED_VALUE"""),6.0)</f>
        <v>6</v>
      </c>
      <c r="M782" s="131">
        <f>IFERROR(__xludf.DUMMYFUNCTION("""COMPUTED_VALUE"""),8.0)</f>
        <v>8</v>
      </c>
      <c r="N782" s="131">
        <f>IFERROR(__xludf.DUMMYFUNCTION("""COMPUTED_VALUE"""),2.0)</f>
        <v>2</v>
      </c>
      <c r="O782" s="131">
        <f>IFERROR(__xludf.DUMMYFUNCTION("""COMPUTED_VALUE"""),2.0)</f>
        <v>2</v>
      </c>
      <c r="P782" s="131">
        <f>IFERROR(__xludf.DUMMYFUNCTION("""COMPUTED_VALUE"""),407.0)</f>
        <v>407</v>
      </c>
      <c r="Q782" s="131"/>
      <c r="R782" s="131"/>
      <c r="T782" s="131"/>
      <c r="U782" s="131"/>
      <c r="V782" s="131"/>
      <c r="W782" s="144">
        <f>IFERROR(__xludf.DUMMYFUNCTION("""COMPUTED_VALUE"""),45855.0)</f>
        <v>45855</v>
      </c>
      <c r="X782" s="144">
        <f>IFERROR(__xludf.DUMMYFUNCTION("""COMPUTED_VALUE"""),45862.0)</f>
        <v>45862</v>
      </c>
      <c r="Y782" s="144">
        <f>IFERROR(__xludf.DUMMYFUNCTION("""COMPUTED_VALUE"""),45883.0)</f>
        <v>45883</v>
      </c>
      <c r="Z782" s="131" t="str">
        <f>IFERROR(__xludf.DUMMYFUNCTION("""COMPUTED_VALUE"""),"D42-3L")</f>
        <v>D42-3L</v>
      </c>
      <c r="AA782" s="131"/>
      <c r="AB782" s="131"/>
      <c r="AC782" s="131"/>
      <c r="AD782" s="131"/>
      <c r="AE782" s="131">
        <f>IFERROR(__xludf.DUMMYFUNCTION("""COMPUTED_VALUE"""),120.0)</f>
        <v>120</v>
      </c>
      <c r="AF782" s="131">
        <f>IFERROR(__xludf.DUMMYFUNCTION("""COMPUTED_VALUE"""),308.0)</f>
        <v>308</v>
      </c>
      <c r="AG782" s="131">
        <f>IFERROR(__xludf.DUMMYFUNCTION("""COMPUTED_VALUE"""),95.0)</f>
        <v>95</v>
      </c>
      <c r="AH782" s="131">
        <f>IFERROR(__xludf.DUMMYFUNCTION("""COMPUTED_VALUE"""),95.0)</f>
        <v>95</v>
      </c>
      <c r="AI782" s="131">
        <f>IFERROR(__xludf.DUMMYFUNCTION("""COMPUTED_VALUE"""),408.0)</f>
        <v>408</v>
      </c>
      <c r="AJ782" s="131"/>
      <c r="AK782" s="131"/>
    </row>
    <row r="783">
      <c r="A783" s="124"/>
      <c r="B783" s="131"/>
      <c r="C783" s="131"/>
      <c r="D783" s="144">
        <f>IFERROR(__xludf.DUMMYFUNCTION("""COMPUTED_VALUE"""),45855.0)</f>
        <v>45855</v>
      </c>
      <c r="E783" s="147">
        <f>IFERROR(__xludf.DUMMYFUNCTION("""COMPUTED_VALUE"""),45862.0)</f>
        <v>45862</v>
      </c>
      <c r="F783" s="147">
        <f>IFERROR(__xludf.DUMMYFUNCTION("""COMPUTED_VALUE"""),45883.0)</f>
        <v>45883</v>
      </c>
      <c r="G783" s="131" t="str">
        <f>IFERROR(__xludf.DUMMYFUNCTION("""COMPUTED_VALUE"""),"D42-3L")</f>
        <v>D42-3L</v>
      </c>
      <c r="H783" s="126"/>
      <c r="I783" s="126"/>
      <c r="J783" s="131"/>
      <c r="K783" s="131"/>
      <c r="L783" s="131">
        <f>IFERROR(__xludf.DUMMYFUNCTION("""COMPUTED_VALUE"""),120.0)</f>
        <v>120</v>
      </c>
      <c r="M783" s="131">
        <f>IFERROR(__xludf.DUMMYFUNCTION("""COMPUTED_VALUE"""),308.0)</f>
        <v>308</v>
      </c>
      <c r="N783" s="131">
        <f>IFERROR(__xludf.DUMMYFUNCTION("""COMPUTED_VALUE"""),95.0)</f>
        <v>95</v>
      </c>
      <c r="O783" s="131">
        <f>IFERROR(__xludf.DUMMYFUNCTION("""COMPUTED_VALUE"""),95.0)</f>
        <v>95</v>
      </c>
      <c r="P783" s="131">
        <f>IFERROR(__xludf.DUMMYFUNCTION("""COMPUTED_VALUE"""),408.0)</f>
        <v>408</v>
      </c>
      <c r="Q783" s="131"/>
      <c r="R783" s="131"/>
      <c r="T783" s="131"/>
      <c r="U783" s="131"/>
      <c r="V783" s="131"/>
      <c r="W783" s="144">
        <f>IFERROR(__xludf.DUMMYFUNCTION("""COMPUTED_VALUE"""),45855.0)</f>
        <v>45855</v>
      </c>
      <c r="X783" s="144">
        <f>IFERROR(__xludf.DUMMYFUNCTION("""COMPUTED_VALUE"""),45862.0)</f>
        <v>45862</v>
      </c>
      <c r="Y783" s="144">
        <f>IFERROR(__xludf.DUMMYFUNCTION("""COMPUTED_VALUE"""),45883.0)</f>
        <v>45883</v>
      </c>
      <c r="Z783" s="131" t="str">
        <f>IFERROR(__xludf.DUMMYFUNCTION("""COMPUTED_VALUE"""),"D42-2L")</f>
        <v>D42-2L</v>
      </c>
      <c r="AA783" s="131"/>
      <c r="AB783" s="131"/>
      <c r="AC783" s="131"/>
      <c r="AD783" s="131"/>
      <c r="AE783" s="131">
        <f>IFERROR(__xludf.DUMMYFUNCTION("""COMPUTED_VALUE"""),2.0)</f>
        <v>2</v>
      </c>
      <c r="AF783" s="131">
        <f>IFERROR(__xludf.DUMMYFUNCTION("""COMPUTED_VALUE"""),6.0)</f>
        <v>6</v>
      </c>
      <c r="AG783" s="131">
        <f>IFERROR(__xludf.DUMMYFUNCTION("""COMPUTED_VALUE"""),3.0)</f>
        <v>3</v>
      </c>
      <c r="AH783" s="131">
        <f>IFERROR(__xludf.DUMMYFUNCTION("""COMPUTED_VALUE"""),3.0)</f>
        <v>3</v>
      </c>
      <c r="AI783" s="131">
        <f>IFERROR(__xludf.DUMMYFUNCTION("""COMPUTED_VALUE"""),408.0)</f>
        <v>408</v>
      </c>
      <c r="AJ783" s="131"/>
      <c r="AK783" s="131"/>
    </row>
    <row r="784">
      <c r="A784" s="124"/>
      <c r="B784" s="131"/>
      <c r="C784" s="131"/>
      <c r="D784" s="144">
        <f>IFERROR(__xludf.DUMMYFUNCTION("""COMPUTED_VALUE"""),45855.0)</f>
        <v>45855</v>
      </c>
      <c r="E784" s="147">
        <f>IFERROR(__xludf.DUMMYFUNCTION("""COMPUTED_VALUE"""),45862.0)</f>
        <v>45862</v>
      </c>
      <c r="F784" s="147">
        <f>IFERROR(__xludf.DUMMYFUNCTION("""COMPUTED_VALUE"""),45883.0)</f>
        <v>45883</v>
      </c>
      <c r="G784" s="131" t="str">
        <f>IFERROR(__xludf.DUMMYFUNCTION("""COMPUTED_VALUE"""),"D42-2L")</f>
        <v>D42-2L</v>
      </c>
      <c r="H784" s="126"/>
      <c r="I784" s="126"/>
      <c r="J784" s="131"/>
      <c r="K784" s="131"/>
      <c r="L784" s="131">
        <f>IFERROR(__xludf.DUMMYFUNCTION("""COMPUTED_VALUE"""),2.0)</f>
        <v>2</v>
      </c>
      <c r="M784" s="131">
        <f>IFERROR(__xludf.DUMMYFUNCTION("""COMPUTED_VALUE"""),6.0)</f>
        <v>6</v>
      </c>
      <c r="N784" s="131">
        <f>IFERROR(__xludf.DUMMYFUNCTION("""COMPUTED_VALUE"""),3.0)</f>
        <v>3</v>
      </c>
      <c r="O784" s="131">
        <f>IFERROR(__xludf.DUMMYFUNCTION("""COMPUTED_VALUE"""),3.0)</f>
        <v>3</v>
      </c>
      <c r="P784" s="131">
        <f>IFERROR(__xludf.DUMMYFUNCTION("""COMPUTED_VALUE"""),408.0)</f>
        <v>408</v>
      </c>
      <c r="Q784" s="131"/>
      <c r="R784" s="131"/>
      <c r="T784" s="131"/>
      <c r="U784" s="131"/>
      <c r="V784" s="131"/>
      <c r="W784" s="144">
        <f>IFERROR(__xludf.DUMMYFUNCTION("""COMPUTED_VALUE"""),45855.0)</f>
        <v>45855</v>
      </c>
      <c r="X784" s="144">
        <f>IFERROR(__xludf.DUMMYFUNCTION("""COMPUTED_VALUE"""),45862.0)</f>
        <v>45862</v>
      </c>
      <c r="Y784" s="144">
        <f>IFERROR(__xludf.DUMMYFUNCTION("""COMPUTED_VALUE"""),45883.0)</f>
        <v>45883</v>
      </c>
      <c r="Z784" s="131" t="str">
        <f>IFERROR(__xludf.DUMMYFUNCTION("""COMPUTED_VALUE"""),"D42-5L")</f>
        <v>D42-5L</v>
      </c>
      <c r="AA784" s="131"/>
      <c r="AB784" s="131"/>
      <c r="AC784" s="131"/>
      <c r="AD784" s="131"/>
      <c r="AE784" s="131">
        <f>IFERROR(__xludf.DUMMYFUNCTION("""COMPUTED_VALUE"""),2.0)</f>
        <v>2</v>
      </c>
      <c r="AF784" s="131">
        <f>IFERROR(__xludf.DUMMYFUNCTION("""COMPUTED_VALUE"""),14.0)</f>
        <v>14</v>
      </c>
      <c r="AG784" s="131">
        <f>IFERROR(__xludf.DUMMYFUNCTION("""COMPUTED_VALUE"""),7.0)</f>
        <v>7</v>
      </c>
      <c r="AH784" s="131">
        <f>IFERROR(__xludf.DUMMYFUNCTION("""COMPUTED_VALUE"""),7.0)</f>
        <v>7</v>
      </c>
      <c r="AI784" s="131">
        <f>IFERROR(__xludf.DUMMYFUNCTION("""COMPUTED_VALUE"""),408.0)</f>
        <v>408</v>
      </c>
      <c r="AJ784" s="131"/>
      <c r="AK784" s="131"/>
    </row>
    <row r="785">
      <c r="A785" s="124"/>
      <c r="B785" s="131"/>
      <c r="C785" s="131"/>
      <c r="D785" s="144">
        <f>IFERROR(__xludf.DUMMYFUNCTION("""COMPUTED_VALUE"""),45855.0)</f>
        <v>45855</v>
      </c>
      <c r="E785" s="147">
        <f>IFERROR(__xludf.DUMMYFUNCTION("""COMPUTED_VALUE"""),45862.0)</f>
        <v>45862</v>
      </c>
      <c r="F785" s="147">
        <f>IFERROR(__xludf.DUMMYFUNCTION("""COMPUTED_VALUE"""),45883.0)</f>
        <v>45883</v>
      </c>
      <c r="G785" s="131" t="str">
        <f>IFERROR(__xludf.DUMMYFUNCTION("""COMPUTED_VALUE"""),"D42-5L")</f>
        <v>D42-5L</v>
      </c>
      <c r="H785" s="126"/>
      <c r="I785" s="126"/>
      <c r="J785" s="131"/>
      <c r="K785" s="131"/>
      <c r="L785" s="131">
        <f>IFERROR(__xludf.DUMMYFUNCTION("""COMPUTED_VALUE"""),2.0)</f>
        <v>2</v>
      </c>
      <c r="M785" s="131">
        <f>IFERROR(__xludf.DUMMYFUNCTION("""COMPUTED_VALUE"""),14.0)</f>
        <v>14</v>
      </c>
      <c r="N785" s="131">
        <f>IFERROR(__xludf.DUMMYFUNCTION("""COMPUTED_VALUE"""),7.0)</f>
        <v>7</v>
      </c>
      <c r="O785" s="131">
        <f>IFERROR(__xludf.DUMMYFUNCTION("""COMPUTED_VALUE"""),7.0)</f>
        <v>7</v>
      </c>
      <c r="P785" s="131">
        <f>IFERROR(__xludf.DUMMYFUNCTION("""COMPUTED_VALUE"""),408.0)</f>
        <v>408</v>
      </c>
      <c r="Q785" s="131"/>
      <c r="R785" s="131"/>
      <c r="T785" s="131"/>
      <c r="U785" s="131"/>
      <c r="V785" s="131"/>
      <c r="W785" s="144">
        <f>IFERROR(__xludf.DUMMYFUNCTION("""COMPUTED_VALUE"""),45855.0)</f>
        <v>45855</v>
      </c>
      <c r="X785" s="144">
        <f>IFERROR(__xludf.DUMMYFUNCTION("""COMPUTED_VALUE"""),45862.0)</f>
        <v>45862</v>
      </c>
      <c r="Y785" s="144">
        <f>IFERROR(__xludf.DUMMYFUNCTION("""COMPUTED_VALUE"""),45883.0)</f>
        <v>45883</v>
      </c>
      <c r="Z785" s="131" t="str">
        <f>IFERROR(__xludf.DUMMYFUNCTION("""COMPUTED_VALUE"""),"DC41")</f>
        <v>DC41</v>
      </c>
      <c r="AA785" s="131">
        <f>IFERROR(__xludf.DUMMYFUNCTION("""COMPUTED_VALUE"""),232.0)</f>
        <v>232</v>
      </c>
      <c r="AB785" s="131">
        <f>IFERROR(__xludf.DUMMYFUNCTION("""COMPUTED_VALUE"""),232.0)</f>
        <v>232</v>
      </c>
      <c r="AC785" s="131">
        <f>IFERROR(__xludf.DUMMYFUNCTION("""COMPUTED_VALUE"""),1.0)</f>
        <v>1</v>
      </c>
      <c r="AD785" s="131">
        <f>IFERROR(__xludf.DUMMYFUNCTION("""COMPUTED_VALUE"""),1.0)</f>
        <v>1</v>
      </c>
      <c r="AE785" s="131">
        <f>IFERROR(__xludf.DUMMYFUNCTION("""COMPUTED_VALUE"""),66.0)</f>
        <v>66</v>
      </c>
      <c r="AF785" s="131">
        <f>IFERROR(__xludf.DUMMYFUNCTION("""COMPUTED_VALUE"""),66.0)</f>
        <v>66</v>
      </c>
      <c r="AG785" s="131">
        <f>IFERROR(__xludf.DUMMYFUNCTION("""COMPUTED_VALUE"""),1.0)</f>
        <v>1</v>
      </c>
      <c r="AH785" s="131">
        <f>IFERROR(__xludf.DUMMYFUNCTION("""COMPUTED_VALUE"""),1.0)</f>
        <v>1</v>
      </c>
      <c r="AI785" s="131">
        <f>IFERROR(__xludf.DUMMYFUNCTION("""COMPUTED_VALUE"""),409.0)</f>
        <v>409</v>
      </c>
      <c r="AJ785" s="131"/>
      <c r="AK785" s="131"/>
    </row>
    <row r="786">
      <c r="A786" s="124"/>
      <c r="B786" s="131"/>
      <c r="C786" s="131"/>
      <c r="D786" s="144">
        <f>IFERROR(__xludf.DUMMYFUNCTION("""COMPUTED_VALUE"""),45855.0)</f>
        <v>45855</v>
      </c>
      <c r="E786" s="147">
        <f>IFERROR(__xludf.DUMMYFUNCTION("""COMPUTED_VALUE"""),45862.0)</f>
        <v>45862</v>
      </c>
      <c r="F786" s="147">
        <f>IFERROR(__xludf.DUMMYFUNCTION("""COMPUTED_VALUE"""),45883.0)</f>
        <v>45883</v>
      </c>
      <c r="G786" s="131" t="str">
        <f>IFERROR(__xludf.DUMMYFUNCTION("""COMPUTED_VALUE"""),"DC41")</f>
        <v>DC41</v>
      </c>
      <c r="H786" s="126">
        <f>IFERROR(__xludf.DUMMYFUNCTION("""COMPUTED_VALUE"""),232.0)</f>
        <v>232</v>
      </c>
      <c r="I786" s="126">
        <f>IFERROR(__xludf.DUMMYFUNCTION("""COMPUTED_VALUE"""),232.0)</f>
        <v>232</v>
      </c>
      <c r="J786" s="131">
        <f>IFERROR(__xludf.DUMMYFUNCTION("""COMPUTED_VALUE"""),1.0)</f>
        <v>1</v>
      </c>
      <c r="K786" s="131">
        <f>IFERROR(__xludf.DUMMYFUNCTION("""COMPUTED_VALUE"""),1.0)</f>
        <v>1</v>
      </c>
      <c r="L786" s="131">
        <f>IFERROR(__xludf.DUMMYFUNCTION("""COMPUTED_VALUE"""),66.0)</f>
        <v>66</v>
      </c>
      <c r="M786" s="131">
        <f>IFERROR(__xludf.DUMMYFUNCTION("""COMPUTED_VALUE"""),66.0)</f>
        <v>66</v>
      </c>
      <c r="N786" s="131">
        <f>IFERROR(__xludf.DUMMYFUNCTION("""COMPUTED_VALUE"""),1.0)</f>
        <v>1</v>
      </c>
      <c r="O786" s="131">
        <f>IFERROR(__xludf.DUMMYFUNCTION("""COMPUTED_VALUE"""),1.0)</f>
        <v>1</v>
      </c>
      <c r="P786" s="131">
        <f>IFERROR(__xludf.DUMMYFUNCTION("""COMPUTED_VALUE"""),409.0)</f>
        <v>409</v>
      </c>
      <c r="Q786" s="131"/>
      <c r="R786" s="131"/>
      <c r="T786" s="131"/>
      <c r="U786" s="131"/>
      <c r="V786" s="131"/>
      <c r="W786" s="144">
        <f>IFERROR(__xludf.DUMMYFUNCTION("""COMPUTED_VALUE"""),45855.0)</f>
        <v>45855</v>
      </c>
      <c r="X786" s="144">
        <f>IFERROR(__xludf.DUMMYFUNCTION("""COMPUTED_VALUE"""),45862.0)</f>
        <v>45862</v>
      </c>
      <c r="Y786" s="144">
        <f>IFERROR(__xludf.DUMMYFUNCTION("""COMPUTED_VALUE"""),45883.0)</f>
        <v>45883</v>
      </c>
      <c r="Z786" s="131" t="str">
        <f>IFERROR(__xludf.DUMMYFUNCTION("""COMPUTED_VALUE"""),"DC41")</f>
        <v>DC41</v>
      </c>
      <c r="AA786" s="131">
        <f>IFERROR(__xludf.DUMMYFUNCTION("""COMPUTED_VALUE"""),413.0)</f>
        <v>413</v>
      </c>
      <c r="AB786" s="131">
        <f>IFERROR(__xludf.DUMMYFUNCTION("""COMPUTED_VALUE"""),413.0)</f>
        <v>413</v>
      </c>
      <c r="AC786" s="131">
        <f>IFERROR(__xludf.DUMMYFUNCTION("""COMPUTED_VALUE"""),1.0)</f>
        <v>1</v>
      </c>
      <c r="AD786" s="131">
        <f>IFERROR(__xludf.DUMMYFUNCTION("""COMPUTED_VALUE"""),1.0)</f>
        <v>1</v>
      </c>
      <c r="AE786" s="131">
        <f>IFERROR(__xludf.DUMMYFUNCTION("""COMPUTED_VALUE"""),406.0)</f>
        <v>406</v>
      </c>
      <c r="AF786" s="131">
        <f>IFERROR(__xludf.DUMMYFUNCTION("""COMPUTED_VALUE"""),412.0)</f>
        <v>412</v>
      </c>
      <c r="AG786" s="131">
        <f>IFERROR(__xludf.DUMMYFUNCTION("""COMPUTED_VALUE"""),4.0)</f>
        <v>4</v>
      </c>
      <c r="AH786" s="131">
        <f>IFERROR(__xludf.DUMMYFUNCTION("""COMPUTED_VALUE"""),4.0)</f>
        <v>4</v>
      </c>
      <c r="AI786" s="131">
        <f>IFERROR(__xludf.DUMMYFUNCTION("""COMPUTED_VALUE"""),409.0)</f>
        <v>409</v>
      </c>
      <c r="AJ786" s="131"/>
      <c r="AK786" s="131"/>
    </row>
    <row r="787">
      <c r="A787" s="124"/>
      <c r="B787" s="131"/>
      <c r="C787" s="131"/>
      <c r="D787" s="144">
        <f>IFERROR(__xludf.DUMMYFUNCTION("""COMPUTED_VALUE"""),45855.0)</f>
        <v>45855</v>
      </c>
      <c r="E787" s="147">
        <f>IFERROR(__xludf.DUMMYFUNCTION("""COMPUTED_VALUE"""),45862.0)</f>
        <v>45862</v>
      </c>
      <c r="F787" s="147">
        <f>IFERROR(__xludf.DUMMYFUNCTION("""COMPUTED_VALUE"""),45883.0)</f>
        <v>45883</v>
      </c>
      <c r="G787" s="131" t="str">
        <f>IFERROR(__xludf.DUMMYFUNCTION("""COMPUTED_VALUE"""),"DC41")</f>
        <v>DC41</v>
      </c>
      <c r="H787" s="126">
        <f>IFERROR(__xludf.DUMMYFUNCTION("""COMPUTED_VALUE"""),413.0)</f>
        <v>413</v>
      </c>
      <c r="I787" s="126">
        <f>IFERROR(__xludf.DUMMYFUNCTION("""COMPUTED_VALUE"""),413.0)</f>
        <v>413</v>
      </c>
      <c r="J787" s="131">
        <f>IFERROR(__xludf.DUMMYFUNCTION("""COMPUTED_VALUE"""),1.0)</f>
        <v>1</v>
      </c>
      <c r="K787" s="131">
        <f>IFERROR(__xludf.DUMMYFUNCTION("""COMPUTED_VALUE"""),1.0)</f>
        <v>1</v>
      </c>
      <c r="L787" s="131">
        <f>IFERROR(__xludf.DUMMYFUNCTION("""COMPUTED_VALUE"""),406.0)</f>
        <v>406</v>
      </c>
      <c r="M787" s="131">
        <f>IFERROR(__xludf.DUMMYFUNCTION("""COMPUTED_VALUE"""),412.0)</f>
        <v>412</v>
      </c>
      <c r="N787" s="131">
        <f>IFERROR(__xludf.DUMMYFUNCTION("""COMPUTED_VALUE"""),4.0)</f>
        <v>4</v>
      </c>
      <c r="O787" s="131">
        <f>IFERROR(__xludf.DUMMYFUNCTION("""COMPUTED_VALUE"""),4.0)</f>
        <v>4</v>
      </c>
      <c r="P787" s="131">
        <f>IFERROR(__xludf.DUMMYFUNCTION("""COMPUTED_VALUE"""),409.0)</f>
        <v>409</v>
      </c>
      <c r="Q787" s="131"/>
      <c r="R787" s="131"/>
      <c r="T787" s="131"/>
      <c r="U787" s="131"/>
      <c r="V787" s="131"/>
      <c r="W787" s="144">
        <f>IFERROR(__xludf.DUMMYFUNCTION("""COMPUTED_VALUE"""),45855.0)</f>
        <v>45855</v>
      </c>
      <c r="X787" s="144">
        <f>IFERROR(__xludf.DUMMYFUNCTION("""COMPUTED_VALUE"""),45862.0)</f>
        <v>45862</v>
      </c>
      <c r="Y787" s="144">
        <f>IFERROR(__xludf.DUMMYFUNCTION("""COMPUTED_VALUE"""),45883.0)</f>
        <v>45883</v>
      </c>
      <c r="Z787" s="131" t="str">
        <f>IFERROR(__xludf.DUMMYFUNCTION("""COMPUTED_VALUE"""),"DC41")</f>
        <v>DC41</v>
      </c>
      <c r="AA787" s="131">
        <f>IFERROR(__xludf.DUMMYFUNCTION("""COMPUTED_VALUE"""),571.0)</f>
        <v>571</v>
      </c>
      <c r="AB787" s="131">
        <f>IFERROR(__xludf.DUMMYFUNCTION("""COMPUTED_VALUE"""),571.0)</f>
        <v>571</v>
      </c>
      <c r="AC787" s="131">
        <f>IFERROR(__xludf.DUMMYFUNCTION("""COMPUTED_VALUE"""),1.0)</f>
        <v>1</v>
      </c>
      <c r="AD787" s="131">
        <f>IFERROR(__xludf.DUMMYFUNCTION("""COMPUTED_VALUE"""),1.0)</f>
        <v>1</v>
      </c>
      <c r="AE787" s="131">
        <f>IFERROR(__xludf.DUMMYFUNCTION("""COMPUTED_VALUE"""),402.0)</f>
        <v>402</v>
      </c>
      <c r="AF787" s="131">
        <f>IFERROR(__xludf.DUMMYFUNCTION("""COMPUTED_VALUE"""),406.0)</f>
        <v>406</v>
      </c>
      <c r="AG787" s="131">
        <f>IFERROR(__xludf.DUMMYFUNCTION("""COMPUTED_VALUE"""),3.0)</f>
        <v>3</v>
      </c>
      <c r="AH787" s="131">
        <f>IFERROR(__xludf.DUMMYFUNCTION("""COMPUTED_VALUE"""),3.0)</f>
        <v>3</v>
      </c>
      <c r="AI787" s="131">
        <f>IFERROR(__xludf.DUMMYFUNCTION("""COMPUTED_VALUE"""),409.0)</f>
        <v>409</v>
      </c>
      <c r="AJ787" s="131"/>
      <c r="AK787" s="131"/>
    </row>
    <row r="788">
      <c r="A788" s="124"/>
      <c r="B788" s="131"/>
      <c r="C788" s="131"/>
      <c r="D788" s="144">
        <f>IFERROR(__xludf.DUMMYFUNCTION("""COMPUTED_VALUE"""),45855.0)</f>
        <v>45855</v>
      </c>
      <c r="E788" s="147">
        <f>IFERROR(__xludf.DUMMYFUNCTION("""COMPUTED_VALUE"""),45862.0)</f>
        <v>45862</v>
      </c>
      <c r="F788" s="147">
        <f>IFERROR(__xludf.DUMMYFUNCTION("""COMPUTED_VALUE"""),45883.0)</f>
        <v>45883</v>
      </c>
      <c r="G788" s="131" t="str">
        <f>IFERROR(__xludf.DUMMYFUNCTION("""COMPUTED_VALUE"""),"DC41")</f>
        <v>DC41</v>
      </c>
      <c r="H788" s="126">
        <f>IFERROR(__xludf.DUMMYFUNCTION("""COMPUTED_VALUE"""),571.0)</f>
        <v>571</v>
      </c>
      <c r="I788" s="126">
        <f>IFERROR(__xludf.DUMMYFUNCTION("""COMPUTED_VALUE"""),571.0)</f>
        <v>571</v>
      </c>
      <c r="J788" s="131">
        <f>IFERROR(__xludf.DUMMYFUNCTION("""COMPUTED_VALUE"""),1.0)</f>
        <v>1</v>
      </c>
      <c r="K788" s="131">
        <f>IFERROR(__xludf.DUMMYFUNCTION("""COMPUTED_VALUE"""),1.0)</f>
        <v>1</v>
      </c>
      <c r="L788" s="131">
        <f>IFERROR(__xludf.DUMMYFUNCTION("""COMPUTED_VALUE"""),402.0)</f>
        <v>402</v>
      </c>
      <c r="M788" s="131">
        <f>IFERROR(__xludf.DUMMYFUNCTION("""COMPUTED_VALUE"""),406.0)</f>
        <v>406</v>
      </c>
      <c r="N788" s="131">
        <f>IFERROR(__xludf.DUMMYFUNCTION("""COMPUTED_VALUE"""),3.0)</f>
        <v>3</v>
      </c>
      <c r="O788" s="131">
        <f>IFERROR(__xludf.DUMMYFUNCTION("""COMPUTED_VALUE"""),3.0)</f>
        <v>3</v>
      </c>
      <c r="P788" s="131">
        <f>IFERROR(__xludf.DUMMYFUNCTION("""COMPUTED_VALUE"""),409.0)</f>
        <v>409</v>
      </c>
      <c r="Q788" s="131"/>
      <c r="R788" s="131"/>
      <c r="T788" s="131"/>
      <c r="U788" s="131"/>
      <c r="V788" s="131"/>
      <c r="W788" s="144">
        <f>IFERROR(__xludf.DUMMYFUNCTION("""COMPUTED_VALUE"""),45855.0)</f>
        <v>45855</v>
      </c>
      <c r="X788" s="144">
        <f>IFERROR(__xludf.DUMMYFUNCTION("""COMPUTED_VALUE"""),45862.0)</f>
        <v>45862</v>
      </c>
      <c r="Y788" s="144">
        <f>IFERROR(__xludf.DUMMYFUNCTION("""COMPUTED_VALUE"""),45883.0)</f>
        <v>45883</v>
      </c>
      <c r="Z788" s="131" t="str">
        <f>IFERROR(__xludf.DUMMYFUNCTION("""COMPUTED_VALUE"""),"DC41")</f>
        <v>DC41</v>
      </c>
      <c r="AA788" s="131">
        <f>IFERROR(__xludf.DUMMYFUNCTION("""COMPUTED_VALUE"""),741.0)</f>
        <v>741</v>
      </c>
      <c r="AB788" s="131">
        <f>IFERROR(__xludf.DUMMYFUNCTION("""COMPUTED_VALUE"""),749.0)</f>
        <v>749</v>
      </c>
      <c r="AC788" s="131">
        <f>IFERROR(__xludf.DUMMYFUNCTION("""COMPUTED_VALUE"""),5.0)</f>
        <v>5</v>
      </c>
      <c r="AD788" s="131">
        <f>IFERROR(__xludf.DUMMYFUNCTION("""COMPUTED_VALUE"""),5.0)</f>
        <v>5</v>
      </c>
      <c r="AE788" s="131">
        <f>IFERROR(__xludf.DUMMYFUNCTION("""COMPUTED_VALUE"""),572.0)</f>
        <v>572</v>
      </c>
      <c r="AF788" s="131">
        <f>IFERROR(__xludf.DUMMYFUNCTION("""COMPUTED_VALUE"""),572.0)</f>
        <v>572</v>
      </c>
      <c r="AG788" s="131">
        <f>IFERROR(__xludf.DUMMYFUNCTION("""COMPUTED_VALUE"""),1.0)</f>
        <v>1</v>
      </c>
      <c r="AH788" s="131">
        <f>IFERROR(__xludf.DUMMYFUNCTION("""COMPUTED_VALUE"""),1.0)</f>
        <v>1</v>
      </c>
      <c r="AI788" s="131">
        <f>IFERROR(__xludf.DUMMYFUNCTION("""COMPUTED_VALUE"""),409.0)</f>
        <v>409</v>
      </c>
      <c r="AJ788" s="131"/>
      <c r="AK788" s="131"/>
    </row>
    <row r="789">
      <c r="A789" s="124"/>
      <c r="B789" s="131"/>
      <c r="C789" s="131"/>
      <c r="D789" s="144">
        <f>IFERROR(__xludf.DUMMYFUNCTION("""COMPUTED_VALUE"""),45855.0)</f>
        <v>45855</v>
      </c>
      <c r="E789" s="147">
        <f>IFERROR(__xludf.DUMMYFUNCTION("""COMPUTED_VALUE"""),45862.0)</f>
        <v>45862</v>
      </c>
      <c r="F789" s="147">
        <f>IFERROR(__xludf.DUMMYFUNCTION("""COMPUTED_VALUE"""),45883.0)</f>
        <v>45883</v>
      </c>
      <c r="G789" s="131" t="str">
        <f>IFERROR(__xludf.DUMMYFUNCTION("""COMPUTED_VALUE"""),"DC41")</f>
        <v>DC41</v>
      </c>
      <c r="H789" s="126">
        <f>IFERROR(__xludf.DUMMYFUNCTION("""COMPUTED_VALUE"""),741.0)</f>
        <v>741</v>
      </c>
      <c r="I789" s="126">
        <f>IFERROR(__xludf.DUMMYFUNCTION("""COMPUTED_VALUE"""),749.0)</f>
        <v>749</v>
      </c>
      <c r="J789" s="131">
        <f>IFERROR(__xludf.DUMMYFUNCTION("""COMPUTED_VALUE"""),5.0)</f>
        <v>5</v>
      </c>
      <c r="K789" s="131">
        <f>IFERROR(__xludf.DUMMYFUNCTION("""COMPUTED_VALUE"""),5.0)</f>
        <v>5</v>
      </c>
      <c r="L789" s="131">
        <f>IFERROR(__xludf.DUMMYFUNCTION("""COMPUTED_VALUE"""),572.0)</f>
        <v>572</v>
      </c>
      <c r="M789" s="131">
        <f>IFERROR(__xludf.DUMMYFUNCTION("""COMPUTED_VALUE"""),572.0)</f>
        <v>572</v>
      </c>
      <c r="N789" s="131">
        <f>IFERROR(__xludf.DUMMYFUNCTION("""COMPUTED_VALUE"""),1.0)</f>
        <v>1</v>
      </c>
      <c r="O789" s="131">
        <f>IFERROR(__xludf.DUMMYFUNCTION("""COMPUTED_VALUE"""),1.0)</f>
        <v>1</v>
      </c>
      <c r="P789" s="131">
        <f>IFERROR(__xludf.DUMMYFUNCTION("""COMPUTED_VALUE"""),409.0)</f>
        <v>409</v>
      </c>
      <c r="Q789" s="131"/>
      <c r="R789" s="131"/>
      <c r="T789" s="131"/>
      <c r="U789" s="131"/>
      <c r="V789" s="131"/>
      <c r="W789" s="144">
        <f>IFERROR(__xludf.DUMMYFUNCTION("""COMPUTED_VALUE"""),45855.0)</f>
        <v>45855</v>
      </c>
      <c r="X789" s="144">
        <f>IFERROR(__xludf.DUMMYFUNCTION("""COMPUTED_VALUE"""),45862.0)</f>
        <v>45862</v>
      </c>
      <c r="Y789" s="144">
        <f>IFERROR(__xludf.DUMMYFUNCTION("""COMPUTED_VALUE"""),45883.0)</f>
        <v>45883</v>
      </c>
      <c r="Z789" s="131" t="str">
        <f>IFERROR(__xludf.DUMMYFUNCTION("""COMPUTED_VALUE"""),"DC41")</f>
        <v>DC41</v>
      </c>
      <c r="AA789" s="131"/>
      <c r="AB789" s="131"/>
      <c r="AC789" s="131"/>
      <c r="AD789" s="131"/>
      <c r="AE789" s="131">
        <f>IFERROR(__xludf.DUMMYFUNCTION("""COMPUTED_VALUE"""),750.0)</f>
        <v>750</v>
      </c>
      <c r="AF789" s="131">
        <f>IFERROR(__xludf.DUMMYFUNCTION("""COMPUTED_VALUE"""),750.0)</f>
        <v>750</v>
      </c>
      <c r="AG789" s="131">
        <f>IFERROR(__xludf.DUMMYFUNCTION("""COMPUTED_VALUE"""),1.0)</f>
        <v>1</v>
      </c>
      <c r="AH789" s="131">
        <f>IFERROR(__xludf.DUMMYFUNCTION("""COMPUTED_VALUE"""),1.0)</f>
        <v>1</v>
      </c>
      <c r="AI789" s="131">
        <f>IFERROR(__xludf.DUMMYFUNCTION("""COMPUTED_VALUE"""),409.0)</f>
        <v>409</v>
      </c>
      <c r="AJ789" s="131"/>
      <c r="AK789" s="131"/>
    </row>
    <row r="790">
      <c r="A790" s="124"/>
      <c r="B790" s="131"/>
      <c r="C790" s="131"/>
      <c r="D790" s="144">
        <f>IFERROR(__xludf.DUMMYFUNCTION("""COMPUTED_VALUE"""),45855.0)</f>
        <v>45855</v>
      </c>
      <c r="E790" s="147">
        <f>IFERROR(__xludf.DUMMYFUNCTION("""COMPUTED_VALUE"""),45862.0)</f>
        <v>45862</v>
      </c>
      <c r="F790" s="147">
        <f>IFERROR(__xludf.DUMMYFUNCTION("""COMPUTED_VALUE"""),45883.0)</f>
        <v>45883</v>
      </c>
      <c r="G790" s="131" t="str">
        <f>IFERROR(__xludf.DUMMYFUNCTION("""COMPUTED_VALUE"""),"DC41")</f>
        <v>DC41</v>
      </c>
      <c r="H790" s="126"/>
      <c r="I790" s="126"/>
      <c r="J790" s="131"/>
      <c r="K790" s="131"/>
      <c r="L790" s="131">
        <f>IFERROR(__xludf.DUMMYFUNCTION("""COMPUTED_VALUE"""),750.0)</f>
        <v>750</v>
      </c>
      <c r="M790" s="131">
        <f>IFERROR(__xludf.DUMMYFUNCTION("""COMPUTED_VALUE"""),750.0)</f>
        <v>750</v>
      </c>
      <c r="N790" s="131">
        <f>IFERROR(__xludf.DUMMYFUNCTION("""COMPUTED_VALUE"""),1.0)</f>
        <v>1</v>
      </c>
      <c r="O790" s="131">
        <f>IFERROR(__xludf.DUMMYFUNCTION("""COMPUTED_VALUE"""),1.0)</f>
        <v>1</v>
      </c>
      <c r="P790" s="131">
        <f>IFERROR(__xludf.DUMMYFUNCTION("""COMPUTED_VALUE"""),409.0)</f>
        <v>409</v>
      </c>
      <c r="Q790" s="131"/>
      <c r="R790" s="131"/>
      <c r="T790" s="131"/>
      <c r="U790" s="131"/>
      <c r="V790" s="131"/>
      <c r="W790" s="144">
        <f>IFERROR(__xludf.DUMMYFUNCTION("""COMPUTED_VALUE"""),45855.0)</f>
        <v>45855</v>
      </c>
      <c r="X790" s="144">
        <f>IFERROR(__xludf.DUMMYFUNCTION("""COMPUTED_VALUE"""),45862.0)</f>
        <v>45862</v>
      </c>
      <c r="Y790" s="144">
        <f>IFERROR(__xludf.DUMMYFUNCTION("""COMPUTED_VALUE"""),45883.0)</f>
        <v>45883</v>
      </c>
      <c r="Z790" s="131" t="str">
        <f>IFERROR(__xludf.DUMMYFUNCTION("""COMPUTED_VALUE"""),"DC42")</f>
        <v>DC42</v>
      </c>
      <c r="AA790" s="131">
        <f>IFERROR(__xludf.DUMMYFUNCTION("""COMPUTED_VALUE"""),11.0)</f>
        <v>11</v>
      </c>
      <c r="AB790" s="131">
        <f>IFERROR(__xludf.DUMMYFUNCTION("""COMPUTED_VALUE"""),19.0)</f>
        <v>19</v>
      </c>
      <c r="AC790" s="131">
        <f>IFERROR(__xludf.DUMMYFUNCTION("""COMPUTED_VALUE"""),5.0)</f>
        <v>5</v>
      </c>
      <c r="AD790" s="131">
        <f>IFERROR(__xludf.DUMMYFUNCTION("""COMPUTED_VALUE"""),5.0)</f>
        <v>5</v>
      </c>
      <c r="AE790" s="131">
        <f>IFERROR(__xludf.DUMMYFUNCTION("""COMPUTED_VALUE"""),20.0)</f>
        <v>20</v>
      </c>
      <c r="AF790" s="131">
        <f>IFERROR(__xludf.DUMMYFUNCTION("""COMPUTED_VALUE"""),20.0)</f>
        <v>20</v>
      </c>
      <c r="AG790" s="131">
        <f>IFERROR(__xludf.DUMMYFUNCTION("""COMPUTED_VALUE"""),1.0)</f>
        <v>1</v>
      </c>
      <c r="AH790" s="131">
        <f>IFERROR(__xludf.DUMMYFUNCTION("""COMPUTED_VALUE"""),1.0)</f>
        <v>1</v>
      </c>
      <c r="AI790" s="131">
        <f>IFERROR(__xludf.DUMMYFUNCTION("""COMPUTED_VALUE"""),409.0)</f>
        <v>409</v>
      </c>
      <c r="AJ790" s="131"/>
      <c r="AK790" s="131"/>
    </row>
    <row r="791">
      <c r="A791" s="124"/>
      <c r="B791" s="131"/>
      <c r="C791" s="131"/>
      <c r="D791" s="144">
        <f>IFERROR(__xludf.DUMMYFUNCTION("""COMPUTED_VALUE"""),45855.0)</f>
        <v>45855</v>
      </c>
      <c r="E791" s="147">
        <f>IFERROR(__xludf.DUMMYFUNCTION("""COMPUTED_VALUE"""),45862.0)</f>
        <v>45862</v>
      </c>
      <c r="F791" s="147">
        <f>IFERROR(__xludf.DUMMYFUNCTION("""COMPUTED_VALUE"""),45883.0)</f>
        <v>45883</v>
      </c>
      <c r="G791" s="131" t="str">
        <f>IFERROR(__xludf.DUMMYFUNCTION("""COMPUTED_VALUE"""),"DC42")</f>
        <v>DC42</v>
      </c>
      <c r="H791" s="126">
        <f>IFERROR(__xludf.DUMMYFUNCTION("""COMPUTED_VALUE"""),11.0)</f>
        <v>11</v>
      </c>
      <c r="I791" s="126">
        <f>IFERROR(__xludf.DUMMYFUNCTION("""COMPUTED_VALUE"""),19.0)</f>
        <v>19</v>
      </c>
      <c r="J791" s="131">
        <f>IFERROR(__xludf.DUMMYFUNCTION("""COMPUTED_VALUE"""),5.0)</f>
        <v>5</v>
      </c>
      <c r="K791" s="131">
        <f>IFERROR(__xludf.DUMMYFUNCTION("""COMPUTED_VALUE"""),5.0)</f>
        <v>5</v>
      </c>
      <c r="L791" s="131">
        <f>IFERROR(__xludf.DUMMYFUNCTION("""COMPUTED_VALUE"""),20.0)</f>
        <v>20</v>
      </c>
      <c r="M791" s="131">
        <f>IFERROR(__xludf.DUMMYFUNCTION("""COMPUTED_VALUE"""),20.0)</f>
        <v>20</v>
      </c>
      <c r="N791" s="131">
        <f>IFERROR(__xludf.DUMMYFUNCTION("""COMPUTED_VALUE"""),1.0)</f>
        <v>1</v>
      </c>
      <c r="O791" s="131">
        <f>IFERROR(__xludf.DUMMYFUNCTION("""COMPUTED_VALUE"""),1.0)</f>
        <v>1</v>
      </c>
      <c r="P791" s="131">
        <f>IFERROR(__xludf.DUMMYFUNCTION("""COMPUTED_VALUE"""),409.0)</f>
        <v>409</v>
      </c>
      <c r="Q791" s="131"/>
      <c r="R791" s="131"/>
      <c r="T791" s="131"/>
      <c r="U791" s="131"/>
      <c r="V791" s="131"/>
      <c r="W791" s="144">
        <f>IFERROR(__xludf.DUMMYFUNCTION("""COMPUTED_VALUE"""),45855.0)</f>
        <v>45855</v>
      </c>
      <c r="X791" s="144">
        <f>IFERROR(__xludf.DUMMYFUNCTION("""COMPUTED_VALUE"""),45862.0)</f>
        <v>45862</v>
      </c>
      <c r="Y791" s="144">
        <f>IFERROR(__xludf.DUMMYFUNCTION("""COMPUTED_VALUE"""),45883.0)</f>
        <v>45883</v>
      </c>
      <c r="Z791" s="131" t="str">
        <f>IFERROR(__xludf.DUMMYFUNCTION("""COMPUTED_VALUE"""),"DC42")</f>
        <v>DC42</v>
      </c>
      <c r="AA791" s="131">
        <f>IFERROR(__xludf.DUMMYFUNCTION("""COMPUTED_VALUE"""),21.0)</f>
        <v>21</v>
      </c>
      <c r="AB791" s="131">
        <f>IFERROR(__xludf.DUMMYFUNCTION("""COMPUTED_VALUE"""),23.0)</f>
        <v>23</v>
      </c>
      <c r="AC791" s="131">
        <f>IFERROR(__xludf.DUMMYFUNCTION("""COMPUTED_VALUE"""),2.0)</f>
        <v>2</v>
      </c>
      <c r="AD791" s="131">
        <f>IFERROR(__xludf.DUMMYFUNCTION("""COMPUTED_VALUE"""),2.0)</f>
        <v>2</v>
      </c>
      <c r="AE791" s="131"/>
      <c r="AF791" s="131"/>
      <c r="AG791" s="131"/>
      <c r="AH791" s="131"/>
      <c r="AI791" s="131">
        <f>IFERROR(__xludf.DUMMYFUNCTION("""COMPUTED_VALUE"""),409.0)</f>
        <v>409</v>
      </c>
      <c r="AJ791" s="131"/>
      <c r="AK791" s="131"/>
    </row>
    <row r="792">
      <c r="A792" s="124"/>
      <c r="B792" s="131"/>
      <c r="C792" s="131"/>
      <c r="D792" s="144">
        <f>IFERROR(__xludf.DUMMYFUNCTION("""COMPUTED_VALUE"""),45855.0)</f>
        <v>45855</v>
      </c>
      <c r="E792" s="147">
        <f>IFERROR(__xludf.DUMMYFUNCTION("""COMPUTED_VALUE"""),45862.0)</f>
        <v>45862</v>
      </c>
      <c r="F792" s="147">
        <f>IFERROR(__xludf.DUMMYFUNCTION("""COMPUTED_VALUE"""),45883.0)</f>
        <v>45883</v>
      </c>
      <c r="G792" s="131" t="str">
        <f>IFERROR(__xludf.DUMMYFUNCTION("""COMPUTED_VALUE"""),"DC42")</f>
        <v>DC42</v>
      </c>
      <c r="H792" s="126">
        <f>IFERROR(__xludf.DUMMYFUNCTION("""COMPUTED_VALUE"""),21.0)</f>
        <v>21</v>
      </c>
      <c r="I792" s="126">
        <f>IFERROR(__xludf.DUMMYFUNCTION("""COMPUTED_VALUE"""),23.0)</f>
        <v>23</v>
      </c>
      <c r="J792" s="131">
        <f>IFERROR(__xludf.DUMMYFUNCTION("""COMPUTED_VALUE"""),2.0)</f>
        <v>2</v>
      </c>
      <c r="K792" s="131">
        <f>IFERROR(__xludf.DUMMYFUNCTION("""COMPUTED_VALUE"""),2.0)</f>
        <v>2</v>
      </c>
      <c r="L792" s="131"/>
      <c r="M792" s="131"/>
      <c r="N792" s="131"/>
      <c r="O792" s="131"/>
      <c r="P792" s="131">
        <f>IFERROR(__xludf.DUMMYFUNCTION("""COMPUTED_VALUE"""),409.0)</f>
        <v>409</v>
      </c>
      <c r="Q792" s="131"/>
      <c r="R792" s="131"/>
      <c r="T792" s="131"/>
      <c r="U792" s="131"/>
      <c r="V792" s="131"/>
      <c r="W792" s="144">
        <f>IFERROR(__xludf.DUMMYFUNCTION("""COMPUTED_VALUE"""),45857.0)</f>
        <v>45857</v>
      </c>
      <c r="X792" s="144">
        <f>IFERROR(__xludf.DUMMYFUNCTION("""COMPUTED_VALUE"""),45864.0)</f>
        <v>45864</v>
      </c>
      <c r="Y792" s="144">
        <f>IFERROR(__xludf.DUMMYFUNCTION("""COMPUTED_VALUE"""),45885.0)</f>
        <v>45885</v>
      </c>
      <c r="Z792" s="131" t="str">
        <f>IFERROR(__xludf.DUMMYFUNCTION("""COMPUTED_VALUE"""),"DC34")</f>
        <v>DC34</v>
      </c>
      <c r="AA792" s="131">
        <f>IFERROR(__xludf.DUMMYFUNCTION("""COMPUTED_VALUE"""),231.0)</f>
        <v>231</v>
      </c>
      <c r="AB792" s="131">
        <f>IFERROR(__xludf.DUMMYFUNCTION("""COMPUTED_VALUE"""),231.0)</f>
        <v>231</v>
      </c>
      <c r="AC792" s="131">
        <f>IFERROR(__xludf.DUMMYFUNCTION("""COMPUTED_VALUE"""),1.0)</f>
        <v>1</v>
      </c>
      <c r="AD792" s="131">
        <f>IFERROR(__xludf.DUMMYFUNCTION("""COMPUTED_VALUE"""),1.0)</f>
        <v>1</v>
      </c>
      <c r="AE792" s="131"/>
      <c r="AF792" s="131"/>
      <c r="AG792" s="131"/>
      <c r="AH792" s="131"/>
      <c r="AI792" s="131">
        <f>IFERROR(__xludf.DUMMYFUNCTION("""COMPUTED_VALUE"""),410.0)</f>
        <v>410</v>
      </c>
      <c r="AJ792" s="131"/>
      <c r="AK792" s="131"/>
    </row>
    <row r="793">
      <c r="A793" s="124"/>
      <c r="B793" s="131"/>
      <c r="C793" s="131"/>
      <c r="D793" s="144">
        <f>IFERROR(__xludf.DUMMYFUNCTION("""COMPUTED_VALUE"""),45857.0)</f>
        <v>45857</v>
      </c>
      <c r="E793" s="147">
        <f>IFERROR(__xludf.DUMMYFUNCTION("""COMPUTED_VALUE"""),45864.0)</f>
        <v>45864</v>
      </c>
      <c r="F793" s="147">
        <f>IFERROR(__xludf.DUMMYFUNCTION("""COMPUTED_VALUE"""),45885.0)</f>
        <v>45885</v>
      </c>
      <c r="G793" s="131" t="str">
        <f>IFERROR(__xludf.DUMMYFUNCTION("""COMPUTED_VALUE"""),"DC34")</f>
        <v>DC34</v>
      </c>
      <c r="H793" s="126">
        <f>IFERROR(__xludf.DUMMYFUNCTION("""COMPUTED_VALUE"""),231.0)</f>
        <v>231</v>
      </c>
      <c r="I793" s="126">
        <f>IFERROR(__xludf.DUMMYFUNCTION("""COMPUTED_VALUE"""),231.0)</f>
        <v>231</v>
      </c>
      <c r="J793" s="131">
        <f>IFERROR(__xludf.DUMMYFUNCTION("""COMPUTED_VALUE"""),1.0)</f>
        <v>1</v>
      </c>
      <c r="K793" s="131">
        <f>IFERROR(__xludf.DUMMYFUNCTION("""COMPUTED_VALUE"""),1.0)</f>
        <v>1</v>
      </c>
      <c r="L793" s="131"/>
      <c r="M793" s="131"/>
      <c r="N793" s="131"/>
      <c r="O793" s="131"/>
      <c r="P793" s="131">
        <f>IFERROR(__xludf.DUMMYFUNCTION("""COMPUTED_VALUE"""),410.0)</f>
        <v>410</v>
      </c>
      <c r="Q793" s="131"/>
      <c r="R793" s="131"/>
      <c r="T793" s="131"/>
      <c r="U793" s="131"/>
      <c r="V793" s="131"/>
      <c r="W793" s="144">
        <f>IFERROR(__xludf.DUMMYFUNCTION("""COMPUTED_VALUE"""),45857.0)</f>
        <v>45857</v>
      </c>
      <c r="X793" s="144">
        <f>IFERROR(__xludf.DUMMYFUNCTION("""COMPUTED_VALUE"""),45864.0)</f>
        <v>45864</v>
      </c>
      <c r="Y793" s="144">
        <f>IFERROR(__xludf.DUMMYFUNCTION("""COMPUTED_VALUE"""),45885.0)</f>
        <v>45885</v>
      </c>
      <c r="Z793" s="131" t="str">
        <f>IFERROR(__xludf.DUMMYFUNCTION("""COMPUTED_VALUE"""),"DC34")</f>
        <v>DC34</v>
      </c>
      <c r="AA793" s="131">
        <f>IFERROR(__xludf.DUMMYFUNCTION("""COMPUTED_VALUE"""),231.0)</f>
        <v>231</v>
      </c>
      <c r="AB793" s="131">
        <f>IFERROR(__xludf.DUMMYFUNCTION("""COMPUTED_VALUE"""),233.0)</f>
        <v>233</v>
      </c>
      <c r="AC793" s="131">
        <f>IFERROR(__xludf.DUMMYFUNCTION("""COMPUTED_VALUE"""),2.0)</f>
        <v>2</v>
      </c>
      <c r="AD793" s="131">
        <f>IFERROR(__xludf.DUMMYFUNCTION("""COMPUTED_VALUE"""),2.0)</f>
        <v>2</v>
      </c>
      <c r="AE793" s="131"/>
      <c r="AF793" s="131"/>
      <c r="AG793" s="131"/>
      <c r="AH793" s="131"/>
      <c r="AI793" s="131">
        <f>IFERROR(__xludf.DUMMYFUNCTION("""COMPUTED_VALUE"""),410.0)</f>
        <v>410</v>
      </c>
      <c r="AJ793" s="131"/>
      <c r="AK793" s="131"/>
    </row>
    <row r="794">
      <c r="A794" s="124"/>
      <c r="B794" s="131"/>
      <c r="C794" s="131"/>
      <c r="D794" s="144">
        <f>IFERROR(__xludf.DUMMYFUNCTION("""COMPUTED_VALUE"""),45857.0)</f>
        <v>45857</v>
      </c>
      <c r="E794" s="147">
        <f>IFERROR(__xludf.DUMMYFUNCTION("""COMPUTED_VALUE"""),45864.0)</f>
        <v>45864</v>
      </c>
      <c r="F794" s="147">
        <f>IFERROR(__xludf.DUMMYFUNCTION("""COMPUTED_VALUE"""),45885.0)</f>
        <v>45885</v>
      </c>
      <c r="G794" s="131" t="str">
        <f>IFERROR(__xludf.DUMMYFUNCTION("""COMPUTED_VALUE"""),"DC34")</f>
        <v>DC34</v>
      </c>
      <c r="H794" s="126">
        <f>IFERROR(__xludf.DUMMYFUNCTION("""COMPUTED_VALUE"""),231.0)</f>
        <v>231</v>
      </c>
      <c r="I794" s="126">
        <f>IFERROR(__xludf.DUMMYFUNCTION("""COMPUTED_VALUE"""),233.0)</f>
        <v>233</v>
      </c>
      <c r="J794" s="131">
        <f>IFERROR(__xludf.DUMMYFUNCTION("""COMPUTED_VALUE"""),2.0)</f>
        <v>2</v>
      </c>
      <c r="K794" s="131">
        <f>IFERROR(__xludf.DUMMYFUNCTION("""COMPUTED_VALUE"""),2.0)</f>
        <v>2</v>
      </c>
      <c r="L794" s="131"/>
      <c r="M794" s="131"/>
      <c r="N794" s="131"/>
      <c r="O794" s="131"/>
      <c r="P794" s="131">
        <f>IFERROR(__xludf.DUMMYFUNCTION("""COMPUTED_VALUE"""),410.0)</f>
        <v>410</v>
      </c>
      <c r="Q794" s="131"/>
      <c r="R794" s="131"/>
      <c r="T794" s="131"/>
      <c r="U794" s="131"/>
      <c r="V794" s="131"/>
      <c r="W794" s="144">
        <f>IFERROR(__xludf.DUMMYFUNCTION("""COMPUTED_VALUE"""),45857.0)</f>
        <v>45857</v>
      </c>
      <c r="X794" s="144">
        <f>IFERROR(__xludf.DUMMYFUNCTION("""COMPUTED_VALUE"""),45864.0)</f>
        <v>45864</v>
      </c>
      <c r="Y794" s="144">
        <f>IFERROR(__xludf.DUMMYFUNCTION("""COMPUTED_VALUE"""),45885.0)</f>
        <v>45885</v>
      </c>
      <c r="Z794" s="131" t="str">
        <f>IFERROR(__xludf.DUMMYFUNCTION("""COMPUTED_VALUE"""),"DC32")</f>
        <v>DC32</v>
      </c>
      <c r="AA794" s="131">
        <f>IFERROR(__xludf.DUMMYFUNCTION("""COMPUTED_VALUE"""),3.0)</f>
        <v>3</v>
      </c>
      <c r="AB794" s="131">
        <f>IFERROR(__xludf.DUMMYFUNCTION("""COMPUTED_VALUE"""),9.0)</f>
        <v>9</v>
      </c>
      <c r="AC794" s="131">
        <f>IFERROR(__xludf.DUMMYFUNCTION("""COMPUTED_VALUE"""),4.0)</f>
        <v>4</v>
      </c>
      <c r="AD794" s="131">
        <f>IFERROR(__xludf.DUMMYFUNCTION("""COMPUTED_VALUE"""),4.0)</f>
        <v>4</v>
      </c>
      <c r="AE794" s="131"/>
      <c r="AF794" s="131"/>
      <c r="AG794" s="131"/>
      <c r="AH794" s="131"/>
      <c r="AI794" s="131">
        <f>IFERROR(__xludf.DUMMYFUNCTION("""COMPUTED_VALUE"""),410.0)</f>
        <v>410</v>
      </c>
      <c r="AJ794" s="131"/>
      <c r="AK794" s="131"/>
    </row>
    <row r="795">
      <c r="A795" s="124"/>
      <c r="B795" s="131"/>
      <c r="C795" s="131"/>
      <c r="D795" s="144">
        <f>IFERROR(__xludf.DUMMYFUNCTION("""COMPUTED_VALUE"""),45857.0)</f>
        <v>45857</v>
      </c>
      <c r="E795" s="147">
        <f>IFERROR(__xludf.DUMMYFUNCTION("""COMPUTED_VALUE"""),45864.0)</f>
        <v>45864</v>
      </c>
      <c r="F795" s="147">
        <f>IFERROR(__xludf.DUMMYFUNCTION("""COMPUTED_VALUE"""),45885.0)</f>
        <v>45885</v>
      </c>
      <c r="G795" s="131" t="str">
        <f>IFERROR(__xludf.DUMMYFUNCTION("""COMPUTED_VALUE"""),"DC32")</f>
        <v>DC32</v>
      </c>
      <c r="H795" s="126">
        <f>IFERROR(__xludf.DUMMYFUNCTION("""COMPUTED_VALUE"""),3.0)</f>
        <v>3</v>
      </c>
      <c r="I795" s="126">
        <f>IFERROR(__xludf.DUMMYFUNCTION("""COMPUTED_VALUE"""),9.0)</f>
        <v>9</v>
      </c>
      <c r="J795" s="131">
        <f>IFERROR(__xludf.DUMMYFUNCTION("""COMPUTED_VALUE"""),4.0)</f>
        <v>4</v>
      </c>
      <c r="K795" s="131">
        <f>IFERROR(__xludf.DUMMYFUNCTION("""COMPUTED_VALUE"""),4.0)</f>
        <v>4</v>
      </c>
      <c r="L795" s="131"/>
      <c r="M795" s="131"/>
      <c r="N795" s="131"/>
      <c r="O795" s="131"/>
      <c r="P795" s="131">
        <f>IFERROR(__xludf.DUMMYFUNCTION("""COMPUTED_VALUE"""),410.0)</f>
        <v>410</v>
      </c>
      <c r="Q795" s="131"/>
      <c r="R795" s="131"/>
      <c r="T795" s="131"/>
      <c r="U795" s="131"/>
      <c r="V795" s="131"/>
      <c r="W795" s="144">
        <f>IFERROR(__xludf.DUMMYFUNCTION("""COMPUTED_VALUE"""),45857.0)</f>
        <v>45857</v>
      </c>
      <c r="X795" s="144">
        <f>IFERROR(__xludf.DUMMYFUNCTION("""COMPUTED_VALUE"""),45864.0)</f>
        <v>45864</v>
      </c>
      <c r="Y795" s="144">
        <f>IFERROR(__xludf.DUMMYFUNCTION("""COMPUTED_VALUE"""),45885.0)</f>
        <v>45885</v>
      </c>
      <c r="Z795" s="131" t="str">
        <f>IFERROR(__xludf.DUMMYFUNCTION("""COMPUTED_VALUE"""),"D33-1L")</f>
        <v>D33-1L</v>
      </c>
      <c r="AA795" s="131"/>
      <c r="AB795" s="131"/>
      <c r="AC795" s="131"/>
      <c r="AD795" s="131"/>
      <c r="AE795" s="131">
        <f>IFERROR(__xludf.DUMMYFUNCTION("""COMPUTED_VALUE"""),2.0)</f>
        <v>2</v>
      </c>
      <c r="AF795" s="131">
        <f>IFERROR(__xludf.DUMMYFUNCTION("""COMPUTED_VALUE"""),6.0)</f>
        <v>6</v>
      </c>
      <c r="AG795" s="131">
        <f>IFERROR(__xludf.DUMMYFUNCTION("""COMPUTED_VALUE"""),3.0)</f>
        <v>3</v>
      </c>
      <c r="AH795" s="131">
        <f>IFERROR(__xludf.DUMMYFUNCTION("""COMPUTED_VALUE"""),3.0)</f>
        <v>3</v>
      </c>
      <c r="AI795" s="131">
        <f>IFERROR(__xludf.DUMMYFUNCTION("""COMPUTED_VALUE"""),410.0)</f>
        <v>410</v>
      </c>
      <c r="AJ795" s="131"/>
      <c r="AK795" s="131"/>
    </row>
    <row r="796">
      <c r="A796" s="124"/>
      <c r="B796" s="131"/>
      <c r="C796" s="131"/>
      <c r="D796" s="144">
        <f>IFERROR(__xludf.DUMMYFUNCTION("""COMPUTED_VALUE"""),45857.0)</f>
        <v>45857</v>
      </c>
      <c r="E796" s="147">
        <f>IFERROR(__xludf.DUMMYFUNCTION("""COMPUTED_VALUE"""),45864.0)</f>
        <v>45864</v>
      </c>
      <c r="F796" s="147">
        <f>IFERROR(__xludf.DUMMYFUNCTION("""COMPUTED_VALUE"""),45885.0)</f>
        <v>45885</v>
      </c>
      <c r="G796" s="131" t="str">
        <f>IFERROR(__xludf.DUMMYFUNCTION("""COMPUTED_VALUE"""),"D33-1L")</f>
        <v>D33-1L</v>
      </c>
      <c r="H796" s="126"/>
      <c r="I796" s="126"/>
      <c r="J796" s="131"/>
      <c r="K796" s="131"/>
      <c r="L796" s="131">
        <f>IFERROR(__xludf.DUMMYFUNCTION("""COMPUTED_VALUE"""),2.0)</f>
        <v>2</v>
      </c>
      <c r="M796" s="131">
        <f>IFERROR(__xludf.DUMMYFUNCTION("""COMPUTED_VALUE"""),6.0)</f>
        <v>6</v>
      </c>
      <c r="N796" s="131">
        <f>IFERROR(__xludf.DUMMYFUNCTION("""COMPUTED_VALUE"""),3.0)</f>
        <v>3</v>
      </c>
      <c r="O796" s="131">
        <f>IFERROR(__xludf.DUMMYFUNCTION("""COMPUTED_VALUE"""),3.0)</f>
        <v>3</v>
      </c>
      <c r="P796" s="131">
        <f>IFERROR(__xludf.DUMMYFUNCTION("""COMPUTED_VALUE"""),410.0)</f>
        <v>410</v>
      </c>
      <c r="Q796" s="131"/>
      <c r="R796" s="131"/>
      <c r="T796" s="131"/>
      <c r="U796" s="131"/>
      <c r="V796" s="131"/>
      <c r="W796" s="144">
        <f>IFERROR(__xludf.DUMMYFUNCTION("""COMPUTED_VALUE"""),45857.0)</f>
        <v>45857</v>
      </c>
      <c r="X796" s="144">
        <f>IFERROR(__xludf.DUMMYFUNCTION("""COMPUTED_VALUE"""),45864.0)</f>
        <v>45864</v>
      </c>
      <c r="Y796" s="144">
        <f>IFERROR(__xludf.DUMMYFUNCTION("""COMPUTED_VALUE"""),45885.0)</f>
        <v>45885</v>
      </c>
      <c r="Z796" s="131" t="str">
        <f>IFERROR(__xludf.DUMMYFUNCTION("""COMPUTED_VALUE"""),"D34-2L")</f>
        <v>D34-2L</v>
      </c>
      <c r="AA796" s="131">
        <f>IFERROR(__xludf.DUMMYFUNCTION("""COMPUTED_VALUE"""),1.0)</f>
        <v>1</v>
      </c>
      <c r="AB796" s="131">
        <f>IFERROR(__xludf.DUMMYFUNCTION("""COMPUTED_VALUE"""),1.0)</f>
        <v>1</v>
      </c>
      <c r="AC796" s="131">
        <f>IFERROR(__xludf.DUMMYFUNCTION("""COMPUTED_VALUE"""),1.0)</f>
        <v>1</v>
      </c>
      <c r="AD796" s="131">
        <f>IFERROR(__xludf.DUMMYFUNCTION("""COMPUTED_VALUE"""),1.0)</f>
        <v>1</v>
      </c>
      <c r="AE796" s="131"/>
      <c r="AF796" s="131"/>
      <c r="AG796" s="131"/>
      <c r="AH796" s="131"/>
      <c r="AI796" s="131">
        <f>IFERROR(__xludf.DUMMYFUNCTION("""COMPUTED_VALUE"""),410.0)</f>
        <v>410</v>
      </c>
      <c r="AJ796" s="131"/>
      <c r="AK796" s="131"/>
    </row>
    <row r="797">
      <c r="A797" s="124"/>
      <c r="B797" s="131"/>
      <c r="C797" s="131"/>
      <c r="D797" s="144">
        <f>IFERROR(__xludf.DUMMYFUNCTION("""COMPUTED_VALUE"""),45857.0)</f>
        <v>45857</v>
      </c>
      <c r="E797" s="147">
        <f>IFERROR(__xludf.DUMMYFUNCTION("""COMPUTED_VALUE"""),45864.0)</f>
        <v>45864</v>
      </c>
      <c r="F797" s="147">
        <f>IFERROR(__xludf.DUMMYFUNCTION("""COMPUTED_VALUE"""),45885.0)</f>
        <v>45885</v>
      </c>
      <c r="G797" s="131" t="str">
        <f>IFERROR(__xludf.DUMMYFUNCTION("""COMPUTED_VALUE"""),"D34-2L")</f>
        <v>D34-2L</v>
      </c>
      <c r="H797" s="126">
        <f>IFERROR(__xludf.DUMMYFUNCTION("""COMPUTED_VALUE"""),1.0)</f>
        <v>1</v>
      </c>
      <c r="I797" s="126">
        <f>IFERROR(__xludf.DUMMYFUNCTION("""COMPUTED_VALUE"""),1.0)</f>
        <v>1</v>
      </c>
      <c r="J797" s="131">
        <f>IFERROR(__xludf.DUMMYFUNCTION("""COMPUTED_VALUE"""),1.0)</f>
        <v>1</v>
      </c>
      <c r="K797" s="131">
        <f>IFERROR(__xludf.DUMMYFUNCTION("""COMPUTED_VALUE"""),1.0)</f>
        <v>1</v>
      </c>
      <c r="L797" s="131"/>
      <c r="M797" s="131"/>
      <c r="N797" s="131"/>
      <c r="O797" s="131"/>
      <c r="P797" s="131">
        <f>IFERROR(__xludf.DUMMYFUNCTION("""COMPUTED_VALUE"""),410.0)</f>
        <v>410</v>
      </c>
      <c r="Q797" s="131"/>
      <c r="R797" s="131"/>
      <c r="T797" s="131"/>
      <c r="U797" s="131"/>
      <c r="V797" s="131"/>
      <c r="W797" s="144">
        <f>IFERROR(__xludf.DUMMYFUNCTION("""COMPUTED_VALUE"""),45858.0)</f>
        <v>45858</v>
      </c>
      <c r="X797" s="144">
        <f>IFERROR(__xludf.DUMMYFUNCTION("""COMPUTED_VALUE"""),45865.0)</f>
        <v>45865</v>
      </c>
      <c r="Y797" s="144">
        <f>IFERROR(__xludf.DUMMYFUNCTION("""COMPUTED_VALUE"""),45886.0)</f>
        <v>45886</v>
      </c>
      <c r="Z797" s="131" t="str">
        <f>IFERROR(__xludf.DUMMYFUNCTION("""COMPUTED_VALUE"""),"BRG9")</f>
        <v>BRG9</v>
      </c>
      <c r="AA797" s="131">
        <f>IFERROR(__xludf.DUMMYFUNCTION("""COMPUTED_VALUE"""),5.0)</f>
        <v>5</v>
      </c>
      <c r="AB797" s="131">
        <f>IFERROR(__xludf.DUMMYFUNCTION("""COMPUTED_VALUE"""),7.0)</f>
        <v>7</v>
      </c>
      <c r="AC797" s="131">
        <f>IFERROR(__xludf.DUMMYFUNCTION("""COMPUTED_VALUE"""),2.0)</f>
        <v>2</v>
      </c>
      <c r="AD797" s="131">
        <f>IFERROR(__xludf.DUMMYFUNCTION("""COMPUTED_VALUE"""),2.0)</f>
        <v>2</v>
      </c>
      <c r="AE797" s="131">
        <f>IFERROR(__xludf.DUMMYFUNCTION("""COMPUTED_VALUE"""),6.0)</f>
        <v>6</v>
      </c>
      <c r="AF797" s="131">
        <f>IFERROR(__xludf.DUMMYFUNCTION("""COMPUTED_VALUE"""),6.0)</f>
        <v>6</v>
      </c>
      <c r="AG797" s="131">
        <f>IFERROR(__xludf.DUMMYFUNCTION("""COMPUTED_VALUE"""),1.0)</f>
        <v>1</v>
      </c>
      <c r="AH797" s="131">
        <f>IFERROR(__xludf.DUMMYFUNCTION("""COMPUTED_VALUE"""),1.0)</f>
        <v>1</v>
      </c>
      <c r="AI797" s="131">
        <f>IFERROR(__xludf.DUMMYFUNCTION("""COMPUTED_VALUE"""),411.0)</f>
        <v>411</v>
      </c>
      <c r="AJ797" s="131"/>
      <c r="AK797" s="131"/>
    </row>
    <row r="798">
      <c r="A798" s="124"/>
      <c r="B798" s="131"/>
      <c r="C798" s="131"/>
      <c r="D798" s="144">
        <f>IFERROR(__xludf.DUMMYFUNCTION("""COMPUTED_VALUE"""),45858.0)</f>
        <v>45858</v>
      </c>
      <c r="E798" s="147">
        <f>IFERROR(__xludf.DUMMYFUNCTION("""COMPUTED_VALUE"""),45865.0)</f>
        <v>45865</v>
      </c>
      <c r="F798" s="147">
        <f>IFERROR(__xludf.DUMMYFUNCTION("""COMPUTED_VALUE"""),45886.0)</f>
        <v>45886</v>
      </c>
      <c r="G798" s="131" t="str">
        <f>IFERROR(__xludf.DUMMYFUNCTION("""COMPUTED_VALUE"""),"BRG9")</f>
        <v>BRG9</v>
      </c>
      <c r="H798" s="126">
        <f>IFERROR(__xludf.DUMMYFUNCTION("""COMPUTED_VALUE"""),5.0)</f>
        <v>5</v>
      </c>
      <c r="I798" s="126">
        <f>IFERROR(__xludf.DUMMYFUNCTION("""COMPUTED_VALUE"""),7.0)</f>
        <v>7</v>
      </c>
      <c r="J798" s="131">
        <f>IFERROR(__xludf.DUMMYFUNCTION("""COMPUTED_VALUE"""),2.0)</f>
        <v>2</v>
      </c>
      <c r="K798" s="131">
        <f>IFERROR(__xludf.DUMMYFUNCTION("""COMPUTED_VALUE"""),2.0)</f>
        <v>2</v>
      </c>
      <c r="L798" s="131">
        <f>IFERROR(__xludf.DUMMYFUNCTION("""COMPUTED_VALUE"""),6.0)</f>
        <v>6</v>
      </c>
      <c r="M798" s="131">
        <f>IFERROR(__xludf.DUMMYFUNCTION("""COMPUTED_VALUE"""),6.0)</f>
        <v>6</v>
      </c>
      <c r="N798" s="131">
        <f>IFERROR(__xludf.DUMMYFUNCTION("""COMPUTED_VALUE"""),1.0)</f>
        <v>1</v>
      </c>
      <c r="O798" s="131">
        <f>IFERROR(__xludf.DUMMYFUNCTION("""COMPUTED_VALUE"""),1.0)</f>
        <v>1</v>
      </c>
      <c r="P798" s="131">
        <f>IFERROR(__xludf.DUMMYFUNCTION("""COMPUTED_VALUE"""),411.0)</f>
        <v>411</v>
      </c>
      <c r="Q798" s="131"/>
      <c r="R798" s="131"/>
      <c r="T798" s="131"/>
      <c r="U798" s="131"/>
      <c r="V798" s="131"/>
      <c r="W798" s="144">
        <f>IFERROR(__xludf.DUMMYFUNCTION("""COMPUTED_VALUE"""),45858.0)</f>
        <v>45858</v>
      </c>
      <c r="X798" s="144">
        <f>IFERROR(__xludf.DUMMYFUNCTION("""COMPUTED_VALUE"""),45865.0)</f>
        <v>45865</v>
      </c>
      <c r="Y798" s="144">
        <f>IFERROR(__xludf.DUMMYFUNCTION("""COMPUTED_VALUE"""),45886.0)</f>
        <v>45886</v>
      </c>
      <c r="Z798" s="131" t="str">
        <f>IFERROR(__xludf.DUMMYFUNCTION("""COMPUTED_VALUE"""),"BRG9")</f>
        <v>BRG9</v>
      </c>
      <c r="AA798" s="131">
        <f>IFERROR(__xludf.DUMMYFUNCTION("""COMPUTED_VALUE"""),377.0)</f>
        <v>377</v>
      </c>
      <c r="AB798" s="131">
        <f>IFERROR(__xludf.DUMMYFUNCTION("""COMPUTED_VALUE"""),379.0)</f>
        <v>379</v>
      </c>
      <c r="AC798" s="131">
        <f>IFERROR(__xludf.DUMMYFUNCTION("""COMPUTED_VALUE"""),2.0)</f>
        <v>2</v>
      </c>
      <c r="AD798" s="131">
        <f>IFERROR(__xludf.DUMMYFUNCTION("""COMPUTED_VALUE"""),2.0)</f>
        <v>2</v>
      </c>
      <c r="AE798" s="131">
        <f>IFERROR(__xludf.DUMMYFUNCTION("""COMPUTED_VALUE"""),378.0)</f>
        <v>378</v>
      </c>
      <c r="AF798" s="131">
        <f>IFERROR(__xludf.DUMMYFUNCTION("""COMPUTED_VALUE"""),380.0)</f>
        <v>380</v>
      </c>
      <c r="AG798" s="131">
        <f>IFERROR(__xludf.DUMMYFUNCTION("""COMPUTED_VALUE"""),2.0)</f>
        <v>2</v>
      </c>
      <c r="AH798" s="131">
        <f>IFERROR(__xludf.DUMMYFUNCTION("""COMPUTED_VALUE"""),2.0)</f>
        <v>2</v>
      </c>
      <c r="AI798" s="131">
        <f>IFERROR(__xludf.DUMMYFUNCTION("""COMPUTED_VALUE"""),411.0)</f>
        <v>411</v>
      </c>
      <c r="AJ798" s="131"/>
      <c r="AK798" s="131"/>
    </row>
    <row r="799">
      <c r="A799" s="124"/>
      <c r="B799" s="131"/>
      <c r="C799" s="131"/>
      <c r="D799" s="144">
        <f>IFERROR(__xludf.DUMMYFUNCTION("""COMPUTED_VALUE"""),45858.0)</f>
        <v>45858</v>
      </c>
      <c r="E799" s="147">
        <f>IFERROR(__xludf.DUMMYFUNCTION("""COMPUTED_VALUE"""),45865.0)</f>
        <v>45865</v>
      </c>
      <c r="F799" s="147">
        <f>IFERROR(__xludf.DUMMYFUNCTION("""COMPUTED_VALUE"""),45886.0)</f>
        <v>45886</v>
      </c>
      <c r="G799" s="131" t="str">
        <f>IFERROR(__xludf.DUMMYFUNCTION("""COMPUTED_VALUE"""),"BRG9")</f>
        <v>BRG9</v>
      </c>
      <c r="H799" s="126">
        <f>IFERROR(__xludf.DUMMYFUNCTION("""COMPUTED_VALUE"""),377.0)</f>
        <v>377</v>
      </c>
      <c r="I799" s="126">
        <f>IFERROR(__xludf.DUMMYFUNCTION("""COMPUTED_VALUE"""),379.0)</f>
        <v>379</v>
      </c>
      <c r="J799" s="131">
        <f>IFERROR(__xludf.DUMMYFUNCTION("""COMPUTED_VALUE"""),2.0)</f>
        <v>2</v>
      </c>
      <c r="K799" s="131">
        <f>IFERROR(__xludf.DUMMYFUNCTION("""COMPUTED_VALUE"""),2.0)</f>
        <v>2</v>
      </c>
      <c r="L799" s="131">
        <f>IFERROR(__xludf.DUMMYFUNCTION("""COMPUTED_VALUE"""),378.0)</f>
        <v>378</v>
      </c>
      <c r="M799" s="131">
        <f>IFERROR(__xludf.DUMMYFUNCTION("""COMPUTED_VALUE"""),380.0)</f>
        <v>380</v>
      </c>
      <c r="N799" s="131">
        <f>IFERROR(__xludf.DUMMYFUNCTION("""COMPUTED_VALUE"""),2.0)</f>
        <v>2</v>
      </c>
      <c r="O799" s="131">
        <f>IFERROR(__xludf.DUMMYFUNCTION("""COMPUTED_VALUE"""),2.0)</f>
        <v>2</v>
      </c>
      <c r="P799" s="131">
        <f>IFERROR(__xludf.DUMMYFUNCTION("""COMPUTED_VALUE"""),411.0)</f>
        <v>411</v>
      </c>
      <c r="Q799" s="131"/>
      <c r="R799" s="131"/>
      <c r="T799" s="131"/>
      <c r="U799" s="131"/>
      <c r="V799" s="131"/>
      <c r="W799" s="144">
        <f>IFERROR(__xludf.DUMMYFUNCTION("""COMPUTED_VALUE"""),45858.0)</f>
        <v>45858</v>
      </c>
      <c r="X799" s="144">
        <f>IFERROR(__xludf.DUMMYFUNCTION("""COMPUTED_VALUE"""),45865.0)</f>
        <v>45865</v>
      </c>
      <c r="Y799" s="144">
        <f>IFERROR(__xludf.DUMMYFUNCTION("""COMPUTED_VALUE"""),45886.0)</f>
        <v>45886</v>
      </c>
      <c r="Z799" s="131" t="str">
        <f>IFERROR(__xludf.DUMMYFUNCTION("""COMPUTED_VALUE"""),"DC35")</f>
        <v>DC35</v>
      </c>
      <c r="AA799" s="131">
        <f>IFERROR(__xludf.DUMMYFUNCTION("""COMPUTED_VALUE"""),7.0)</f>
        <v>7</v>
      </c>
      <c r="AB799" s="131">
        <f>IFERROR(__xludf.DUMMYFUNCTION("""COMPUTED_VALUE"""),11.0)</f>
        <v>11</v>
      </c>
      <c r="AC799" s="131">
        <f>IFERROR(__xludf.DUMMYFUNCTION("""COMPUTED_VALUE"""),3.0)</f>
        <v>3</v>
      </c>
      <c r="AD799" s="131">
        <f>IFERROR(__xludf.DUMMYFUNCTION("""COMPUTED_VALUE"""),3.0)</f>
        <v>3</v>
      </c>
      <c r="AE799" s="131">
        <f>IFERROR(__xludf.DUMMYFUNCTION("""COMPUTED_VALUE"""),8.0)</f>
        <v>8</v>
      </c>
      <c r="AF799" s="131">
        <f>IFERROR(__xludf.DUMMYFUNCTION("""COMPUTED_VALUE"""),10.0)</f>
        <v>10</v>
      </c>
      <c r="AG799" s="131">
        <f>IFERROR(__xludf.DUMMYFUNCTION("""COMPUTED_VALUE"""),2.0)</f>
        <v>2</v>
      </c>
      <c r="AH799" s="131">
        <f>IFERROR(__xludf.DUMMYFUNCTION("""COMPUTED_VALUE"""),2.0)</f>
        <v>2</v>
      </c>
      <c r="AI799" s="131">
        <f>IFERROR(__xludf.DUMMYFUNCTION("""COMPUTED_VALUE"""),411.0)</f>
        <v>411</v>
      </c>
      <c r="AJ799" s="131"/>
      <c r="AK799" s="131"/>
    </row>
    <row r="800">
      <c r="A800" s="124"/>
      <c r="B800" s="131"/>
      <c r="C800" s="131"/>
      <c r="D800" s="144">
        <f>IFERROR(__xludf.DUMMYFUNCTION("""COMPUTED_VALUE"""),45858.0)</f>
        <v>45858</v>
      </c>
      <c r="E800" s="147">
        <f>IFERROR(__xludf.DUMMYFUNCTION("""COMPUTED_VALUE"""),45865.0)</f>
        <v>45865</v>
      </c>
      <c r="F800" s="147">
        <f>IFERROR(__xludf.DUMMYFUNCTION("""COMPUTED_VALUE"""),45886.0)</f>
        <v>45886</v>
      </c>
      <c r="G800" s="131" t="str">
        <f>IFERROR(__xludf.DUMMYFUNCTION("""COMPUTED_VALUE"""),"DC35")</f>
        <v>DC35</v>
      </c>
      <c r="H800" s="126">
        <f>IFERROR(__xludf.DUMMYFUNCTION("""COMPUTED_VALUE"""),7.0)</f>
        <v>7</v>
      </c>
      <c r="I800" s="126">
        <f>IFERROR(__xludf.DUMMYFUNCTION("""COMPUTED_VALUE"""),11.0)</f>
        <v>11</v>
      </c>
      <c r="J800" s="131">
        <f>IFERROR(__xludf.DUMMYFUNCTION("""COMPUTED_VALUE"""),3.0)</f>
        <v>3</v>
      </c>
      <c r="K800" s="131">
        <f>IFERROR(__xludf.DUMMYFUNCTION("""COMPUTED_VALUE"""),3.0)</f>
        <v>3</v>
      </c>
      <c r="L800" s="131">
        <f>IFERROR(__xludf.DUMMYFUNCTION("""COMPUTED_VALUE"""),8.0)</f>
        <v>8</v>
      </c>
      <c r="M800" s="131">
        <f>IFERROR(__xludf.DUMMYFUNCTION("""COMPUTED_VALUE"""),10.0)</f>
        <v>10</v>
      </c>
      <c r="N800" s="131">
        <f>IFERROR(__xludf.DUMMYFUNCTION("""COMPUTED_VALUE"""),2.0)</f>
        <v>2</v>
      </c>
      <c r="O800" s="131">
        <f>IFERROR(__xludf.DUMMYFUNCTION("""COMPUTED_VALUE"""),2.0)</f>
        <v>2</v>
      </c>
      <c r="P800" s="131">
        <f>IFERROR(__xludf.DUMMYFUNCTION("""COMPUTED_VALUE"""),411.0)</f>
        <v>411</v>
      </c>
      <c r="Q800" s="131"/>
      <c r="R800" s="131"/>
      <c r="T800" s="131"/>
      <c r="U800" s="131"/>
      <c r="V800" s="131"/>
      <c r="W800" s="144">
        <f>IFERROR(__xludf.DUMMYFUNCTION("""COMPUTED_VALUE"""),45858.0)</f>
        <v>45858</v>
      </c>
      <c r="X800" s="144">
        <f>IFERROR(__xludf.DUMMYFUNCTION("""COMPUTED_VALUE"""),45865.0)</f>
        <v>45865</v>
      </c>
      <c r="Y800" s="144">
        <f>IFERROR(__xludf.DUMMYFUNCTION("""COMPUTED_VALUE"""),45886.0)</f>
        <v>45886</v>
      </c>
      <c r="Z800" s="131" t="str">
        <f>IFERROR(__xludf.DUMMYFUNCTION("""COMPUTED_VALUE"""),"DC40")</f>
        <v>DC40</v>
      </c>
      <c r="AA800" s="131"/>
      <c r="AB800" s="131"/>
      <c r="AC800" s="131"/>
      <c r="AD800" s="131"/>
      <c r="AE800" s="131">
        <f>IFERROR(__xludf.DUMMYFUNCTION("""COMPUTED_VALUE"""),6.0)</f>
        <v>6</v>
      </c>
      <c r="AF800" s="131">
        <f>IFERROR(__xludf.DUMMYFUNCTION("""COMPUTED_VALUE"""),6.0)</f>
        <v>6</v>
      </c>
      <c r="AG800" s="131">
        <f>IFERROR(__xludf.DUMMYFUNCTION("""COMPUTED_VALUE"""),1.0)</f>
        <v>1</v>
      </c>
      <c r="AH800" s="131">
        <f>IFERROR(__xludf.DUMMYFUNCTION("""COMPUTED_VALUE"""),1.0)</f>
        <v>1</v>
      </c>
      <c r="AI800" s="131">
        <f>IFERROR(__xludf.DUMMYFUNCTION("""COMPUTED_VALUE"""),411.0)</f>
        <v>411</v>
      </c>
      <c r="AJ800" s="131"/>
      <c r="AK800" s="131"/>
    </row>
    <row r="801">
      <c r="A801" s="124"/>
      <c r="B801" s="131"/>
      <c r="C801" s="131"/>
      <c r="D801" s="144">
        <f>IFERROR(__xludf.DUMMYFUNCTION("""COMPUTED_VALUE"""),45858.0)</f>
        <v>45858</v>
      </c>
      <c r="E801" s="147">
        <f>IFERROR(__xludf.DUMMYFUNCTION("""COMPUTED_VALUE"""),45865.0)</f>
        <v>45865</v>
      </c>
      <c r="F801" s="147">
        <f>IFERROR(__xludf.DUMMYFUNCTION("""COMPUTED_VALUE"""),45886.0)</f>
        <v>45886</v>
      </c>
      <c r="G801" s="131" t="str">
        <f>IFERROR(__xludf.DUMMYFUNCTION("""COMPUTED_VALUE"""),"DC40")</f>
        <v>DC40</v>
      </c>
      <c r="H801" s="126"/>
      <c r="I801" s="126"/>
      <c r="J801" s="131"/>
      <c r="K801" s="131"/>
      <c r="L801" s="131">
        <f>IFERROR(__xludf.DUMMYFUNCTION("""COMPUTED_VALUE"""),6.0)</f>
        <v>6</v>
      </c>
      <c r="M801" s="131">
        <f>IFERROR(__xludf.DUMMYFUNCTION("""COMPUTED_VALUE"""),6.0)</f>
        <v>6</v>
      </c>
      <c r="N801" s="131">
        <f>IFERROR(__xludf.DUMMYFUNCTION("""COMPUTED_VALUE"""),1.0)</f>
        <v>1</v>
      </c>
      <c r="O801" s="131">
        <f>IFERROR(__xludf.DUMMYFUNCTION("""COMPUTED_VALUE"""),1.0)</f>
        <v>1</v>
      </c>
      <c r="P801" s="131">
        <f>IFERROR(__xludf.DUMMYFUNCTION("""COMPUTED_VALUE"""),411.0)</f>
        <v>411</v>
      </c>
      <c r="Q801" s="131"/>
      <c r="R801" s="131"/>
      <c r="T801" s="131"/>
      <c r="U801" s="131"/>
      <c r="V801" s="131"/>
      <c r="W801" s="144">
        <f>IFERROR(__xludf.DUMMYFUNCTION("""COMPUTED_VALUE"""),45858.0)</f>
        <v>45858</v>
      </c>
      <c r="X801" s="144">
        <f>IFERROR(__xludf.DUMMYFUNCTION("""COMPUTED_VALUE"""),45865.0)</f>
        <v>45865</v>
      </c>
      <c r="Y801" s="144">
        <f>IFERROR(__xludf.DUMMYFUNCTION("""COMPUTED_VALUE"""),45886.0)</f>
        <v>45886</v>
      </c>
      <c r="Z801" s="131" t="str">
        <f>IFERROR(__xludf.DUMMYFUNCTION("""COMPUTED_VALUE"""),"DC40")</f>
        <v>DC40</v>
      </c>
      <c r="AA801" s="131"/>
      <c r="AB801" s="131"/>
      <c r="AC801" s="131"/>
      <c r="AD801" s="131"/>
      <c r="AE801" s="131">
        <f>IFERROR(__xludf.DUMMYFUNCTION("""COMPUTED_VALUE"""),282.0)</f>
        <v>282</v>
      </c>
      <c r="AF801" s="131">
        <f>IFERROR(__xludf.DUMMYFUNCTION("""COMPUTED_VALUE"""),282.0)</f>
        <v>282</v>
      </c>
      <c r="AG801" s="131">
        <f>IFERROR(__xludf.DUMMYFUNCTION("""COMPUTED_VALUE"""),1.0)</f>
        <v>1</v>
      </c>
      <c r="AH801" s="131">
        <f>IFERROR(__xludf.DUMMYFUNCTION("""COMPUTED_VALUE"""),1.0)</f>
        <v>1</v>
      </c>
      <c r="AI801" s="131">
        <f>IFERROR(__xludf.DUMMYFUNCTION("""COMPUTED_VALUE"""),411.0)</f>
        <v>411</v>
      </c>
      <c r="AJ801" s="131"/>
      <c r="AK801" s="131"/>
    </row>
    <row r="802">
      <c r="A802" s="124"/>
      <c r="B802" s="131"/>
      <c r="C802" s="131"/>
      <c r="D802" s="144">
        <f>IFERROR(__xludf.DUMMYFUNCTION("""COMPUTED_VALUE"""),45858.0)</f>
        <v>45858</v>
      </c>
      <c r="E802" s="147">
        <f>IFERROR(__xludf.DUMMYFUNCTION("""COMPUTED_VALUE"""),45865.0)</f>
        <v>45865</v>
      </c>
      <c r="F802" s="147">
        <f>IFERROR(__xludf.DUMMYFUNCTION("""COMPUTED_VALUE"""),45886.0)</f>
        <v>45886</v>
      </c>
      <c r="G802" s="131" t="str">
        <f>IFERROR(__xludf.DUMMYFUNCTION("""COMPUTED_VALUE"""),"DC40")</f>
        <v>DC40</v>
      </c>
      <c r="H802" s="126"/>
      <c r="I802" s="126"/>
      <c r="J802" s="131"/>
      <c r="K802" s="131"/>
      <c r="L802" s="131">
        <f>IFERROR(__xludf.DUMMYFUNCTION("""COMPUTED_VALUE"""),282.0)</f>
        <v>282</v>
      </c>
      <c r="M802" s="131">
        <f>IFERROR(__xludf.DUMMYFUNCTION("""COMPUTED_VALUE"""),282.0)</f>
        <v>282</v>
      </c>
      <c r="N802" s="131">
        <f>IFERROR(__xludf.DUMMYFUNCTION("""COMPUTED_VALUE"""),1.0)</f>
        <v>1</v>
      </c>
      <c r="O802" s="131">
        <f>IFERROR(__xludf.DUMMYFUNCTION("""COMPUTED_VALUE"""),1.0)</f>
        <v>1</v>
      </c>
      <c r="P802" s="131">
        <f>IFERROR(__xludf.DUMMYFUNCTION("""COMPUTED_VALUE"""),411.0)</f>
        <v>411</v>
      </c>
      <c r="Q802" s="131"/>
      <c r="R802" s="131"/>
      <c r="T802" s="131"/>
      <c r="U802" s="131"/>
      <c r="V802" s="131"/>
      <c r="W802" s="144">
        <f>IFERROR(__xludf.DUMMYFUNCTION("""COMPUTED_VALUE"""),45858.0)</f>
        <v>45858</v>
      </c>
      <c r="X802" s="144">
        <f>IFERROR(__xludf.DUMMYFUNCTION("""COMPUTED_VALUE"""),45865.0)</f>
        <v>45865</v>
      </c>
      <c r="Y802" s="144">
        <f>IFERROR(__xludf.DUMMYFUNCTION("""COMPUTED_VALUE"""),45886.0)</f>
        <v>45886</v>
      </c>
      <c r="Z802" s="131" t="str">
        <f>IFERROR(__xludf.DUMMYFUNCTION("""COMPUTED_VALUE"""),"DC40")</f>
        <v>DC40</v>
      </c>
      <c r="AA802" s="131"/>
      <c r="AB802" s="131"/>
      <c r="AC802" s="131"/>
      <c r="AD802" s="131"/>
      <c r="AE802" s="131">
        <f>IFERROR(__xludf.DUMMYFUNCTION("""COMPUTED_VALUE"""),283.0)</f>
        <v>283</v>
      </c>
      <c r="AF802" s="131">
        <f>IFERROR(__xludf.DUMMYFUNCTION("""COMPUTED_VALUE"""),283.0)</f>
        <v>283</v>
      </c>
      <c r="AG802" s="131">
        <f>IFERROR(__xludf.DUMMYFUNCTION("""COMPUTED_VALUE"""),1.0)</f>
        <v>1</v>
      </c>
      <c r="AH802" s="131">
        <f>IFERROR(__xludf.DUMMYFUNCTION("""COMPUTED_VALUE"""),1.0)</f>
        <v>1</v>
      </c>
      <c r="AI802" s="131">
        <f>IFERROR(__xludf.DUMMYFUNCTION("""COMPUTED_VALUE"""),411.0)</f>
        <v>411</v>
      </c>
      <c r="AJ802" s="131"/>
      <c r="AK802" s="131"/>
    </row>
    <row r="803">
      <c r="A803" s="124"/>
      <c r="B803" s="131"/>
      <c r="C803" s="131"/>
      <c r="D803" s="144">
        <f>IFERROR(__xludf.DUMMYFUNCTION("""COMPUTED_VALUE"""),45858.0)</f>
        <v>45858</v>
      </c>
      <c r="E803" s="147">
        <f>IFERROR(__xludf.DUMMYFUNCTION("""COMPUTED_VALUE"""),45865.0)</f>
        <v>45865</v>
      </c>
      <c r="F803" s="147">
        <f>IFERROR(__xludf.DUMMYFUNCTION("""COMPUTED_VALUE"""),45886.0)</f>
        <v>45886</v>
      </c>
      <c r="G803" s="131" t="str">
        <f>IFERROR(__xludf.DUMMYFUNCTION("""COMPUTED_VALUE"""),"DC40")</f>
        <v>DC40</v>
      </c>
      <c r="H803" s="126"/>
      <c r="I803" s="126"/>
      <c r="J803" s="131"/>
      <c r="K803" s="131"/>
      <c r="L803" s="131">
        <f>IFERROR(__xludf.DUMMYFUNCTION("""COMPUTED_VALUE"""),283.0)</f>
        <v>283</v>
      </c>
      <c r="M803" s="131">
        <f>IFERROR(__xludf.DUMMYFUNCTION("""COMPUTED_VALUE"""),283.0)</f>
        <v>283</v>
      </c>
      <c r="N803" s="131">
        <f>IFERROR(__xludf.DUMMYFUNCTION("""COMPUTED_VALUE"""),1.0)</f>
        <v>1</v>
      </c>
      <c r="O803" s="131">
        <f>IFERROR(__xludf.DUMMYFUNCTION("""COMPUTED_VALUE"""),1.0)</f>
        <v>1</v>
      </c>
      <c r="P803" s="131">
        <f>IFERROR(__xludf.DUMMYFUNCTION("""COMPUTED_VALUE"""),411.0)</f>
        <v>411</v>
      </c>
      <c r="Q803" s="131"/>
      <c r="R803" s="131"/>
      <c r="T803" s="131"/>
      <c r="U803" s="131"/>
      <c r="V803" s="131"/>
      <c r="W803" s="144">
        <f>IFERROR(__xludf.DUMMYFUNCTION("""COMPUTED_VALUE"""),45858.0)</f>
        <v>45858</v>
      </c>
      <c r="X803" s="144">
        <f>IFERROR(__xludf.DUMMYFUNCTION("""COMPUTED_VALUE"""),45865.0)</f>
        <v>45865</v>
      </c>
      <c r="Y803" s="144">
        <f>IFERROR(__xludf.DUMMYFUNCTION("""COMPUTED_VALUE"""),45886.0)</f>
        <v>45886</v>
      </c>
      <c r="Z803" s="131" t="str">
        <f>IFERROR(__xludf.DUMMYFUNCTION("""COMPUTED_VALUE"""),"DC40")</f>
        <v>DC40</v>
      </c>
      <c r="AA803" s="131"/>
      <c r="AB803" s="131"/>
      <c r="AC803" s="131"/>
      <c r="AD803" s="131"/>
      <c r="AE803" s="131">
        <f>IFERROR(__xludf.DUMMYFUNCTION("""COMPUTED_VALUE"""),288.0)</f>
        <v>288</v>
      </c>
      <c r="AF803" s="131">
        <f>IFERROR(__xludf.DUMMYFUNCTION("""COMPUTED_VALUE"""),288.0)</f>
        <v>288</v>
      </c>
      <c r="AG803" s="131">
        <f>IFERROR(__xludf.DUMMYFUNCTION("""COMPUTED_VALUE"""),1.0)</f>
        <v>1</v>
      </c>
      <c r="AH803" s="131">
        <f>IFERROR(__xludf.DUMMYFUNCTION("""COMPUTED_VALUE"""),1.0)</f>
        <v>1</v>
      </c>
      <c r="AI803" s="131">
        <f>IFERROR(__xludf.DUMMYFUNCTION("""COMPUTED_VALUE"""),411.0)</f>
        <v>411</v>
      </c>
      <c r="AJ803" s="131"/>
      <c r="AK803" s="131"/>
    </row>
    <row r="804">
      <c r="A804" s="124"/>
      <c r="B804" s="131"/>
      <c r="C804" s="131"/>
      <c r="D804" s="144">
        <f>IFERROR(__xludf.DUMMYFUNCTION("""COMPUTED_VALUE"""),45858.0)</f>
        <v>45858</v>
      </c>
      <c r="E804" s="147">
        <f>IFERROR(__xludf.DUMMYFUNCTION("""COMPUTED_VALUE"""),45865.0)</f>
        <v>45865</v>
      </c>
      <c r="F804" s="147">
        <f>IFERROR(__xludf.DUMMYFUNCTION("""COMPUTED_VALUE"""),45886.0)</f>
        <v>45886</v>
      </c>
      <c r="G804" s="131" t="str">
        <f>IFERROR(__xludf.DUMMYFUNCTION("""COMPUTED_VALUE"""),"DC40")</f>
        <v>DC40</v>
      </c>
      <c r="H804" s="126"/>
      <c r="I804" s="126"/>
      <c r="J804" s="131"/>
      <c r="K804" s="131"/>
      <c r="L804" s="131">
        <f>IFERROR(__xludf.DUMMYFUNCTION("""COMPUTED_VALUE"""),288.0)</f>
        <v>288</v>
      </c>
      <c r="M804" s="131">
        <f>IFERROR(__xludf.DUMMYFUNCTION("""COMPUTED_VALUE"""),288.0)</f>
        <v>288</v>
      </c>
      <c r="N804" s="131">
        <f>IFERROR(__xludf.DUMMYFUNCTION("""COMPUTED_VALUE"""),1.0)</f>
        <v>1</v>
      </c>
      <c r="O804" s="131">
        <f>IFERROR(__xludf.DUMMYFUNCTION("""COMPUTED_VALUE"""),1.0)</f>
        <v>1</v>
      </c>
      <c r="P804" s="131">
        <f>IFERROR(__xludf.DUMMYFUNCTION("""COMPUTED_VALUE"""),411.0)</f>
        <v>411</v>
      </c>
      <c r="Q804" s="131"/>
      <c r="R804" s="131"/>
      <c r="T804" s="131"/>
      <c r="U804" s="131"/>
      <c r="V804" s="131"/>
      <c r="W804" s="144">
        <f>IFERROR(__xludf.DUMMYFUNCTION("""COMPUTED_VALUE"""),45858.0)</f>
        <v>45858</v>
      </c>
      <c r="X804" s="144">
        <f>IFERROR(__xludf.DUMMYFUNCTION("""COMPUTED_VALUE"""),45865.0)</f>
        <v>45865</v>
      </c>
      <c r="Y804" s="144">
        <f>IFERROR(__xludf.DUMMYFUNCTION("""COMPUTED_VALUE"""),45886.0)</f>
        <v>45886</v>
      </c>
      <c r="Z804" s="131" t="str">
        <f>IFERROR(__xludf.DUMMYFUNCTION("""COMPUTED_VALUE"""),"DC34")</f>
        <v>DC34</v>
      </c>
      <c r="AA804" s="131">
        <f>IFERROR(__xludf.DUMMYFUNCTION("""COMPUTED_VALUE"""),7.0)</f>
        <v>7</v>
      </c>
      <c r="AB804" s="131">
        <f>IFERROR(__xludf.DUMMYFUNCTION("""COMPUTED_VALUE"""),7.0)</f>
        <v>7</v>
      </c>
      <c r="AC804" s="131">
        <f>IFERROR(__xludf.DUMMYFUNCTION("""COMPUTED_VALUE"""),1.0)</f>
        <v>1</v>
      </c>
      <c r="AD804" s="131">
        <f>IFERROR(__xludf.DUMMYFUNCTION("""COMPUTED_VALUE"""),1.0)</f>
        <v>1</v>
      </c>
      <c r="AE804" s="131">
        <f>IFERROR(__xludf.DUMMYFUNCTION("""COMPUTED_VALUE"""),232.0)</f>
        <v>232</v>
      </c>
      <c r="AF804" s="131">
        <f>IFERROR(__xludf.DUMMYFUNCTION("""COMPUTED_VALUE"""),234.0)</f>
        <v>234</v>
      </c>
      <c r="AG804" s="131">
        <f>IFERROR(__xludf.DUMMYFUNCTION("""COMPUTED_VALUE"""),2.0)</f>
        <v>2</v>
      </c>
      <c r="AH804" s="131">
        <f>IFERROR(__xludf.DUMMYFUNCTION("""COMPUTED_VALUE"""),2.0)</f>
        <v>2</v>
      </c>
      <c r="AI804" s="131">
        <f>IFERROR(__xludf.DUMMYFUNCTION("""COMPUTED_VALUE"""),412.0)</f>
        <v>412</v>
      </c>
      <c r="AJ804" s="131"/>
      <c r="AK804" s="131"/>
    </row>
    <row r="805">
      <c r="A805" s="124"/>
      <c r="B805" s="131"/>
      <c r="C805" s="131"/>
      <c r="D805" s="144">
        <f>IFERROR(__xludf.DUMMYFUNCTION("""COMPUTED_VALUE"""),45858.0)</f>
        <v>45858</v>
      </c>
      <c r="E805" s="147">
        <f>IFERROR(__xludf.DUMMYFUNCTION("""COMPUTED_VALUE"""),45865.0)</f>
        <v>45865</v>
      </c>
      <c r="F805" s="147">
        <f>IFERROR(__xludf.DUMMYFUNCTION("""COMPUTED_VALUE"""),45886.0)</f>
        <v>45886</v>
      </c>
      <c r="G805" s="131" t="str">
        <f>IFERROR(__xludf.DUMMYFUNCTION("""COMPUTED_VALUE"""),"DC34")</f>
        <v>DC34</v>
      </c>
      <c r="H805" s="126">
        <f>IFERROR(__xludf.DUMMYFUNCTION("""COMPUTED_VALUE"""),7.0)</f>
        <v>7</v>
      </c>
      <c r="I805" s="126">
        <f>IFERROR(__xludf.DUMMYFUNCTION("""COMPUTED_VALUE"""),7.0)</f>
        <v>7</v>
      </c>
      <c r="J805" s="131">
        <f>IFERROR(__xludf.DUMMYFUNCTION("""COMPUTED_VALUE"""),1.0)</f>
        <v>1</v>
      </c>
      <c r="K805" s="131">
        <f>IFERROR(__xludf.DUMMYFUNCTION("""COMPUTED_VALUE"""),1.0)</f>
        <v>1</v>
      </c>
      <c r="L805" s="131">
        <f>IFERROR(__xludf.DUMMYFUNCTION("""COMPUTED_VALUE"""),232.0)</f>
        <v>232</v>
      </c>
      <c r="M805" s="131">
        <f>IFERROR(__xludf.DUMMYFUNCTION("""COMPUTED_VALUE"""),234.0)</f>
        <v>234</v>
      </c>
      <c r="N805" s="131">
        <f>IFERROR(__xludf.DUMMYFUNCTION("""COMPUTED_VALUE"""),2.0)</f>
        <v>2</v>
      </c>
      <c r="O805" s="131">
        <f>IFERROR(__xludf.DUMMYFUNCTION("""COMPUTED_VALUE"""),2.0)</f>
        <v>2</v>
      </c>
      <c r="P805" s="131">
        <f>IFERROR(__xludf.DUMMYFUNCTION("""COMPUTED_VALUE"""),412.0)</f>
        <v>412</v>
      </c>
      <c r="Q805" s="131"/>
      <c r="R805" s="131"/>
      <c r="T805" s="131"/>
      <c r="U805" s="131"/>
      <c r="V805" s="131"/>
      <c r="W805" s="144">
        <f>IFERROR(__xludf.DUMMYFUNCTION("""COMPUTED_VALUE"""),45858.0)</f>
        <v>45858</v>
      </c>
      <c r="X805" s="144">
        <f>IFERROR(__xludf.DUMMYFUNCTION("""COMPUTED_VALUE"""),45865.0)</f>
        <v>45865</v>
      </c>
      <c r="Y805" s="144">
        <f>IFERROR(__xludf.DUMMYFUNCTION("""COMPUTED_VALUE"""),45886.0)</f>
        <v>45886</v>
      </c>
      <c r="Z805" s="131" t="str">
        <f>IFERROR(__xludf.DUMMYFUNCTION("""COMPUTED_VALUE"""),"DC34")</f>
        <v>DC34</v>
      </c>
      <c r="AA805" s="131">
        <f>IFERROR(__xludf.DUMMYFUNCTION("""COMPUTED_VALUE"""),229.0)</f>
        <v>229</v>
      </c>
      <c r="AB805" s="131">
        <f>IFERROR(__xludf.DUMMYFUNCTION("""COMPUTED_VALUE"""),229.0)</f>
        <v>229</v>
      </c>
      <c r="AC805" s="131">
        <f>IFERROR(__xludf.DUMMYFUNCTION("""COMPUTED_VALUE"""),1.0)</f>
        <v>1</v>
      </c>
      <c r="AD805" s="131">
        <f>IFERROR(__xludf.DUMMYFUNCTION("""COMPUTED_VALUE"""),1.0)</f>
        <v>1</v>
      </c>
      <c r="AE805" s="131">
        <f>IFERROR(__xludf.DUMMYFUNCTION("""COMPUTED_VALUE"""),230.0)</f>
        <v>230</v>
      </c>
      <c r="AF805" s="131">
        <f>IFERROR(__xludf.DUMMYFUNCTION("""COMPUTED_VALUE"""),230.0)</f>
        <v>230</v>
      </c>
      <c r="AG805" s="131">
        <f>IFERROR(__xludf.DUMMYFUNCTION("""COMPUTED_VALUE"""),1.0)</f>
        <v>1</v>
      </c>
      <c r="AH805" s="131">
        <f>IFERROR(__xludf.DUMMYFUNCTION("""COMPUTED_VALUE"""),1.0)</f>
        <v>1</v>
      </c>
      <c r="AI805" s="131">
        <f>IFERROR(__xludf.DUMMYFUNCTION("""COMPUTED_VALUE"""),412.0)</f>
        <v>412</v>
      </c>
      <c r="AJ805" s="131"/>
      <c r="AK805" s="131"/>
    </row>
    <row r="806">
      <c r="A806" s="124"/>
      <c r="B806" s="131"/>
      <c r="C806" s="131"/>
      <c r="D806" s="144">
        <f>IFERROR(__xludf.DUMMYFUNCTION("""COMPUTED_VALUE"""),45858.0)</f>
        <v>45858</v>
      </c>
      <c r="E806" s="147">
        <f>IFERROR(__xludf.DUMMYFUNCTION("""COMPUTED_VALUE"""),45865.0)</f>
        <v>45865</v>
      </c>
      <c r="F806" s="147">
        <f>IFERROR(__xludf.DUMMYFUNCTION("""COMPUTED_VALUE"""),45886.0)</f>
        <v>45886</v>
      </c>
      <c r="G806" s="131" t="str">
        <f>IFERROR(__xludf.DUMMYFUNCTION("""COMPUTED_VALUE"""),"DC34")</f>
        <v>DC34</v>
      </c>
      <c r="H806" s="126">
        <f>IFERROR(__xludf.DUMMYFUNCTION("""COMPUTED_VALUE"""),229.0)</f>
        <v>229</v>
      </c>
      <c r="I806" s="126">
        <f>IFERROR(__xludf.DUMMYFUNCTION("""COMPUTED_VALUE"""),229.0)</f>
        <v>229</v>
      </c>
      <c r="J806" s="131">
        <f>IFERROR(__xludf.DUMMYFUNCTION("""COMPUTED_VALUE"""),1.0)</f>
        <v>1</v>
      </c>
      <c r="K806" s="131">
        <f>IFERROR(__xludf.DUMMYFUNCTION("""COMPUTED_VALUE"""),1.0)</f>
        <v>1</v>
      </c>
      <c r="L806" s="131">
        <f>IFERROR(__xludf.DUMMYFUNCTION("""COMPUTED_VALUE"""),230.0)</f>
        <v>230</v>
      </c>
      <c r="M806" s="131">
        <f>IFERROR(__xludf.DUMMYFUNCTION("""COMPUTED_VALUE"""),230.0)</f>
        <v>230</v>
      </c>
      <c r="N806" s="131">
        <f>IFERROR(__xludf.DUMMYFUNCTION("""COMPUTED_VALUE"""),1.0)</f>
        <v>1</v>
      </c>
      <c r="O806" s="131">
        <f>IFERROR(__xludf.DUMMYFUNCTION("""COMPUTED_VALUE"""),1.0)</f>
        <v>1</v>
      </c>
      <c r="P806" s="131">
        <f>IFERROR(__xludf.DUMMYFUNCTION("""COMPUTED_VALUE"""),412.0)</f>
        <v>412</v>
      </c>
      <c r="Q806" s="131"/>
      <c r="R806" s="131"/>
      <c r="T806" s="131"/>
      <c r="U806" s="131"/>
      <c r="V806" s="131"/>
      <c r="W806" s="144">
        <f>IFERROR(__xludf.DUMMYFUNCTION("""COMPUTED_VALUE"""),45858.0)</f>
        <v>45858</v>
      </c>
      <c r="X806" s="144">
        <f>IFERROR(__xludf.DUMMYFUNCTION("""COMPUTED_VALUE"""),45865.0)</f>
        <v>45865</v>
      </c>
      <c r="Y806" s="144">
        <f>IFERROR(__xludf.DUMMYFUNCTION("""COMPUTED_VALUE"""),45886.0)</f>
        <v>45886</v>
      </c>
      <c r="Z806" s="131" t="str">
        <f>IFERROR(__xludf.DUMMYFUNCTION("""COMPUTED_VALUE"""),"D34-4R")</f>
        <v>D34-4R</v>
      </c>
      <c r="AA806" s="131"/>
      <c r="AB806" s="131"/>
      <c r="AC806" s="131"/>
      <c r="AD806" s="131"/>
      <c r="AE806" s="131">
        <f>IFERROR(__xludf.DUMMYFUNCTION("""COMPUTED_VALUE"""),2.0)</f>
        <v>2</v>
      </c>
      <c r="AF806" s="131">
        <f>IFERROR(__xludf.DUMMYFUNCTION("""COMPUTED_VALUE"""),4.0)</f>
        <v>4</v>
      </c>
      <c r="AG806" s="131">
        <f>IFERROR(__xludf.DUMMYFUNCTION("""COMPUTED_VALUE"""),2.0)</f>
        <v>2</v>
      </c>
      <c r="AH806" s="131">
        <f>IFERROR(__xludf.DUMMYFUNCTION("""COMPUTED_VALUE"""),2.0)</f>
        <v>2</v>
      </c>
      <c r="AI806" s="131">
        <f>IFERROR(__xludf.DUMMYFUNCTION("""COMPUTED_VALUE"""),412.0)</f>
        <v>412</v>
      </c>
      <c r="AJ806" s="131"/>
      <c r="AK806" s="131"/>
    </row>
    <row r="807">
      <c r="A807" s="124"/>
      <c r="B807" s="131"/>
      <c r="C807" s="131"/>
      <c r="D807" s="144">
        <f>IFERROR(__xludf.DUMMYFUNCTION("""COMPUTED_VALUE"""),45858.0)</f>
        <v>45858</v>
      </c>
      <c r="E807" s="147">
        <f>IFERROR(__xludf.DUMMYFUNCTION("""COMPUTED_VALUE"""),45865.0)</f>
        <v>45865</v>
      </c>
      <c r="F807" s="147">
        <f>IFERROR(__xludf.DUMMYFUNCTION("""COMPUTED_VALUE"""),45886.0)</f>
        <v>45886</v>
      </c>
      <c r="G807" s="131" t="str">
        <f>IFERROR(__xludf.DUMMYFUNCTION("""COMPUTED_VALUE"""),"D34-4R")</f>
        <v>D34-4R</v>
      </c>
      <c r="H807" s="126"/>
      <c r="I807" s="126"/>
      <c r="J807" s="131"/>
      <c r="K807" s="131"/>
      <c r="L807" s="131">
        <f>IFERROR(__xludf.DUMMYFUNCTION("""COMPUTED_VALUE"""),2.0)</f>
        <v>2</v>
      </c>
      <c r="M807" s="131">
        <f>IFERROR(__xludf.DUMMYFUNCTION("""COMPUTED_VALUE"""),4.0)</f>
        <v>4</v>
      </c>
      <c r="N807" s="131">
        <f>IFERROR(__xludf.DUMMYFUNCTION("""COMPUTED_VALUE"""),2.0)</f>
        <v>2</v>
      </c>
      <c r="O807" s="131">
        <f>IFERROR(__xludf.DUMMYFUNCTION("""COMPUTED_VALUE"""),2.0)</f>
        <v>2</v>
      </c>
      <c r="P807" s="131">
        <f>IFERROR(__xludf.DUMMYFUNCTION("""COMPUTED_VALUE"""),412.0)</f>
        <v>412</v>
      </c>
      <c r="Q807" s="131"/>
      <c r="R807" s="131"/>
      <c r="T807" s="131"/>
      <c r="U807" s="131"/>
      <c r="V807" s="131"/>
      <c r="W807" s="144">
        <f>IFERROR(__xludf.DUMMYFUNCTION("""COMPUTED_VALUE"""),45858.0)</f>
        <v>45858</v>
      </c>
      <c r="X807" s="144">
        <f>IFERROR(__xludf.DUMMYFUNCTION("""COMPUTED_VALUE"""),45865.0)</f>
        <v>45865</v>
      </c>
      <c r="Y807" s="144">
        <f>IFERROR(__xludf.DUMMYFUNCTION("""COMPUTED_VALUE"""),45886.0)</f>
        <v>45886</v>
      </c>
      <c r="Z807" s="131" t="str">
        <f>IFERROR(__xludf.DUMMYFUNCTION("""COMPUTED_VALUE"""),"D34-3R")</f>
        <v>D34-3R</v>
      </c>
      <c r="AA807" s="131">
        <f>IFERROR(__xludf.DUMMYFUNCTION("""COMPUTED_VALUE"""),5.0)</f>
        <v>5</v>
      </c>
      <c r="AB807" s="131">
        <f>IFERROR(__xludf.DUMMYFUNCTION("""COMPUTED_VALUE"""),7.0)</f>
        <v>7</v>
      </c>
      <c r="AC807" s="131">
        <f>IFERROR(__xludf.DUMMYFUNCTION("""COMPUTED_VALUE"""),2.0)</f>
        <v>2</v>
      </c>
      <c r="AD807" s="131">
        <f>IFERROR(__xludf.DUMMYFUNCTION("""COMPUTED_VALUE"""),2.0)</f>
        <v>2</v>
      </c>
      <c r="AE807" s="131"/>
      <c r="AF807" s="131"/>
      <c r="AG807" s="131"/>
      <c r="AH807" s="131"/>
      <c r="AI807" s="131">
        <f>IFERROR(__xludf.DUMMYFUNCTION("""COMPUTED_VALUE"""),412.0)</f>
        <v>412</v>
      </c>
      <c r="AJ807" s="131"/>
      <c r="AK807" s="131"/>
    </row>
    <row r="808">
      <c r="A808" s="124"/>
      <c r="B808" s="131"/>
      <c r="C808" s="131"/>
      <c r="D808" s="144">
        <f>IFERROR(__xludf.DUMMYFUNCTION("""COMPUTED_VALUE"""),45858.0)</f>
        <v>45858</v>
      </c>
      <c r="E808" s="147">
        <f>IFERROR(__xludf.DUMMYFUNCTION("""COMPUTED_VALUE"""),45865.0)</f>
        <v>45865</v>
      </c>
      <c r="F808" s="147">
        <f>IFERROR(__xludf.DUMMYFUNCTION("""COMPUTED_VALUE"""),45886.0)</f>
        <v>45886</v>
      </c>
      <c r="G808" s="131" t="str">
        <f>IFERROR(__xludf.DUMMYFUNCTION("""COMPUTED_VALUE"""),"D34-3R")</f>
        <v>D34-3R</v>
      </c>
      <c r="H808" s="126">
        <f>IFERROR(__xludf.DUMMYFUNCTION("""COMPUTED_VALUE"""),5.0)</f>
        <v>5</v>
      </c>
      <c r="I808" s="126">
        <f>IFERROR(__xludf.DUMMYFUNCTION("""COMPUTED_VALUE"""),7.0)</f>
        <v>7</v>
      </c>
      <c r="J808" s="131">
        <f>IFERROR(__xludf.DUMMYFUNCTION("""COMPUTED_VALUE"""),2.0)</f>
        <v>2</v>
      </c>
      <c r="K808" s="131">
        <f>IFERROR(__xludf.DUMMYFUNCTION("""COMPUTED_VALUE"""),2.0)</f>
        <v>2</v>
      </c>
      <c r="L808" s="131"/>
      <c r="M808" s="131"/>
      <c r="N808" s="131"/>
      <c r="O808" s="131"/>
      <c r="P808" s="131">
        <f>IFERROR(__xludf.DUMMYFUNCTION("""COMPUTED_VALUE"""),412.0)</f>
        <v>412</v>
      </c>
      <c r="Q808" s="131"/>
      <c r="R808" s="131"/>
      <c r="T808" s="131"/>
      <c r="U808" s="131"/>
      <c r="V808" s="131"/>
      <c r="W808" s="144">
        <f>IFERROR(__xludf.DUMMYFUNCTION("""COMPUTED_VALUE"""),45858.0)</f>
        <v>45858</v>
      </c>
      <c r="X808" s="144">
        <f>IFERROR(__xludf.DUMMYFUNCTION("""COMPUTED_VALUE"""),45865.0)</f>
        <v>45865</v>
      </c>
      <c r="Y808" s="144">
        <f>IFERROR(__xludf.DUMMYFUNCTION("""COMPUTED_VALUE"""),45886.0)</f>
        <v>45886</v>
      </c>
      <c r="Z808" s="131" t="str">
        <f>IFERROR(__xludf.DUMMYFUNCTION("""COMPUTED_VALUE"""),"D34-4L")</f>
        <v>D34-4L</v>
      </c>
      <c r="AA808" s="131">
        <f>IFERROR(__xludf.DUMMYFUNCTION("""COMPUTED_VALUE"""),1.0)</f>
        <v>1</v>
      </c>
      <c r="AB808" s="131">
        <f>IFERROR(__xludf.DUMMYFUNCTION("""COMPUTED_VALUE"""),1.0)</f>
        <v>1</v>
      </c>
      <c r="AC808" s="131">
        <f>IFERROR(__xludf.DUMMYFUNCTION("""COMPUTED_VALUE"""),1.0)</f>
        <v>1</v>
      </c>
      <c r="AD808" s="131">
        <f>IFERROR(__xludf.DUMMYFUNCTION("""COMPUTED_VALUE"""),1.0)</f>
        <v>1</v>
      </c>
      <c r="AE808" s="131"/>
      <c r="AF808" s="131"/>
      <c r="AG808" s="131"/>
      <c r="AH808" s="131"/>
      <c r="AI808" s="131">
        <f>IFERROR(__xludf.DUMMYFUNCTION("""COMPUTED_VALUE"""),412.0)</f>
        <v>412</v>
      </c>
      <c r="AJ808" s="131"/>
      <c r="AK808" s="131"/>
    </row>
    <row r="809">
      <c r="A809" s="124"/>
      <c r="B809" s="131"/>
      <c r="C809" s="131"/>
      <c r="D809" s="144">
        <f>IFERROR(__xludf.DUMMYFUNCTION("""COMPUTED_VALUE"""),45858.0)</f>
        <v>45858</v>
      </c>
      <c r="E809" s="147">
        <f>IFERROR(__xludf.DUMMYFUNCTION("""COMPUTED_VALUE"""),45865.0)</f>
        <v>45865</v>
      </c>
      <c r="F809" s="147">
        <f>IFERROR(__xludf.DUMMYFUNCTION("""COMPUTED_VALUE"""),45886.0)</f>
        <v>45886</v>
      </c>
      <c r="G809" s="131" t="str">
        <f>IFERROR(__xludf.DUMMYFUNCTION("""COMPUTED_VALUE"""),"D34-4L")</f>
        <v>D34-4L</v>
      </c>
      <c r="H809" s="126">
        <f>IFERROR(__xludf.DUMMYFUNCTION("""COMPUTED_VALUE"""),1.0)</f>
        <v>1</v>
      </c>
      <c r="I809" s="126">
        <f>IFERROR(__xludf.DUMMYFUNCTION("""COMPUTED_VALUE"""),1.0)</f>
        <v>1</v>
      </c>
      <c r="J809" s="131">
        <f>IFERROR(__xludf.DUMMYFUNCTION("""COMPUTED_VALUE"""),1.0)</f>
        <v>1</v>
      </c>
      <c r="K809" s="131">
        <f>IFERROR(__xludf.DUMMYFUNCTION("""COMPUTED_VALUE"""),1.0)</f>
        <v>1</v>
      </c>
      <c r="L809" s="131"/>
      <c r="M809" s="131"/>
      <c r="N809" s="131"/>
      <c r="O809" s="131"/>
      <c r="P809" s="131">
        <f>IFERROR(__xludf.DUMMYFUNCTION("""COMPUTED_VALUE"""),412.0)</f>
        <v>412</v>
      </c>
      <c r="Q809" s="131"/>
      <c r="R809" s="131"/>
      <c r="T809" s="131"/>
      <c r="U809" s="131"/>
      <c r="V809" s="131"/>
      <c r="W809" s="144">
        <f>IFERROR(__xludf.DUMMYFUNCTION("""COMPUTED_VALUE"""),45858.0)</f>
        <v>45858</v>
      </c>
      <c r="X809" s="144">
        <f>IFERROR(__xludf.DUMMYFUNCTION("""COMPUTED_VALUE"""),45865.0)</f>
        <v>45865</v>
      </c>
      <c r="Y809" s="144">
        <f>IFERROR(__xludf.DUMMYFUNCTION("""COMPUTED_VALUE"""),45886.0)</f>
        <v>45886</v>
      </c>
      <c r="Z809" s="131" t="str">
        <f>IFERROR(__xludf.DUMMYFUNCTION("""COMPUTED_VALUE"""),"D34-3L")</f>
        <v>D34-3L</v>
      </c>
      <c r="AA809" s="131">
        <f>IFERROR(__xludf.DUMMYFUNCTION("""COMPUTED_VALUE"""),3.0)</f>
        <v>3</v>
      </c>
      <c r="AB809" s="131">
        <f>IFERROR(__xludf.DUMMYFUNCTION("""COMPUTED_VALUE"""),3.0)</f>
        <v>3</v>
      </c>
      <c r="AC809" s="131">
        <f>IFERROR(__xludf.DUMMYFUNCTION("""COMPUTED_VALUE"""),1.0)</f>
        <v>1</v>
      </c>
      <c r="AD809" s="131">
        <f>IFERROR(__xludf.DUMMYFUNCTION("""COMPUTED_VALUE"""),1.0)</f>
        <v>1</v>
      </c>
      <c r="AE809" s="131"/>
      <c r="AF809" s="131"/>
      <c r="AG809" s="131"/>
      <c r="AH809" s="131"/>
      <c r="AI809" s="131">
        <f>IFERROR(__xludf.DUMMYFUNCTION("""COMPUTED_VALUE"""),412.0)</f>
        <v>412</v>
      </c>
      <c r="AJ809" s="131"/>
      <c r="AK809" s="131"/>
    </row>
    <row r="810">
      <c r="A810" s="124"/>
      <c r="B810" s="131"/>
      <c r="C810" s="131"/>
      <c r="D810" s="144">
        <f>IFERROR(__xludf.DUMMYFUNCTION("""COMPUTED_VALUE"""),45858.0)</f>
        <v>45858</v>
      </c>
      <c r="E810" s="147">
        <f>IFERROR(__xludf.DUMMYFUNCTION("""COMPUTED_VALUE"""),45865.0)</f>
        <v>45865</v>
      </c>
      <c r="F810" s="147">
        <f>IFERROR(__xludf.DUMMYFUNCTION("""COMPUTED_VALUE"""),45886.0)</f>
        <v>45886</v>
      </c>
      <c r="G810" s="131" t="str">
        <f>IFERROR(__xludf.DUMMYFUNCTION("""COMPUTED_VALUE"""),"D34-3L")</f>
        <v>D34-3L</v>
      </c>
      <c r="H810" s="126">
        <f>IFERROR(__xludf.DUMMYFUNCTION("""COMPUTED_VALUE"""),3.0)</f>
        <v>3</v>
      </c>
      <c r="I810" s="126">
        <f>IFERROR(__xludf.DUMMYFUNCTION("""COMPUTED_VALUE"""),3.0)</f>
        <v>3</v>
      </c>
      <c r="J810" s="131">
        <f>IFERROR(__xludf.DUMMYFUNCTION("""COMPUTED_VALUE"""),1.0)</f>
        <v>1</v>
      </c>
      <c r="K810" s="131">
        <f>IFERROR(__xludf.DUMMYFUNCTION("""COMPUTED_VALUE"""),1.0)</f>
        <v>1</v>
      </c>
      <c r="L810" s="131"/>
      <c r="M810" s="131"/>
      <c r="N810" s="131"/>
      <c r="O810" s="131"/>
      <c r="P810" s="131">
        <f>IFERROR(__xludf.DUMMYFUNCTION("""COMPUTED_VALUE"""),412.0)</f>
        <v>412</v>
      </c>
      <c r="Q810" s="131"/>
      <c r="R810" s="131"/>
      <c r="T810" s="131"/>
      <c r="U810" s="131"/>
      <c r="V810" s="131"/>
      <c r="W810" s="144">
        <f>IFERROR(__xludf.DUMMYFUNCTION("""COMPUTED_VALUE"""),45858.0)</f>
        <v>45858</v>
      </c>
      <c r="X810" s="144">
        <f>IFERROR(__xludf.DUMMYFUNCTION("""COMPUTED_VALUE"""),45865.0)</f>
        <v>45865</v>
      </c>
      <c r="Y810" s="144">
        <f>IFERROR(__xludf.DUMMYFUNCTION("""COMPUTED_VALUE"""),45886.0)</f>
        <v>45886</v>
      </c>
      <c r="Z810" s="131" t="str">
        <f>IFERROR(__xludf.DUMMYFUNCTION("""COMPUTED_VALUE"""),"D34-2L")</f>
        <v>D34-2L</v>
      </c>
      <c r="AA810" s="131">
        <f>IFERROR(__xludf.DUMMYFUNCTION("""COMPUTED_VALUE"""),2.0)</f>
        <v>2</v>
      </c>
      <c r="AB810" s="131">
        <f>IFERROR(__xludf.DUMMYFUNCTION("""COMPUTED_VALUE"""),2.0)</f>
        <v>2</v>
      </c>
      <c r="AC810" s="131">
        <f>IFERROR(__xludf.DUMMYFUNCTION("""COMPUTED_VALUE"""),1.0)</f>
        <v>1</v>
      </c>
      <c r="AD810" s="131">
        <f>IFERROR(__xludf.DUMMYFUNCTION("""COMPUTED_VALUE"""),1.0)</f>
        <v>1</v>
      </c>
      <c r="AE810" s="131"/>
      <c r="AF810" s="131"/>
      <c r="AG810" s="131"/>
      <c r="AH810" s="131"/>
      <c r="AI810" s="131">
        <f>IFERROR(__xludf.DUMMYFUNCTION("""COMPUTED_VALUE"""),412.0)</f>
        <v>412</v>
      </c>
      <c r="AJ810" s="131"/>
      <c r="AK810" s="131"/>
    </row>
    <row r="811">
      <c r="A811" s="124"/>
      <c r="B811" s="131"/>
      <c r="C811" s="131"/>
      <c r="D811" s="144">
        <f>IFERROR(__xludf.DUMMYFUNCTION("""COMPUTED_VALUE"""),45858.0)</f>
        <v>45858</v>
      </c>
      <c r="E811" s="147">
        <f>IFERROR(__xludf.DUMMYFUNCTION("""COMPUTED_VALUE"""),45865.0)</f>
        <v>45865</v>
      </c>
      <c r="F811" s="147">
        <f>IFERROR(__xludf.DUMMYFUNCTION("""COMPUTED_VALUE"""),45886.0)</f>
        <v>45886</v>
      </c>
      <c r="G811" s="131" t="str">
        <f>IFERROR(__xludf.DUMMYFUNCTION("""COMPUTED_VALUE"""),"D34-2L")</f>
        <v>D34-2L</v>
      </c>
      <c r="H811" s="126">
        <f>IFERROR(__xludf.DUMMYFUNCTION("""COMPUTED_VALUE"""),2.0)</f>
        <v>2</v>
      </c>
      <c r="I811" s="126">
        <f>IFERROR(__xludf.DUMMYFUNCTION("""COMPUTED_VALUE"""),2.0)</f>
        <v>2</v>
      </c>
      <c r="J811" s="131">
        <f>IFERROR(__xludf.DUMMYFUNCTION("""COMPUTED_VALUE"""),1.0)</f>
        <v>1</v>
      </c>
      <c r="K811" s="131">
        <f>IFERROR(__xludf.DUMMYFUNCTION("""COMPUTED_VALUE"""),1.0)</f>
        <v>1</v>
      </c>
      <c r="L811" s="131"/>
      <c r="M811" s="131"/>
      <c r="N811" s="131"/>
      <c r="O811" s="131"/>
      <c r="P811" s="131">
        <f>IFERROR(__xludf.DUMMYFUNCTION("""COMPUTED_VALUE"""),412.0)</f>
        <v>412</v>
      </c>
      <c r="Q811" s="131"/>
      <c r="R811" s="131"/>
      <c r="T811" s="131"/>
      <c r="U811" s="131"/>
      <c r="V811" s="131"/>
      <c r="W811" s="144">
        <f>IFERROR(__xludf.DUMMYFUNCTION("""COMPUTED_VALUE"""),45858.0)</f>
        <v>45858</v>
      </c>
      <c r="X811" s="144">
        <f>IFERROR(__xludf.DUMMYFUNCTION("""COMPUTED_VALUE"""),45865.0)</f>
        <v>45865</v>
      </c>
      <c r="Y811" s="144">
        <f>IFERROR(__xludf.DUMMYFUNCTION("""COMPUTED_VALUE"""),45886.0)</f>
        <v>45886</v>
      </c>
      <c r="Z811" s="131" t="str">
        <f>IFERROR(__xludf.DUMMYFUNCTION("""COMPUTED_VALUE"""),"D34-1L")</f>
        <v>D34-1L</v>
      </c>
      <c r="AA811" s="131">
        <f>IFERROR(__xludf.DUMMYFUNCTION("""COMPUTED_VALUE"""),1.0)</f>
        <v>1</v>
      </c>
      <c r="AB811" s="131">
        <f>IFERROR(__xludf.DUMMYFUNCTION("""COMPUTED_VALUE"""),1.0)</f>
        <v>1</v>
      </c>
      <c r="AC811" s="131">
        <f>IFERROR(__xludf.DUMMYFUNCTION("""COMPUTED_VALUE"""),1.0)</f>
        <v>1</v>
      </c>
      <c r="AD811" s="131">
        <f>IFERROR(__xludf.DUMMYFUNCTION("""COMPUTED_VALUE"""),1.0)</f>
        <v>1</v>
      </c>
      <c r="AE811" s="131"/>
      <c r="AF811" s="131"/>
      <c r="AG811" s="131"/>
      <c r="AH811" s="131"/>
      <c r="AI811" s="131">
        <f>IFERROR(__xludf.DUMMYFUNCTION("""COMPUTED_VALUE"""),412.0)</f>
        <v>412</v>
      </c>
      <c r="AJ811" s="131"/>
      <c r="AK811" s="131"/>
    </row>
    <row r="812">
      <c r="A812" s="124"/>
      <c r="B812" s="131"/>
      <c r="C812" s="131"/>
      <c r="D812" s="144">
        <f>IFERROR(__xludf.DUMMYFUNCTION("""COMPUTED_VALUE"""),45858.0)</f>
        <v>45858</v>
      </c>
      <c r="E812" s="147">
        <f>IFERROR(__xludf.DUMMYFUNCTION("""COMPUTED_VALUE"""),45865.0)</f>
        <v>45865</v>
      </c>
      <c r="F812" s="147">
        <f>IFERROR(__xludf.DUMMYFUNCTION("""COMPUTED_VALUE"""),45886.0)</f>
        <v>45886</v>
      </c>
      <c r="G812" s="131" t="str">
        <f>IFERROR(__xludf.DUMMYFUNCTION("""COMPUTED_VALUE"""),"D34-1L")</f>
        <v>D34-1L</v>
      </c>
      <c r="H812" s="126">
        <f>IFERROR(__xludf.DUMMYFUNCTION("""COMPUTED_VALUE"""),1.0)</f>
        <v>1</v>
      </c>
      <c r="I812" s="126">
        <f>IFERROR(__xludf.DUMMYFUNCTION("""COMPUTED_VALUE"""),1.0)</f>
        <v>1</v>
      </c>
      <c r="J812" s="131">
        <f>IFERROR(__xludf.DUMMYFUNCTION("""COMPUTED_VALUE"""),1.0)</f>
        <v>1</v>
      </c>
      <c r="K812" s="131">
        <f>IFERROR(__xludf.DUMMYFUNCTION("""COMPUTED_VALUE"""),1.0)</f>
        <v>1</v>
      </c>
      <c r="L812" s="131"/>
      <c r="M812" s="131"/>
      <c r="N812" s="131"/>
      <c r="O812" s="131"/>
      <c r="P812" s="131">
        <f>IFERROR(__xludf.DUMMYFUNCTION("""COMPUTED_VALUE"""),412.0)</f>
        <v>412</v>
      </c>
      <c r="Q812" s="131"/>
      <c r="R812" s="131"/>
      <c r="T812" s="131"/>
      <c r="U812" s="131"/>
      <c r="V812" s="131"/>
      <c r="W812" s="144">
        <f>IFERROR(__xludf.DUMMYFUNCTION("""COMPUTED_VALUE"""),45860.0)</f>
        <v>45860</v>
      </c>
      <c r="X812" s="144">
        <f>IFERROR(__xludf.DUMMYFUNCTION("""COMPUTED_VALUE"""),45867.0)</f>
        <v>45867</v>
      </c>
      <c r="Y812" s="144">
        <f>IFERROR(__xludf.DUMMYFUNCTION("""COMPUTED_VALUE"""),45888.0)</f>
        <v>45888</v>
      </c>
      <c r="Z812" s="131" t="str">
        <f>IFERROR(__xludf.DUMMYFUNCTION("""COMPUTED_VALUE"""),"BRG11")</f>
        <v>BRG11</v>
      </c>
      <c r="AA812" s="131"/>
      <c r="AB812" s="131"/>
      <c r="AC812" s="131"/>
      <c r="AD812" s="131"/>
      <c r="AE812" s="131"/>
      <c r="AF812" s="131"/>
      <c r="AG812" s="131"/>
      <c r="AH812" s="131"/>
      <c r="AI812" s="131">
        <f>IFERROR(__xludf.DUMMYFUNCTION("""COMPUTED_VALUE"""),413.0)</f>
        <v>413</v>
      </c>
      <c r="AJ812" s="131"/>
      <c r="AK812" s="131"/>
    </row>
    <row r="813">
      <c r="A813" s="124"/>
      <c r="B813" s="131"/>
      <c r="C813" s="131"/>
      <c r="D813" s="144">
        <f>IFERROR(__xludf.DUMMYFUNCTION("""COMPUTED_VALUE"""),45860.0)</f>
        <v>45860</v>
      </c>
      <c r="E813" s="147">
        <f>IFERROR(__xludf.DUMMYFUNCTION("""COMPUTED_VALUE"""),45867.0)</f>
        <v>45867</v>
      </c>
      <c r="F813" s="147">
        <f>IFERROR(__xludf.DUMMYFUNCTION("""COMPUTED_VALUE"""),45888.0)</f>
        <v>45888</v>
      </c>
      <c r="G813" s="131" t="str">
        <f>IFERROR(__xludf.DUMMYFUNCTION("""COMPUTED_VALUE"""),"BRG11")</f>
        <v>BRG11</v>
      </c>
      <c r="H813" s="126"/>
      <c r="I813" s="126"/>
      <c r="J813" s="131"/>
      <c r="K813" s="131"/>
      <c r="L813" s="131"/>
      <c r="M813" s="131"/>
      <c r="N813" s="131"/>
      <c r="O813" s="131"/>
      <c r="P813" s="131">
        <f>IFERROR(__xludf.DUMMYFUNCTION("""COMPUTED_VALUE"""),413.0)</f>
        <v>413</v>
      </c>
      <c r="Q813" s="131"/>
      <c r="R813" s="131"/>
      <c r="T813" s="131"/>
      <c r="U813" s="131"/>
      <c r="V813" s="131"/>
      <c r="W813" s="144">
        <f>IFERROR(__xludf.DUMMYFUNCTION("""COMPUTED_VALUE"""),45860.0)</f>
        <v>45860</v>
      </c>
      <c r="X813" s="144">
        <f>IFERROR(__xludf.DUMMYFUNCTION("""COMPUTED_VALUE"""),45867.0)</f>
        <v>45867</v>
      </c>
      <c r="Y813" s="144">
        <f>IFERROR(__xludf.DUMMYFUNCTION("""COMPUTED_VALUE"""),45888.0)</f>
        <v>45888</v>
      </c>
      <c r="Z813" s="131" t="str">
        <f>IFERROR(__xludf.DUMMYFUNCTION("""COMPUTED_VALUE"""),"DC32")</f>
        <v>DC32</v>
      </c>
      <c r="AA813" s="131">
        <f>IFERROR(__xludf.DUMMYFUNCTION("""COMPUTED_VALUE"""),559.0)</f>
        <v>559</v>
      </c>
      <c r="AB813" s="131">
        <f>IFERROR(__xludf.DUMMYFUNCTION("""COMPUTED_VALUE"""),563.0)</f>
        <v>563</v>
      </c>
      <c r="AC813" s="131">
        <f>IFERROR(__xludf.DUMMYFUNCTION("""COMPUTED_VALUE"""),3.0)</f>
        <v>3</v>
      </c>
      <c r="AD813" s="131">
        <f>IFERROR(__xludf.DUMMYFUNCTION("""COMPUTED_VALUE"""),3.0)</f>
        <v>3</v>
      </c>
      <c r="AE813" s="131"/>
      <c r="AF813" s="131"/>
      <c r="AG813" s="131"/>
      <c r="AH813" s="131"/>
      <c r="AI813" s="131">
        <f>IFERROR(__xludf.DUMMYFUNCTION("""COMPUTED_VALUE"""),414.0)</f>
        <v>414</v>
      </c>
      <c r="AJ813" s="131"/>
      <c r="AK813" s="131"/>
    </row>
    <row r="814">
      <c r="A814" s="124"/>
      <c r="B814" s="131"/>
      <c r="C814" s="131"/>
      <c r="D814" s="144">
        <f>IFERROR(__xludf.DUMMYFUNCTION("""COMPUTED_VALUE"""),45860.0)</f>
        <v>45860</v>
      </c>
      <c r="E814" s="147">
        <f>IFERROR(__xludf.DUMMYFUNCTION("""COMPUTED_VALUE"""),45867.0)</f>
        <v>45867</v>
      </c>
      <c r="F814" s="147">
        <f>IFERROR(__xludf.DUMMYFUNCTION("""COMPUTED_VALUE"""),45888.0)</f>
        <v>45888</v>
      </c>
      <c r="G814" s="131" t="str">
        <f>IFERROR(__xludf.DUMMYFUNCTION("""COMPUTED_VALUE"""),"DC32")</f>
        <v>DC32</v>
      </c>
      <c r="H814" s="126">
        <f>IFERROR(__xludf.DUMMYFUNCTION("""COMPUTED_VALUE"""),559.0)</f>
        <v>559</v>
      </c>
      <c r="I814" s="126">
        <f>IFERROR(__xludf.DUMMYFUNCTION("""COMPUTED_VALUE"""),563.0)</f>
        <v>563</v>
      </c>
      <c r="J814" s="131">
        <f>IFERROR(__xludf.DUMMYFUNCTION("""COMPUTED_VALUE"""),3.0)</f>
        <v>3</v>
      </c>
      <c r="K814" s="131">
        <f>IFERROR(__xludf.DUMMYFUNCTION("""COMPUTED_VALUE"""),3.0)</f>
        <v>3</v>
      </c>
      <c r="L814" s="131"/>
      <c r="M814" s="131"/>
      <c r="N814" s="131"/>
      <c r="O814" s="131"/>
      <c r="P814" s="131">
        <f>IFERROR(__xludf.DUMMYFUNCTION("""COMPUTED_VALUE"""),414.0)</f>
        <v>414</v>
      </c>
      <c r="Q814" s="131"/>
      <c r="R814" s="131"/>
      <c r="T814" s="131"/>
      <c r="U814" s="131"/>
      <c r="V814" s="131"/>
      <c r="W814" s="144">
        <f>IFERROR(__xludf.DUMMYFUNCTION("""COMPUTED_VALUE"""),45860.0)</f>
        <v>45860</v>
      </c>
      <c r="X814" s="144">
        <f>IFERROR(__xludf.DUMMYFUNCTION("""COMPUTED_VALUE"""),45867.0)</f>
        <v>45867</v>
      </c>
      <c r="Y814" s="144">
        <f>IFERROR(__xludf.DUMMYFUNCTION("""COMPUTED_VALUE"""),45888.0)</f>
        <v>45888</v>
      </c>
      <c r="Z814" s="131" t="str">
        <f>IFERROR(__xludf.DUMMYFUNCTION("""COMPUTED_VALUE"""),"D33-1L")</f>
        <v>D33-1L</v>
      </c>
      <c r="AA814" s="131">
        <f>IFERROR(__xludf.DUMMYFUNCTION("""COMPUTED_VALUE"""),1.0)</f>
        <v>1</v>
      </c>
      <c r="AB814" s="131">
        <f>IFERROR(__xludf.DUMMYFUNCTION("""COMPUTED_VALUE"""),1.0)</f>
        <v>1</v>
      </c>
      <c r="AC814" s="131">
        <f>IFERROR(__xludf.DUMMYFUNCTION("""COMPUTED_VALUE"""),1.0)</f>
        <v>1</v>
      </c>
      <c r="AD814" s="131">
        <f>IFERROR(__xludf.DUMMYFUNCTION("""COMPUTED_VALUE"""),1.0)</f>
        <v>1</v>
      </c>
      <c r="AE814" s="131"/>
      <c r="AF814" s="131"/>
      <c r="AG814" s="131"/>
      <c r="AH814" s="131"/>
      <c r="AI814" s="131">
        <f>IFERROR(__xludf.DUMMYFUNCTION("""COMPUTED_VALUE"""),414.0)</f>
        <v>414</v>
      </c>
      <c r="AJ814" s="131"/>
      <c r="AK814" s="131"/>
    </row>
    <row r="815">
      <c r="A815" s="124"/>
      <c r="B815" s="131"/>
      <c r="C815" s="131"/>
      <c r="D815" s="144">
        <f>IFERROR(__xludf.DUMMYFUNCTION("""COMPUTED_VALUE"""),45860.0)</f>
        <v>45860</v>
      </c>
      <c r="E815" s="147">
        <f>IFERROR(__xludf.DUMMYFUNCTION("""COMPUTED_VALUE"""),45867.0)</f>
        <v>45867</v>
      </c>
      <c r="F815" s="147">
        <f>IFERROR(__xludf.DUMMYFUNCTION("""COMPUTED_VALUE"""),45888.0)</f>
        <v>45888</v>
      </c>
      <c r="G815" s="131" t="str">
        <f>IFERROR(__xludf.DUMMYFUNCTION("""COMPUTED_VALUE"""),"D33-1L")</f>
        <v>D33-1L</v>
      </c>
      <c r="H815" s="126">
        <f>IFERROR(__xludf.DUMMYFUNCTION("""COMPUTED_VALUE"""),1.0)</f>
        <v>1</v>
      </c>
      <c r="I815" s="126">
        <f>IFERROR(__xludf.DUMMYFUNCTION("""COMPUTED_VALUE"""),1.0)</f>
        <v>1</v>
      </c>
      <c r="J815" s="131">
        <f>IFERROR(__xludf.DUMMYFUNCTION("""COMPUTED_VALUE"""),1.0)</f>
        <v>1</v>
      </c>
      <c r="K815" s="131">
        <f>IFERROR(__xludf.DUMMYFUNCTION("""COMPUTED_VALUE"""),1.0)</f>
        <v>1</v>
      </c>
      <c r="L815" s="131"/>
      <c r="M815" s="131"/>
      <c r="N815" s="131"/>
      <c r="O815" s="131"/>
      <c r="P815" s="131">
        <f>IFERROR(__xludf.DUMMYFUNCTION("""COMPUTED_VALUE"""),414.0)</f>
        <v>414</v>
      </c>
      <c r="Q815" s="131"/>
      <c r="R815" s="131"/>
      <c r="T815" s="131"/>
      <c r="U815" s="131"/>
      <c r="V815" s="131"/>
      <c r="W815" s="144">
        <f>IFERROR(__xludf.DUMMYFUNCTION("""COMPUTED_VALUE"""),45860.0)</f>
        <v>45860</v>
      </c>
      <c r="X815" s="144">
        <f>IFERROR(__xludf.DUMMYFUNCTION("""COMPUTED_VALUE"""),45867.0)</f>
        <v>45867</v>
      </c>
      <c r="Y815" s="144">
        <f>IFERROR(__xludf.DUMMYFUNCTION("""COMPUTED_VALUE"""),45888.0)</f>
        <v>45888</v>
      </c>
      <c r="Z815" s="131" t="str">
        <f>IFERROR(__xludf.DUMMYFUNCTION("""COMPUTED_VALUE"""),"D33-2L")</f>
        <v>D33-2L</v>
      </c>
      <c r="AA815" s="131">
        <f>IFERROR(__xludf.DUMMYFUNCTION("""COMPUTED_VALUE"""),1.0)</f>
        <v>1</v>
      </c>
      <c r="AB815" s="131">
        <f>IFERROR(__xludf.DUMMYFUNCTION("""COMPUTED_VALUE"""),1.0)</f>
        <v>1</v>
      </c>
      <c r="AC815" s="131">
        <f>IFERROR(__xludf.DUMMYFUNCTION("""COMPUTED_VALUE"""),1.0)</f>
        <v>1</v>
      </c>
      <c r="AD815" s="131">
        <f>IFERROR(__xludf.DUMMYFUNCTION("""COMPUTED_VALUE"""),1.0)</f>
        <v>1</v>
      </c>
      <c r="AE815" s="131"/>
      <c r="AF815" s="131"/>
      <c r="AG815" s="131"/>
      <c r="AH815" s="131"/>
      <c r="AI815" s="131">
        <f>IFERROR(__xludf.DUMMYFUNCTION("""COMPUTED_VALUE"""),414.0)</f>
        <v>414</v>
      </c>
      <c r="AJ815" s="131"/>
      <c r="AK815" s="131"/>
    </row>
    <row r="816">
      <c r="A816" s="124"/>
      <c r="B816" s="131"/>
      <c r="C816" s="131"/>
      <c r="D816" s="144">
        <f>IFERROR(__xludf.DUMMYFUNCTION("""COMPUTED_VALUE"""),45860.0)</f>
        <v>45860</v>
      </c>
      <c r="E816" s="147">
        <f>IFERROR(__xludf.DUMMYFUNCTION("""COMPUTED_VALUE"""),45867.0)</f>
        <v>45867</v>
      </c>
      <c r="F816" s="147">
        <f>IFERROR(__xludf.DUMMYFUNCTION("""COMPUTED_VALUE"""),45888.0)</f>
        <v>45888</v>
      </c>
      <c r="G816" s="131" t="str">
        <f>IFERROR(__xludf.DUMMYFUNCTION("""COMPUTED_VALUE"""),"D33-2L")</f>
        <v>D33-2L</v>
      </c>
      <c r="H816" s="126">
        <f>IFERROR(__xludf.DUMMYFUNCTION("""COMPUTED_VALUE"""),1.0)</f>
        <v>1</v>
      </c>
      <c r="I816" s="126">
        <f>IFERROR(__xludf.DUMMYFUNCTION("""COMPUTED_VALUE"""),1.0)</f>
        <v>1</v>
      </c>
      <c r="J816" s="131">
        <f>IFERROR(__xludf.DUMMYFUNCTION("""COMPUTED_VALUE"""),1.0)</f>
        <v>1</v>
      </c>
      <c r="K816" s="131">
        <f>IFERROR(__xludf.DUMMYFUNCTION("""COMPUTED_VALUE"""),1.0)</f>
        <v>1</v>
      </c>
      <c r="L816" s="131"/>
      <c r="M816" s="131"/>
      <c r="N816" s="131"/>
      <c r="O816" s="131"/>
      <c r="P816" s="131">
        <f>IFERROR(__xludf.DUMMYFUNCTION("""COMPUTED_VALUE"""),414.0)</f>
        <v>414</v>
      </c>
      <c r="Q816" s="131"/>
      <c r="R816" s="131"/>
      <c r="T816" s="131"/>
      <c r="U816" s="131"/>
      <c r="V816" s="131"/>
      <c r="W816" s="144">
        <f>IFERROR(__xludf.DUMMYFUNCTION("""COMPUTED_VALUE"""),45860.0)</f>
        <v>45860</v>
      </c>
      <c r="X816" s="144">
        <f>IFERROR(__xludf.DUMMYFUNCTION("""COMPUTED_VALUE"""),45867.0)</f>
        <v>45867</v>
      </c>
      <c r="Y816" s="144">
        <f>IFERROR(__xludf.DUMMYFUNCTION("""COMPUTED_VALUE"""),45888.0)</f>
        <v>45888</v>
      </c>
      <c r="Z816" s="131" t="str">
        <f>IFERROR(__xludf.DUMMYFUNCTION("""COMPUTED_VALUE"""),"D33-3L")</f>
        <v>D33-3L</v>
      </c>
      <c r="AA816" s="131">
        <f>IFERROR(__xludf.DUMMYFUNCTION("""COMPUTED_VALUE"""),1.0)</f>
        <v>1</v>
      </c>
      <c r="AB816" s="131">
        <f>IFERROR(__xludf.DUMMYFUNCTION("""COMPUTED_VALUE"""),1.0)</f>
        <v>1</v>
      </c>
      <c r="AC816" s="131">
        <f>IFERROR(__xludf.DUMMYFUNCTION("""COMPUTED_VALUE"""),1.0)</f>
        <v>1</v>
      </c>
      <c r="AD816" s="131">
        <f>IFERROR(__xludf.DUMMYFUNCTION("""COMPUTED_VALUE"""),1.0)</f>
        <v>1</v>
      </c>
      <c r="AE816" s="131"/>
      <c r="AF816" s="131"/>
      <c r="AG816" s="131"/>
      <c r="AH816" s="131"/>
      <c r="AI816" s="131">
        <f>IFERROR(__xludf.DUMMYFUNCTION("""COMPUTED_VALUE"""),414.0)</f>
        <v>414</v>
      </c>
      <c r="AJ816" s="131"/>
      <c r="AK816" s="131"/>
    </row>
    <row r="817">
      <c r="A817" s="124"/>
      <c r="B817" s="131"/>
      <c r="C817" s="131"/>
      <c r="D817" s="144">
        <f>IFERROR(__xludf.DUMMYFUNCTION("""COMPUTED_VALUE"""),45860.0)</f>
        <v>45860</v>
      </c>
      <c r="E817" s="147">
        <f>IFERROR(__xludf.DUMMYFUNCTION("""COMPUTED_VALUE"""),45867.0)</f>
        <v>45867</v>
      </c>
      <c r="F817" s="147">
        <f>IFERROR(__xludf.DUMMYFUNCTION("""COMPUTED_VALUE"""),45888.0)</f>
        <v>45888</v>
      </c>
      <c r="G817" s="131" t="str">
        <f>IFERROR(__xludf.DUMMYFUNCTION("""COMPUTED_VALUE"""),"D33-3L")</f>
        <v>D33-3L</v>
      </c>
      <c r="H817" s="126">
        <f>IFERROR(__xludf.DUMMYFUNCTION("""COMPUTED_VALUE"""),1.0)</f>
        <v>1</v>
      </c>
      <c r="I817" s="126">
        <f>IFERROR(__xludf.DUMMYFUNCTION("""COMPUTED_VALUE"""),1.0)</f>
        <v>1</v>
      </c>
      <c r="J817" s="131">
        <f>IFERROR(__xludf.DUMMYFUNCTION("""COMPUTED_VALUE"""),1.0)</f>
        <v>1</v>
      </c>
      <c r="K817" s="131">
        <f>IFERROR(__xludf.DUMMYFUNCTION("""COMPUTED_VALUE"""),1.0)</f>
        <v>1</v>
      </c>
      <c r="L817" s="131"/>
      <c r="M817" s="131"/>
      <c r="N817" s="131"/>
      <c r="O817" s="131"/>
      <c r="P817" s="131">
        <f>IFERROR(__xludf.DUMMYFUNCTION("""COMPUTED_VALUE"""),414.0)</f>
        <v>414</v>
      </c>
      <c r="Q817" s="131"/>
      <c r="R817" s="131"/>
      <c r="T817" s="131"/>
      <c r="U817" s="131"/>
      <c r="V817" s="131"/>
      <c r="W817" s="144">
        <f>IFERROR(__xludf.DUMMYFUNCTION("""COMPUTED_VALUE"""),45860.0)</f>
        <v>45860</v>
      </c>
      <c r="X817" s="144">
        <f>IFERROR(__xludf.DUMMYFUNCTION("""COMPUTED_VALUE"""),45867.0)</f>
        <v>45867</v>
      </c>
      <c r="Y817" s="144">
        <f>IFERROR(__xludf.DUMMYFUNCTION("""COMPUTED_VALUE"""),45888.0)</f>
        <v>45888</v>
      </c>
      <c r="Z817" s="131" t="str">
        <f>IFERROR(__xludf.DUMMYFUNCTION("""COMPUTED_VALUE"""),"D33-4L")</f>
        <v>D33-4L</v>
      </c>
      <c r="AA817" s="131">
        <f>IFERROR(__xludf.DUMMYFUNCTION("""COMPUTED_VALUE"""),1.0)</f>
        <v>1</v>
      </c>
      <c r="AB817" s="131">
        <f>IFERROR(__xludf.DUMMYFUNCTION("""COMPUTED_VALUE"""),1.0)</f>
        <v>1</v>
      </c>
      <c r="AC817" s="131">
        <f>IFERROR(__xludf.DUMMYFUNCTION("""COMPUTED_VALUE"""),1.0)</f>
        <v>1</v>
      </c>
      <c r="AD817" s="131">
        <f>IFERROR(__xludf.DUMMYFUNCTION("""COMPUTED_VALUE"""),1.0)</f>
        <v>1</v>
      </c>
      <c r="AE817" s="131"/>
      <c r="AF817" s="131"/>
      <c r="AG817" s="131"/>
      <c r="AH817" s="131"/>
      <c r="AI817" s="131">
        <f>IFERROR(__xludf.DUMMYFUNCTION("""COMPUTED_VALUE"""),414.0)</f>
        <v>414</v>
      </c>
      <c r="AJ817" s="131"/>
      <c r="AK817" s="131"/>
    </row>
    <row r="818">
      <c r="A818" s="124"/>
      <c r="B818" s="131"/>
      <c r="C818" s="131"/>
      <c r="D818" s="144">
        <f>IFERROR(__xludf.DUMMYFUNCTION("""COMPUTED_VALUE"""),45860.0)</f>
        <v>45860</v>
      </c>
      <c r="E818" s="147">
        <f>IFERROR(__xludf.DUMMYFUNCTION("""COMPUTED_VALUE"""),45867.0)</f>
        <v>45867</v>
      </c>
      <c r="F818" s="147">
        <f>IFERROR(__xludf.DUMMYFUNCTION("""COMPUTED_VALUE"""),45888.0)</f>
        <v>45888</v>
      </c>
      <c r="G818" s="131" t="str">
        <f>IFERROR(__xludf.DUMMYFUNCTION("""COMPUTED_VALUE"""),"D33-4L")</f>
        <v>D33-4L</v>
      </c>
      <c r="H818" s="126">
        <f>IFERROR(__xludf.DUMMYFUNCTION("""COMPUTED_VALUE"""),1.0)</f>
        <v>1</v>
      </c>
      <c r="I818" s="126">
        <f>IFERROR(__xludf.DUMMYFUNCTION("""COMPUTED_VALUE"""),1.0)</f>
        <v>1</v>
      </c>
      <c r="J818" s="131">
        <f>IFERROR(__xludf.DUMMYFUNCTION("""COMPUTED_VALUE"""),1.0)</f>
        <v>1</v>
      </c>
      <c r="K818" s="131">
        <f>IFERROR(__xludf.DUMMYFUNCTION("""COMPUTED_VALUE"""),1.0)</f>
        <v>1</v>
      </c>
      <c r="L818" s="131"/>
      <c r="M818" s="131"/>
      <c r="N818" s="131"/>
      <c r="O818" s="131"/>
      <c r="P818" s="131">
        <f>IFERROR(__xludf.DUMMYFUNCTION("""COMPUTED_VALUE"""),414.0)</f>
        <v>414</v>
      </c>
      <c r="Q818" s="131"/>
      <c r="R818" s="131"/>
      <c r="T818" s="131"/>
      <c r="U818" s="131"/>
      <c r="V818" s="131"/>
      <c r="W818" s="144">
        <f>IFERROR(__xludf.DUMMYFUNCTION("""COMPUTED_VALUE"""),45860.0)</f>
        <v>45860</v>
      </c>
      <c r="X818" s="144">
        <f>IFERROR(__xludf.DUMMYFUNCTION("""COMPUTED_VALUE"""),45867.0)</f>
        <v>45867</v>
      </c>
      <c r="Y818" s="144">
        <f>IFERROR(__xludf.DUMMYFUNCTION("""COMPUTED_VALUE"""),45888.0)</f>
        <v>45888</v>
      </c>
      <c r="Z818" s="131" t="str">
        <f>IFERROR(__xludf.DUMMYFUNCTION("""COMPUTED_VALUE"""),"D34-4R")</f>
        <v>D34-4R</v>
      </c>
      <c r="AA818" s="131">
        <f>IFERROR(__xludf.DUMMYFUNCTION("""COMPUTED_VALUE"""),3.0)</f>
        <v>3</v>
      </c>
      <c r="AB818" s="131">
        <f>IFERROR(__xludf.DUMMYFUNCTION("""COMPUTED_VALUE"""),3.0)</f>
        <v>3</v>
      </c>
      <c r="AC818" s="131">
        <f>IFERROR(__xludf.DUMMYFUNCTION("""COMPUTED_VALUE"""),1.0)</f>
        <v>1</v>
      </c>
      <c r="AD818" s="131">
        <f>IFERROR(__xludf.DUMMYFUNCTION("""COMPUTED_VALUE"""),1.0)</f>
        <v>1</v>
      </c>
      <c r="AE818" s="131"/>
      <c r="AF818" s="131"/>
      <c r="AG818" s="131"/>
      <c r="AH818" s="131"/>
      <c r="AI818" s="131">
        <f>IFERROR(__xludf.DUMMYFUNCTION("""COMPUTED_VALUE"""),414.0)</f>
        <v>414</v>
      </c>
      <c r="AJ818" s="131"/>
      <c r="AK818" s="131"/>
    </row>
    <row r="819">
      <c r="A819" s="124"/>
      <c r="B819" s="131"/>
      <c r="C819" s="131"/>
      <c r="D819" s="144">
        <f>IFERROR(__xludf.DUMMYFUNCTION("""COMPUTED_VALUE"""),45860.0)</f>
        <v>45860</v>
      </c>
      <c r="E819" s="147">
        <f>IFERROR(__xludf.DUMMYFUNCTION("""COMPUTED_VALUE"""),45867.0)</f>
        <v>45867</v>
      </c>
      <c r="F819" s="147">
        <f>IFERROR(__xludf.DUMMYFUNCTION("""COMPUTED_VALUE"""),45888.0)</f>
        <v>45888</v>
      </c>
      <c r="G819" s="131" t="str">
        <f>IFERROR(__xludf.DUMMYFUNCTION("""COMPUTED_VALUE"""),"D34-4R")</f>
        <v>D34-4R</v>
      </c>
      <c r="H819" s="126">
        <f>IFERROR(__xludf.DUMMYFUNCTION("""COMPUTED_VALUE"""),3.0)</f>
        <v>3</v>
      </c>
      <c r="I819" s="126">
        <f>IFERROR(__xludf.DUMMYFUNCTION("""COMPUTED_VALUE"""),3.0)</f>
        <v>3</v>
      </c>
      <c r="J819" s="131">
        <f>IFERROR(__xludf.DUMMYFUNCTION("""COMPUTED_VALUE"""),1.0)</f>
        <v>1</v>
      </c>
      <c r="K819" s="131">
        <f>IFERROR(__xludf.DUMMYFUNCTION("""COMPUTED_VALUE"""),1.0)</f>
        <v>1</v>
      </c>
      <c r="L819" s="131"/>
      <c r="M819" s="131"/>
      <c r="N819" s="131"/>
      <c r="O819" s="131"/>
      <c r="P819" s="131">
        <f>IFERROR(__xludf.DUMMYFUNCTION("""COMPUTED_VALUE"""),414.0)</f>
        <v>414</v>
      </c>
      <c r="Q819" s="131"/>
      <c r="R819" s="131"/>
      <c r="T819" s="131"/>
      <c r="U819" s="131"/>
      <c r="V819" s="131"/>
      <c r="W819" s="144">
        <f>IFERROR(__xludf.DUMMYFUNCTION("""COMPUTED_VALUE"""),45860.0)</f>
        <v>45860</v>
      </c>
      <c r="X819" s="144">
        <f>IFERROR(__xludf.DUMMYFUNCTION("""COMPUTED_VALUE"""),45867.0)</f>
        <v>45867</v>
      </c>
      <c r="Y819" s="144">
        <f>IFERROR(__xludf.DUMMYFUNCTION("""COMPUTED_VALUE"""),45888.0)</f>
        <v>45888</v>
      </c>
      <c r="Z819" s="131" t="str">
        <f>IFERROR(__xludf.DUMMYFUNCTION("""COMPUTED_VALUE"""),"D34-4L")</f>
        <v>D34-4L</v>
      </c>
      <c r="AA819" s="131">
        <f>IFERROR(__xludf.DUMMYFUNCTION("""COMPUTED_VALUE"""),2.0)</f>
        <v>2</v>
      </c>
      <c r="AB819" s="131">
        <f>IFERROR(__xludf.DUMMYFUNCTION("""COMPUTED_VALUE"""),2.0)</f>
        <v>2</v>
      </c>
      <c r="AC819" s="131">
        <f>IFERROR(__xludf.DUMMYFUNCTION("""COMPUTED_VALUE"""),1.0)</f>
        <v>1</v>
      </c>
      <c r="AD819" s="131">
        <f>IFERROR(__xludf.DUMMYFUNCTION("""COMPUTED_VALUE"""),1.0)</f>
        <v>1</v>
      </c>
      <c r="AE819" s="131"/>
      <c r="AF819" s="131"/>
      <c r="AG819" s="131"/>
      <c r="AH819" s="131"/>
      <c r="AI819" s="131">
        <f>IFERROR(__xludf.DUMMYFUNCTION("""COMPUTED_VALUE"""),414.0)</f>
        <v>414</v>
      </c>
      <c r="AJ819" s="131"/>
      <c r="AK819" s="131"/>
    </row>
    <row r="820">
      <c r="A820" s="124"/>
      <c r="B820" s="131"/>
      <c r="C820" s="131"/>
      <c r="D820" s="144">
        <f>IFERROR(__xludf.DUMMYFUNCTION("""COMPUTED_VALUE"""),45860.0)</f>
        <v>45860</v>
      </c>
      <c r="E820" s="147">
        <f>IFERROR(__xludf.DUMMYFUNCTION("""COMPUTED_VALUE"""),45867.0)</f>
        <v>45867</v>
      </c>
      <c r="F820" s="147">
        <f>IFERROR(__xludf.DUMMYFUNCTION("""COMPUTED_VALUE"""),45888.0)</f>
        <v>45888</v>
      </c>
      <c r="G820" s="131" t="str">
        <f>IFERROR(__xludf.DUMMYFUNCTION("""COMPUTED_VALUE"""),"D34-4L")</f>
        <v>D34-4L</v>
      </c>
      <c r="H820" s="126">
        <f>IFERROR(__xludf.DUMMYFUNCTION("""COMPUTED_VALUE"""),2.0)</f>
        <v>2</v>
      </c>
      <c r="I820" s="126">
        <f>IFERROR(__xludf.DUMMYFUNCTION("""COMPUTED_VALUE"""),2.0)</f>
        <v>2</v>
      </c>
      <c r="J820" s="131">
        <f>IFERROR(__xludf.DUMMYFUNCTION("""COMPUTED_VALUE"""),1.0)</f>
        <v>1</v>
      </c>
      <c r="K820" s="131">
        <f>IFERROR(__xludf.DUMMYFUNCTION("""COMPUTED_VALUE"""),1.0)</f>
        <v>1</v>
      </c>
      <c r="L820" s="131"/>
      <c r="M820" s="131"/>
      <c r="N820" s="131"/>
      <c r="O820" s="131"/>
      <c r="P820" s="131">
        <f>IFERROR(__xludf.DUMMYFUNCTION("""COMPUTED_VALUE"""),414.0)</f>
        <v>414</v>
      </c>
      <c r="Q820" s="131"/>
      <c r="R820" s="131"/>
      <c r="T820" s="131"/>
      <c r="U820" s="131"/>
      <c r="V820" s="131"/>
      <c r="W820" s="144">
        <f>IFERROR(__xludf.DUMMYFUNCTION("""COMPUTED_VALUE"""),45860.0)</f>
        <v>45860</v>
      </c>
      <c r="X820" s="144">
        <f>IFERROR(__xludf.DUMMYFUNCTION("""COMPUTED_VALUE"""),45867.0)</f>
        <v>45867</v>
      </c>
      <c r="Y820" s="144">
        <f>IFERROR(__xludf.DUMMYFUNCTION("""COMPUTED_VALUE"""),45888.0)</f>
        <v>45888</v>
      </c>
      <c r="Z820" s="131" t="str">
        <f>IFERROR(__xludf.DUMMYFUNCTION("""COMPUTED_VALUE"""),"D34-3L")</f>
        <v>D34-3L</v>
      </c>
      <c r="AA820" s="131">
        <f>IFERROR(__xludf.DUMMYFUNCTION("""COMPUTED_VALUE"""),4.0)</f>
        <v>4</v>
      </c>
      <c r="AB820" s="131">
        <f>IFERROR(__xludf.DUMMYFUNCTION("""COMPUTED_VALUE"""),4.0)</f>
        <v>4</v>
      </c>
      <c r="AC820" s="131">
        <f>IFERROR(__xludf.DUMMYFUNCTION("""COMPUTED_VALUE"""),1.0)</f>
        <v>1</v>
      </c>
      <c r="AD820" s="131">
        <f>IFERROR(__xludf.DUMMYFUNCTION("""COMPUTED_VALUE"""),1.0)</f>
        <v>1</v>
      </c>
      <c r="AE820" s="131"/>
      <c r="AF820" s="131"/>
      <c r="AG820" s="131"/>
      <c r="AH820" s="131"/>
      <c r="AI820" s="131">
        <f>IFERROR(__xludf.DUMMYFUNCTION("""COMPUTED_VALUE"""),414.0)</f>
        <v>414</v>
      </c>
      <c r="AJ820" s="131"/>
      <c r="AK820" s="131"/>
    </row>
    <row r="821">
      <c r="A821" s="124"/>
      <c r="B821" s="131"/>
      <c r="C821" s="131"/>
      <c r="D821" s="144">
        <f>IFERROR(__xludf.DUMMYFUNCTION("""COMPUTED_VALUE"""),45860.0)</f>
        <v>45860</v>
      </c>
      <c r="E821" s="147">
        <f>IFERROR(__xludf.DUMMYFUNCTION("""COMPUTED_VALUE"""),45867.0)</f>
        <v>45867</v>
      </c>
      <c r="F821" s="147">
        <f>IFERROR(__xludf.DUMMYFUNCTION("""COMPUTED_VALUE"""),45888.0)</f>
        <v>45888</v>
      </c>
      <c r="G821" s="131" t="str">
        <f>IFERROR(__xludf.DUMMYFUNCTION("""COMPUTED_VALUE"""),"D34-3L")</f>
        <v>D34-3L</v>
      </c>
      <c r="H821" s="126">
        <f>IFERROR(__xludf.DUMMYFUNCTION("""COMPUTED_VALUE"""),4.0)</f>
        <v>4</v>
      </c>
      <c r="I821" s="126">
        <f>IFERROR(__xludf.DUMMYFUNCTION("""COMPUTED_VALUE"""),4.0)</f>
        <v>4</v>
      </c>
      <c r="J821" s="131">
        <f>IFERROR(__xludf.DUMMYFUNCTION("""COMPUTED_VALUE"""),1.0)</f>
        <v>1</v>
      </c>
      <c r="K821" s="131">
        <f>IFERROR(__xludf.DUMMYFUNCTION("""COMPUTED_VALUE"""),1.0)</f>
        <v>1</v>
      </c>
      <c r="L821" s="131"/>
      <c r="M821" s="131"/>
      <c r="N821" s="131"/>
      <c r="O821" s="131"/>
      <c r="P821" s="131">
        <f>IFERROR(__xludf.DUMMYFUNCTION("""COMPUTED_VALUE"""),414.0)</f>
        <v>414</v>
      </c>
      <c r="Q821" s="131"/>
      <c r="R821" s="131"/>
    </row>
    <row r="822">
      <c r="A822" s="124"/>
      <c r="E822" s="147"/>
      <c r="F822" s="147"/>
      <c r="H822" s="126"/>
      <c r="I822" s="126"/>
    </row>
    <row r="823">
      <c r="A823" s="124"/>
      <c r="E823" s="147"/>
      <c r="F823" s="147"/>
      <c r="H823" s="126"/>
      <c r="I823" s="126"/>
    </row>
    <row r="824">
      <c r="A824" s="124"/>
      <c r="E824" s="147"/>
      <c r="F824" s="147"/>
      <c r="H824" s="126"/>
      <c r="I824" s="126"/>
    </row>
    <row r="825">
      <c r="A825" s="124"/>
      <c r="E825" s="147"/>
      <c r="F825" s="147"/>
      <c r="H825" s="126"/>
      <c r="I825" s="126"/>
    </row>
    <row r="826">
      <c r="A826" s="124"/>
      <c r="E826" s="147"/>
      <c r="F826" s="147"/>
      <c r="H826" s="126"/>
      <c r="I826" s="126"/>
    </row>
    <row r="827">
      <c r="A827" s="124"/>
      <c r="E827" s="147"/>
      <c r="F827" s="147"/>
      <c r="H827" s="126"/>
      <c r="I827" s="126"/>
    </row>
    <row r="828">
      <c r="A828" s="124"/>
      <c r="E828" s="147"/>
      <c r="F828" s="147"/>
      <c r="H828" s="126"/>
      <c r="I828" s="126"/>
    </row>
    <row r="829">
      <c r="A829" s="124"/>
      <c r="E829" s="147"/>
      <c r="F829" s="147"/>
      <c r="H829" s="126"/>
      <c r="I829" s="126"/>
    </row>
    <row r="830">
      <c r="A830" s="124"/>
      <c r="E830" s="147"/>
      <c r="F830" s="147"/>
      <c r="H830" s="126"/>
      <c r="I830" s="126"/>
    </row>
    <row r="831">
      <c r="A831" s="124"/>
      <c r="E831" s="147"/>
      <c r="F831" s="147"/>
      <c r="H831" s="126"/>
      <c r="I831" s="126"/>
    </row>
    <row r="832">
      <c r="A832" s="124"/>
      <c r="E832" s="147"/>
      <c r="F832" s="147"/>
      <c r="H832" s="126"/>
      <c r="I832" s="126"/>
    </row>
    <row r="833">
      <c r="A833" s="124"/>
      <c r="E833" s="147"/>
      <c r="F833" s="147"/>
      <c r="H833" s="126"/>
      <c r="I833" s="126"/>
    </row>
    <row r="834">
      <c r="A834" s="124"/>
      <c r="E834" s="147"/>
      <c r="F834" s="147"/>
      <c r="H834" s="126"/>
      <c r="I834" s="126"/>
    </row>
    <row r="835">
      <c r="A835" s="124"/>
      <c r="E835" s="147"/>
      <c r="F835" s="147"/>
      <c r="H835" s="126"/>
      <c r="I835" s="126"/>
    </row>
    <row r="836">
      <c r="A836" s="124"/>
      <c r="E836" s="147"/>
      <c r="F836" s="147"/>
      <c r="H836" s="126"/>
      <c r="I836" s="126"/>
    </row>
    <row r="837">
      <c r="A837" s="124"/>
      <c r="E837" s="147"/>
      <c r="F837" s="147"/>
      <c r="H837" s="126"/>
      <c r="I837" s="126"/>
    </row>
    <row r="838">
      <c r="A838" s="124"/>
      <c r="E838" s="147"/>
      <c r="F838" s="147"/>
      <c r="H838" s="126"/>
      <c r="I838" s="126"/>
    </row>
    <row r="839">
      <c r="A839" s="124"/>
      <c r="E839" s="147"/>
      <c r="F839" s="147"/>
      <c r="H839" s="126"/>
      <c r="I839" s="126"/>
    </row>
    <row r="840">
      <c r="A840" s="124"/>
      <c r="E840" s="147"/>
      <c r="F840" s="147"/>
      <c r="H840" s="126"/>
      <c r="I840" s="126"/>
    </row>
    <row r="841">
      <c r="A841" s="124"/>
      <c r="E841" s="147"/>
      <c r="F841" s="147"/>
      <c r="H841" s="126"/>
      <c r="I841" s="126"/>
    </row>
    <row r="842">
      <c r="A842" s="124"/>
      <c r="E842" s="147"/>
      <c r="F842" s="147"/>
      <c r="H842" s="126"/>
      <c r="I842" s="126"/>
    </row>
    <row r="843">
      <c r="A843" s="124"/>
      <c r="E843" s="147"/>
      <c r="F843" s="147"/>
      <c r="H843" s="126"/>
      <c r="I843" s="126"/>
    </row>
    <row r="844">
      <c r="A844" s="124"/>
      <c r="E844" s="147"/>
      <c r="F844" s="147"/>
      <c r="H844" s="126"/>
      <c r="I844" s="126"/>
    </row>
    <row r="845">
      <c r="A845" s="124"/>
      <c r="E845" s="147"/>
      <c r="F845" s="147"/>
      <c r="H845" s="126"/>
      <c r="I845" s="126"/>
    </row>
    <row r="846">
      <c r="A846" s="124"/>
      <c r="E846" s="147"/>
      <c r="F846" s="147"/>
      <c r="H846" s="126"/>
      <c r="I846" s="126"/>
    </row>
    <row r="847">
      <c r="A847" s="124"/>
      <c r="E847" s="147"/>
      <c r="F847" s="147"/>
      <c r="H847" s="126"/>
      <c r="I847" s="126"/>
    </row>
    <row r="848">
      <c r="A848" s="124"/>
      <c r="E848" s="147"/>
      <c r="F848" s="147"/>
      <c r="H848" s="126"/>
      <c r="I848" s="126"/>
    </row>
    <row r="849">
      <c r="A849" s="124"/>
      <c r="E849" s="147"/>
      <c r="F849" s="147"/>
      <c r="H849" s="126"/>
      <c r="I849" s="126"/>
    </row>
    <row r="850">
      <c r="A850" s="124"/>
      <c r="E850" s="147"/>
      <c r="F850" s="147"/>
      <c r="H850" s="126"/>
      <c r="I850" s="126"/>
    </row>
    <row r="851">
      <c r="A851" s="124"/>
      <c r="E851" s="147"/>
      <c r="F851" s="147"/>
      <c r="H851" s="126"/>
      <c r="I851" s="126"/>
    </row>
    <row r="852">
      <c r="A852" s="124"/>
      <c r="E852" s="147"/>
      <c r="F852" s="147"/>
      <c r="H852" s="126"/>
      <c r="I852" s="126"/>
    </row>
    <row r="853">
      <c r="A853" s="124"/>
      <c r="E853" s="147"/>
      <c r="F853" s="147"/>
      <c r="H853" s="126"/>
      <c r="I853" s="126"/>
    </row>
    <row r="854">
      <c r="A854" s="124"/>
      <c r="E854" s="147"/>
      <c r="F854" s="147"/>
      <c r="H854" s="126"/>
      <c r="I854" s="126"/>
    </row>
    <row r="855">
      <c r="A855" s="124"/>
      <c r="E855" s="147"/>
      <c r="F855" s="147"/>
      <c r="H855" s="126"/>
      <c r="I855" s="126"/>
    </row>
    <row r="856">
      <c r="A856" s="124"/>
      <c r="E856" s="147"/>
      <c r="F856" s="147"/>
      <c r="H856" s="126"/>
      <c r="I856" s="126"/>
    </row>
    <row r="857">
      <c r="A857" s="124"/>
      <c r="E857" s="147"/>
      <c r="F857" s="147"/>
      <c r="H857" s="126"/>
      <c r="I857" s="126"/>
    </row>
    <row r="858">
      <c r="A858" s="124"/>
      <c r="E858" s="147"/>
      <c r="F858" s="147"/>
      <c r="H858" s="126"/>
      <c r="I858" s="126"/>
    </row>
    <row r="859">
      <c r="A859" s="124"/>
      <c r="E859" s="147"/>
      <c r="F859" s="147"/>
      <c r="H859" s="126"/>
      <c r="I859" s="126"/>
    </row>
    <row r="860">
      <c r="A860" s="124"/>
      <c r="E860" s="147"/>
      <c r="F860" s="147"/>
      <c r="H860" s="126"/>
      <c r="I860" s="126"/>
    </row>
    <row r="861">
      <c r="A861" s="124"/>
      <c r="E861" s="147"/>
      <c r="F861" s="147"/>
      <c r="H861" s="126"/>
      <c r="I861" s="126"/>
    </row>
    <row r="862">
      <c r="A862" s="124"/>
      <c r="E862" s="147"/>
      <c r="F862" s="147"/>
      <c r="H862" s="126"/>
      <c r="I862" s="126"/>
    </row>
    <row r="863">
      <c r="A863" s="124"/>
      <c r="E863" s="147"/>
      <c r="F863" s="147"/>
      <c r="H863" s="126"/>
      <c r="I863" s="126"/>
    </row>
    <row r="864">
      <c r="A864" s="124"/>
      <c r="E864" s="147"/>
      <c r="F864" s="147"/>
      <c r="H864" s="126"/>
      <c r="I864" s="126"/>
    </row>
    <row r="865">
      <c r="A865" s="124"/>
      <c r="E865" s="147"/>
      <c r="F865" s="147"/>
      <c r="H865" s="126"/>
      <c r="I865" s="126"/>
    </row>
    <row r="866">
      <c r="A866" s="124"/>
      <c r="E866" s="147"/>
      <c r="F866" s="147"/>
      <c r="H866" s="126"/>
      <c r="I866" s="126"/>
    </row>
    <row r="867">
      <c r="A867" s="124"/>
      <c r="E867" s="147"/>
      <c r="F867" s="147"/>
      <c r="H867" s="126"/>
      <c r="I867" s="126"/>
    </row>
    <row r="868">
      <c r="A868" s="124"/>
      <c r="E868" s="147"/>
      <c r="F868" s="147"/>
      <c r="H868" s="126"/>
      <c r="I868" s="126"/>
    </row>
    <row r="869">
      <c r="A869" s="124"/>
      <c r="E869" s="147"/>
      <c r="F869" s="147"/>
      <c r="H869" s="126"/>
      <c r="I869" s="126"/>
    </row>
    <row r="870">
      <c r="A870" s="124"/>
      <c r="E870" s="147"/>
      <c r="F870" s="147"/>
      <c r="H870" s="126"/>
      <c r="I870" s="126"/>
    </row>
    <row r="871">
      <c r="A871" s="124"/>
      <c r="E871" s="147"/>
      <c r="F871" s="147"/>
      <c r="H871" s="126"/>
      <c r="I871" s="126"/>
    </row>
    <row r="872">
      <c r="A872" s="124"/>
      <c r="E872" s="147"/>
      <c r="F872" s="147"/>
      <c r="H872" s="126"/>
      <c r="I872" s="126"/>
    </row>
    <row r="873">
      <c r="A873" s="124"/>
      <c r="E873" s="147"/>
      <c r="F873" s="147"/>
      <c r="H873" s="126"/>
      <c r="I873" s="126"/>
    </row>
    <row r="874">
      <c r="A874" s="124"/>
      <c r="E874" s="147"/>
      <c r="F874" s="147"/>
      <c r="H874" s="126"/>
      <c r="I874" s="126"/>
    </row>
    <row r="875">
      <c r="A875" s="124"/>
      <c r="E875" s="147"/>
      <c r="F875" s="147"/>
      <c r="H875" s="126"/>
      <c r="I875" s="126"/>
    </row>
    <row r="876">
      <c r="A876" s="124"/>
      <c r="E876" s="147"/>
      <c r="F876" s="147"/>
      <c r="H876" s="126"/>
      <c r="I876" s="126"/>
    </row>
    <row r="877">
      <c r="A877" s="124"/>
      <c r="E877" s="147"/>
      <c r="F877" s="147"/>
      <c r="H877" s="126"/>
      <c r="I877" s="126"/>
    </row>
    <row r="878">
      <c r="A878" s="124"/>
      <c r="E878" s="147"/>
      <c r="F878" s="147"/>
      <c r="H878" s="126"/>
      <c r="I878" s="126"/>
    </row>
    <row r="879">
      <c r="A879" s="124"/>
      <c r="E879" s="147"/>
      <c r="F879" s="147"/>
      <c r="H879" s="126"/>
      <c r="I879" s="126"/>
    </row>
    <row r="880">
      <c r="A880" s="124"/>
      <c r="E880" s="147"/>
      <c r="F880" s="147"/>
      <c r="H880" s="126"/>
      <c r="I880" s="126"/>
    </row>
    <row r="881">
      <c r="A881" s="124"/>
      <c r="E881" s="147"/>
      <c r="F881" s="147"/>
      <c r="H881" s="126"/>
      <c r="I881" s="126"/>
    </row>
    <row r="882">
      <c r="A882" s="124"/>
      <c r="E882" s="147"/>
      <c r="F882" s="147"/>
      <c r="H882" s="126"/>
      <c r="I882" s="126"/>
    </row>
    <row r="883">
      <c r="A883" s="124"/>
      <c r="E883" s="147"/>
      <c r="F883" s="147"/>
      <c r="H883" s="126"/>
      <c r="I883" s="126"/>
    </row>
    <row r="884">
      <c r="A884" s="124"/>
      <c r="E884" s="147"/>
      <c r="F884" s="147"/>
      <c r="H884" s="126"/>
      <c r="I884" s="126"/>
    </row>
    <row r="885">
      <c r="A885" s="124"/>
      <c r="E885" s="147"/>
      <c r="F885" s="147"/>
      <c r="H885" s="126"/>
      <c r="I885" s="126"/>
    </row>
    <row r="886">
      <c r="A886" s="124"/>
      <c r="E886" s="147"/>
      <c r="F886" s="147"/>
      <c r="H886" s="126"/>
      <c r="I886" s="126"/>
    </row>
    <row r="887">
      <c r="A887" s="124"/>
      <c r="E887" s="147"/>
      <c r="F887" s="147"/>
      <c r="H887" s="126"/>
      <c r="I887" s="126"/>
    </row>
    <row r="888">
      <c r="A888" s="124"/>
      <c r="E888" s="147"/>
      <c r="F888" s="147"/>
      <c r="H888" s="126"/>
      <c r="I888" s="126"/>
    </row>
    <row r="889">
      <c r="A889" s="124"/>
      <c r="E889" s="147"/>
      <c r="F889" s="147"/>
      <c r="H889" s="126"/>
      <c r="I889" s="126"/>
    </row>
    <row r="890">
      <c r="A890" s="124"/>
      <c r="E890" s="147"/>
      <c r="F890" s="147"/>
      <c r="H890" s="126"/>
      <c r="I890" s="126"/>
    </row>
    <row r="891">
      <c r="A891" s="124"/>
      <c r="E891" s="147"/>
      <c r="F891" s="147"/>
      <c r="H891" s="126"/>
      <c r="I891" s="126"/>
    </row>
    <row r="892">
      <c r="A892" s="124"/>
      <c r="E892" s="147"/>
      <c r="F892" s="147"/>
      <c r="H892" s="126"/>
      <c r="I892" s="126"/>
    </row>
    <row r="893">
      <c r="A893" s="124"/>
      <c r="E893" s="147"/>
      <c r="F893" s="147"/>
      <c r="H893" s="126"/>
      <c r="I893" s="126"/>
    </row>
    <row r="894">
      <c r="A894" s="124"/>
      <c r="E894" s="147"/>
      <c r="F894" s="147"/>
      <c r="H894" s="126"/>
      <c r="I894" s="126"/>
    </row>
    <row r="895">
      <c r="A895" s="124"/>
      <c r="E895" s="147"/>
      <c r="F895" s="147"/>
      <c r="H895" s="126"/>
      <c r="I895" s="126"/>
    </row>
    <row r="896">
      <c r="A896" s="124"/>
      <c r="E896" s="147"/>
      <c r="F896" s="147"/>
      <c r="H896" s="126"/>
      <c r="I896" s="126"/>
    </row>
    <row r="897">
      <c r="A897" s="124"/>
      <c r="E897" s="147"/>
      <c r="F897" s="147"/>
      <c r="H897" s="126"/>
      <c r="I897" s="126"/>
    </row>
    <row r="898">
      <c r="A898" s="124"/>
      <c r="E898" s="147"/>
      <c r="F898" s="147"/>
      <c r="H898" s="126"/>
      <c r="I898" s="126"/>
    </row>
    <row r="899">
      <c r="A899" s="124"/>
      <c r="E899" s="147"/>
      <c r="F899" s="147"/>
      <c r="H899" s="126"/>
      <c r="I899" s="126"/>
    </row>
    <row r="900">
      <c r="A900" s="124"/>
      <c r="E900" s="147"/>
      <c r="F900" s="147"/>
      <c r="H900" s="126"/>
      <c r="I900" s="126"/>
    </row>
    <row r="901">
      <c r="A901" s="124"/>
      <c r="E901" s="147"/>
      <c r="F901" s="147"/>
      <c r="H901" s="126"/>
      <c r="I901" s="126"/>
    </row>
    <row r="902">
      <c r="A902" s="124"/>
      <c r="E902" s="147"/>
      <c r="F902" s="147"/>
      <c r="H902" s="126"/>
      <c r="I902" s="126"/>
    </row>
    <row r="903">
      <c r="A903" s="124"/>
      <c r="E903" s="147"/>
      <c r="F903" s="147"/>
      <c r="H903" s="126"/>
      <c r="I903" s="126"/>
    </row>
    <row r="904">
      <c r="A904" s="124"/>
      <c r="E904" s="147"/>
      <c r="F904" s="147"/>
      <c r="H904" s="126"/>
      <c r="I904" s="126"/>
    </row>
    <row r="905">
      <c r="A905" s="124"/>
      <c r="E905" s="147"/>
      <c r="F905" s="147"/>
      <c r="H905" s="126"/>
      <c r="I905" s="126"/>
    </row>
    <row r="906">
      <c r="A906" s="124"/>
      <c r="E906" s="147"/>
      <c r="F906" s="147"/>
      <c r="H906" s="126"/>
      <c r="I906" s="126"/>
    </row>
    <row r="907">
      <c r="A907" s="124"/>
      <c r="E907" s="147"/>
      <c r="F907" s="147"/>
      <c r="H907" s="126"/>
      <c r="I907" s="126"/>
    </row>
    <row r="908">
      <c r="A908" s="124"/>
      <c r="E908" s="147"/>
      <c r="F908" s="147"/>
      <c r="H908" s="126"/>
      <c r="I908" s="126"/>
    </row>
    <row r="909">
      <c r="A909" s="124"/>
      <c r="E909" s="147"/>
      <c r="F909" s="147"/>
      <c r="H909" s="126"/>
      <c r="I909" s="126"/>
    </row>
    <row r="910">
      <c r="A910" s="124"/>
      <c r="E910" s="147"/>
      <c r="F910" s="147"/>
      <c r="H910" s="126"/>
      <c r="I910" s="126"/>
    </row>
    <row r="911">
      <c r="A911" s="124"/>
      <c r="E911" s="147"/>
      <c r="F911" s="147"/>
      <c r="H911" s="126"/>
      <c r="I911" s="126"/>
    </row>
    <row r="912">
      <c r="A912" s="124"/>
      <c r="E912" s="147"/>
      <c r="F912" s="147"/>
      <c r="H912" s="126"/>
      <c r="I912" s="126"/>
    </row>
    <row r="913">
      <c r="A913" s="124"/>
      <c r="E913" s="147"/>
      <c r="F913" s="147"/>
      <c r="H913" s="126"/>
      <c r="I913" s="126"/>
    </row>
    <row r="914">
      <c r="A914" s="124"/>
      <c r="E914" s="147"/>
      <c r="F914" s="147"/>
      <c r="H914" s="126"/>
      <c r="I914" s="126"/>
    </row>
    <row r="915">
      <c r="A915" s="124"/>
      <c r="E915" s="147"/>
      <c r="F915" s="147"/>
      <c r="H915" s="126"/>
      <c r="I915" s="126"/>
    </row>
    <row r="916">
      <c r="A916" s="124"/>
      <c r="E916" s="147"/>
      <c r="F916" s="147"/>
      <c r="H916" s="126"/>
      <c r="I916" s="126"/>
    </row>
    <row r="917">
      <c r="A917" s="124"/>
      <c r="E917" s="147"/>
      <c r="F917" s="147"/>
      <c r="H917" s="126"/>
      <c r="I917" s="126"/>
    </row>
    <row r="918">
      <c r="A918" s="124"/>
      <c r="E918" s="147"/>
      <c r="F918" s="147"/>
      <c r="H918" s="126"/>
      <c r="I918" s="126"/>
    </row>
    <row r="919">
      <c r="A919" s="124"/>
      <c r="E919" s="147"/>
      <c r="F919" s="147"/>
      <c r="H919" s="126"/>
      <c r="I919" s="126"/>
    </row>
    <row r="920">
      <c r="A920" s="124"/>
      <c r="E920" s="147"/>
      <c r="F920" s="147"/>
      <c r="H920" s="126"/>
      <c r="I920" s="126"/>
    </row>
    <row r="921">
      <c r="A921" s="124"/>
      <c r="E921" s="147"/>
      <c r="F921" s="147"/>
      <c r="H921" s="126"/>
      <c r="I921" s="126"/>
    </row>
    <row r="922">
      <c r="A922" s="124"/>
      <c r="E922" s="147"/>
      <c r="F922" s="147"/>
      <c r="H922" s="126"/>
      <c r="I922" s="126"/>
    </row>
    <row r="923">
      <c r="A923" s="124"/>
      <c r="E923" s="147"/>
      <c r="F923" s="147"/>
      <c r="H923" s="126"/>
      <c r="I923" s="126"/>
    </row>
    <row r="924">
      <c r="A924" s="124"/>
      <c r="E924" s="147"/>
      <c r="F924" s="147"/>
      <c r="H924" s="126"/>
      <c r="I924" s="126"/>
    </row>
    <row r="925">
      <c r="A925" s="124"/>
      <c r="E925" s="147"/>
      <c r="F925" s="147"/>
      <c r="H925" s="126"/>
      <c r="I925" s="126"/>
    </row>
    <row r="926">
      <c r="A926" s="124"/>
      <c r="E926" s="147"/>
      <c r="F926" s="147"/>
      <c r="H926" s="126"/>
      <c r="I926" s="126"/>
    </row>
    <row r="927">
      <c r="A927" s="124"/>
      <c r="E927" s="147"/>
      <c r="F927" s="147"/>
      <c r="H927" s="126"/>
      <c r="I927" s="126"/>
    </row>
    <row r="928">
      <c r="A928" s="124"/>
      <c r="E928" s="147"/>
      <c r="F928" s="147"/>
      <c r="H928" s="126"/>
      <c r="I928" s="126"/>
    </row>
    <row r="929">
      <c r="A929" s="124"/>
      <c r="E929" s="147"/>
      <c r="F929" s="147"/>
      <c r="H929" s="126"/>
      <c r="I929" s="126"/>
    </row>
    <row r="930">
      <c r="A930" s="124"/>
      <c r="E930" s="147"/>
      <c r="F930" s="147"/>
      <c r="H930" s="126"/>
      <c r="I930" s="126"/>
    </row>
    <row r="931">
      <c r="A931" s="124"/>
      <c r="E931" s="147"/>
      <c r="F931" s="147"/>
      <c r="H931" s="126"/>
      <c r="I931" s="126"/>
    </row>
    <row r="932">
      <c r="A932" s="124"/>
      <c r="E932" s="147"/>
      <c r="F932" s="147"/>
      <c r="H932" s="126"/>
      <c r="I932" s="126"/>
    </row>
    <row r="933">
      <c r="A933" s="124"/>
      <c r="E933" s="147"/>
      <c r="F933" s="147"/>
      <c r="H933" s="126"/>
      <c r="I933" s="126"/>
    </row>
    <row r="934">
      <c r="A934" s="124"/>
      <c r="E934" s="147"/>
      <c r="F934" s="147"/>
      <c r="H934" s="126"/>
      <c r="I934" s="126"/>
    </row>
    <row r="935">
      <c r="A935" s="124"/>
      <c r="E935" s="147"/>
      <c r="F935" s="147"/>
      <c r="H935" s="126"/>
      <c r="I935" s="126"/>
    </row>
    <row r="936">
      <c r="A936" s="124"/>
      <c r="E936" s="147"/>
      <c r="F936" s="147"/>
      <c r="H936" s="126"/>
      <c r="I936" s="126"/>
    </row>
    <row r="937">
      <c r="A937" s="124"/>
      <c r="E937" s="147"/>
      <c r="F937" s="147"/>
      <c r="H937" s="126"/>
      <c r="I937" s="126"/>
    </row>
    <row r="938">
      <c r="A938" s="124"/>
      <c r="E938" s="147"/>
      <c r="F938" s="147"/>
      <c r="H938" s="126"/>
      <c r="I938" s="126"/>
    </row>
    <row r="939">
      <c r="A939" s="124"/>
      <c r="E939" s="147"/>
      <c r="F939" s="147"/>
      <c r="H939" s="126"/>
      <c r="I939" s="126"/>
    </row>
    <row r="940">
      <c r="A940" s="124"/>
      <c r="E940" s="147"/>
      <c r="F940" s="147"/>
      <c r="H940" s="126"/>
      <c r="I940" s="126"/>
    </row>
    <row r="941">
      <c r="A941" s="124"/>
      <c r="E941" s="147"/>
      <c r="F941" s="147"/>
      <c r="H941" s="126"/>
      <c r="I941" s="126"/>
    </row>
    <row r="942">
      <c r="A942" s="124"/>
      <c r="E942" s="147"/>
      <c r="F942" s="147"/>
      <c r="H942" s="126"/>
      <c r="I942" s="126"/>
    </row>
    <row r="943">
      <c r="A943" s="124"/>
      <c r="E943" s="147"/>
      <c r="F943" s="147"/>
      <c r="H943" s="126"/>
      <c r="I943" s="126"/>
    </row>
    <row r="944">
      <c r="A944" s="124"/>
      <c r="E944" s="147"/>
      <c r="F944" s="147"/>
      <c r="H944" s="126"/>
      <c r="I944" s="126"/>
    </row>
    <row r="945">
      <c r="A945" s="124"/>
      <c r="E945" s="147"/>
      <c r="F945" s="147"/>
      <c r="H945" s="126"/>
      <c r="I945" s="126"/>
    </row>
    <row r="946">
      <c r="A946" s="124"/>
      <c r="E946" s="147"/>
      <c r="F946" s="147"/>
      <c r="H946" s="126"/>
      <c r="I946" s="126"/>
    </row>
    <row r="947">
      <c r="A947" s="124"/>
      <c r="E947" s="147"/>
      <c r="F947" s="147"/>
      <c r="H947" s="126"/>
      <c r="I947" s="126"/>
    </row>
    <row r="948">
      <c r="A948" s="124"/>
      <c r="E948" s="147"/>
      <c r="F948" s="147"/>
      <c r="H948" s="126"/>
      <c r="I948" s="126"/>
    </row>
    <row r="949">
      <c r="A949" s="124"/>
      <c r="E949" s="147"/>
      <c r="F949" s="147"/>
      <c r="H949" s="126"/>
      <c r="I949" s="126"/>
    </row>
    <row r="950">
      <c r="A950" s="124"/>
      <c r="E950" s="147"/>
      <c r="F950" s="147"/>
      <c r="H950" s="126"/>
      <c r="I950" s="126"/>
    </row>
    <row r="951">
      <c r="A951" s="124"/>
      <c r="E951" s="147"/>
      <c r="F951" s="147"/>
      <c r="H951" s="126"/>
      <c r="I951" s="126"/>
    </row>
    <row r="952">
      <c r="A952" s="124"/>
      <c r="E952" s="147"/>
      <c r="F952" s="147"/>
      <c r="H952" s="126"/>
      <c r="I952" s="126"/>
    </row>
    <row r="953">
      <c r="A953" s="124"/>
      <c r="E953" s="147"/>
      <c r="F953" s="147"/>
      <c r="H953" s="126"/>
      <c r="I953" s="126"/>
    </row>
    <row r="954">
      <c r="A954" s="124"/>
      <c r="E954" s="147"/>
      <c r="F954" s="147"/>
      <c r="H954" s="126"/>
      <c r="I954" s="126"/>
    </row>
    <row r="955">
      <c r="A955" s="124"/>
      <c r="E955" s="147"/>
      <c r="F955" s="147"/>
      <c r="H955" s="126"/>
      <c r="I955" s="126"/>
    </row>
    <row r="956">
      <c r="A956" s="124"/>
      <c r="E956" s="147"/>
      <c r="F956" s="147"/>
      <c r="H956" s="126"/>
      <c r="I956" s="126"/>
    </row>
    <row r="957">
      <c r="A957" s="124"/>
      <c r="E957" s="147"/>
      <c r="F957" s="147"/>
      <c r="H957" s="126"/>
      <c r="I957" s="126"/>
    </row>
    <row r="958">
      <c r="A958" s="124"/>
      <c r="E958" s="147"/>
      <c r="F958" s="147"/>
      <c r="H958" s="126"/>
      <c r="I958" s="126"/>
    </row>
    <row r="959">
      <c r="A959" s="124"/>
      <c r="E959" s="147"/>
      <c r="F959" s="147"/>
      <c r="H959" s="126"/>
      <c r="I959" s="126"/>
    </row>
    <row r="960">
      <c r="A960" s="124"/>
      <c r="E960" s="147"/>
      <c r="F960" s="147"/>
      <c r="H960" s="126"/>
      <c r="I960" s="126"/>
    </row>
    <row r="961">
      <c r="A961" s="124"/>
      <c r="E961" s="147"/>
      <c r="F961" s="147"/>
      <c r="H961" s="126"/>
      <c r="I961" s="126"/>
    </row>
    <row r="962">
      <c r="A962" s="124"/>
      <c r="E962" s="147"/>
      <c r="F962" s="147"/>
      <c r="H962" s="126"/>
      <c r="I962" s="126"/>
    </row>
    <row r="963">
      <c r="A963" s="124"/>
      <c r="E963" s="147"/>
      <c r="F963" s="147"/>
      <c r="H963" s="126"/>
      <c r="I963" s="126"/>
    </row>
    <row r="964">
      <c r="A964" s="124"/>
      <c r="E964" s="147"/>
      <c r="F964" s="147"/>
      <c r="H964" s="126"/>
      <c r="I964" s="126"/>
    </row>
    <row r="965">
      <c r="A965" s="124"/>
      <c r="E965" s="147"/>
      <c r="F965" s="147"/>
      <c r="H965" s="126"/>
      <c r="I965" s="126"/>
    </row>
    <row r="966">
      <c r="A966" s="124"/>
      <c r="E966" s="147"/>
      <c r="F966" s="147"/>
      <c r="H966" s="126"/>
      <c r="I966" s="126"/>
    </row>
    <row r="967">
      <c r="A967" s="124"/>
      <c r="E967" s="147"/>
      <c r="F967" s="147"/>
      <c r="H967" s="126"/>
      <c r="I967" s="126"/>
    </row>
    <row r="968">
      <c r="A968" s="124"/>
      <c r="E968" s="147"/>
      <c r="F968" s="147"/>
      <c r="H968" s="126"/>
      <c r="I968" s="126"/>
    </row>
    <row r="969">
      <c r="A969" s="124"/>
      <c r="E969" s="147"/>
      <c r="F969" s="147"/>
      <c r="H969" s="126"/>
      <c r="I969" s="126"/>
    </row>
    <row r="970">
      <c r="A970" s="124"/>
      <c r="E970" s="147"/>
      <c r="F970" s="147"/>
      <c r="H970" s="126"/>
      <c r="I970" s="126"/>
    </row>
    <row r="971">
      <c r="A971" s="124"/>
      <c r="E971" s="147"/>
      <c r="F971" s="147"/>
      <c r="H971" s="126"/>
      <c r="I971" s="126"/>
    </row>
    <row r="972">
      <c r="A972" s="124"/>
      <c r="E972" s="147"/>
      <c r="F972" s="147"/>
      <c r="H972" s="126"/>
      <c r="I972" s="126"/>
    </row>
    <row r="973">
      <c r="A973" s="124"/>
      <c r="E973" s="147"/>
      <c r="F973" s="147"/>
      <c r="H973" s="126"/>
      <c r="I973" s="126"/>
    </row>
    <row r="974">
      <c r="A974" s="124"/>
      <c r="E974" s="147"/>
      <c r="F974" s="147"/>
      <c r="H974" s="126"/>
      <c r="I974" s="126"/>
    </row>
    <row r="975">
      <c r="A975" s="124"/>
      <c r="E975" s="147"/>
      <c r="F975" s="147"/>
      <c r="H975" s="126"/>
      <c r="I975" s="126"/>
    </row>
    <row r="976">
      <c r="A976" s="124"/>
      <c r="E976" s="147"/>
      <c r="F976" s="147"/>
      <c r="H976" s="126"/>
      <c r="I976" s="126"/>
    </row>
    <row r="977">
      <c r="A977" s="124"/>
      <c r="E977" s="147"/>
      <c r="F977" s="147"/>
      <c r="H977" s="126"/>
      <c r="I977" s="126"/>
    </row>
    <row r="978">
      <c r="A978" s="124"/>
      <c r="E978" s="147"/>
      <c r="F978" s="147"/>
      <c r="H978" s="126"/>
      <c r="I978" s="126"/>
    </row>
    <row r="979">
      <c r="A979" s="124"/>
      <c r="E979" s="147"/>
      <c r="F979" s="147"/>
      <c r="H979" s="126"/>
      <c r="I979" s="126"/>
    </row>
    <row r="980">
      <c r="A980" s="124"/>
      <c r="E980" s="147"/>
      <c r="F980" s="147"/>
      <c r="H980" s="126"/>
      <c r="I980" s="126"/>
    </row>
    <row r="981">
      <c r="A981" s="124"/>
      <c r="E981" s="147"/>
      <c r="F981" s="147"/>
      <c r="H981" s="126"/>
      <c r="I981" s="126"/>
    </row>
    <row r="982">
      <c r="A982" s="124"/>
      <c r="E982" s="147"/>
      <c r="F982" s="147"/>
      <c r="H982" s="126"/>
      <c r="I982" s="126"/>
    </row>
    <row r="983">
      <c r="A983" s="124"/>
      <c r="E983" s="147"/>
      <c r="F983" s="147"/>
      <c r="H983" s="126"/>
      <c r="I983" s="126"/>
    </row>
    <row r="984">
      <c r="A984" s="124"/>
      <c r="E984" s="147"/>
      <c r="F984" s="147"/>
      <c r="H984" s="126"/>
      <c r="I984" s="126"/>
    </row>
    <row r="985">
      <c r="A985" s="124"/>
      <c r="E985" s="147"/>
      <c r="F985" s="147"/>
      <c r="H985" s="126"/>
      <c r="I985" s="126"/>
    </row>
    <row r="986">
      <c r="A986" s="124"/>
      <c r="E986" s="147"/>
      <c r="F986" s="147"/>
      <c r="H986" s="126"/>
      <c r="I986" s="126"/>
    </row>
    <row r="987">
      <c r="A987" s="124"/>
      <c r="E987" s="147"/>
      <c r="F987" s="147"/>
      <c r="H987" s="126"/>
      <c r="I987" s="126"/>
    </row>
    <row r="988">
      <c r="A988" s="124"/>
      <c r="E988" s="147"/>
      <c r="F988" s="147"/>
      <c r="H988" s="126"/>
      <c r="I988" s="126"/>
    </row>
    <row r="989">
      <c r="A989" s="124"/>
      <c r="E989" s="147"/>
      <c r="F989" s="147"/>
      <c r="H989" s="126"/>
      <c r="I989" s="126"/>
    </row>
    <row r="990">
      <c r="A990" s="124"/>
      <c r="E990" s="147"/>
      <c r="F990" s="147"/>
      <c r="H990" s="126"/>
      <c r="I990" s="126"/>
    </row>
    <row r="991">
      <c r="A991" s="124"/>
      <c r="E991" s="147"/>
      <c r="F991" s="147"/>
      <c r="H991" s="126"/>
      <c r="I991" s="126"/>
    </row>
    <row r="992">
      <c r="A992" s="124"/>
      <c r="E992" s="147"/>
      <c r="F992" s="147"/>
      <c r="H992" s="126"/>
      <c r="I992" s="126"/>
    </row>
    <row r="993">
      <c r="A993" s="124"/>
      <c r="E993" s="147"/>
      <c r="F993" s="147"/>
      <c r="H993" s="126"/>
      <c r="I993" s="126"/>
    </row>
    <row r="994">
      <c r="A994" s="124"/>
      <c r="E994" s="147"/>
      <c r="F994" s="147"/>
      <c r="H994" s="126"/>
      <c r="I994" s="126"/>
    </row>
    <row r="995">
      <c r="A995" s="124"/>
      <c r="E995" s="147"/>
      <c r="F995" s="147"/>
      <c r="H995" s="126"/>
      <c r="I995" s="126"/>
    </row>
    <row r="996">
      <c r="A996" s="124"/>
      <c r="E996" s="147"/>
      <c r="F996" s="147"/>
      <c r="H996" s="126"/>
      <c r="I996" s="126"/>
    </row>
    <row r="997">
      <c r="A997" s="124"/>
      <c r="E997" s="147"/>
      <c r="F997" s="147"/>
      <c r="H997" s="126"/>
      <c r="I997" s="126"/>
    </row>
    <row r="998">
      <c r="A998" s="124"/>
      <c r="E998" s="147"/>
      <c r="F998" s="147"/>
      <c r="H998" s="126"/>
      <c r="I998" s="126"/>
    </row>
    <row r="999">
      <c r="A999" s="124"/>
      <c r="E999" s="147"/>
      <c r="F999" s="147"/>
      <c r="H999" s="126"/>
      <c r="I999" s="126"/>
    </row>
    <row r="1000">
      <c r="A1000" s="124"/>
      <c r="E1000" s="147"/>
      <c r="F1000" s="147"/>
      <c r="H1000" s="126"/>
      <c r="I1000" s="126"/>
    </row>
    <row r="1001">
      <c r="A1001" s="124"/>
      <c r="E1001" s="147"/>
      <c r="F1001" s="147"/>
      <c r="H1001" s="126"/>
      <c r="I1001" s="126"/>
    </row>
    <row r="1002">
      <c r="A1002" s="124"/>
      <c r="E1002" s="147"/>
      <c r="F1002" s="147"/>
      <c r="H1002" s="126"/>
      <c r="I1002" s="126"/>
    </row>
    <row r="1003">
      <c r="A1003" s="124"/>
      <c r="E1003" s="147"/>
      <c r="F1003" s="147"/>
      <c r="H1003" s="126"/>
      <c r="I1003" s="126"/>
    </row>
    <row r="1004">
      <c r="A1004" s="124"/>
      <c r="E1004" s="147"/>
      <c r="F1004" s="147"/>
      <c r="H1004" s="126"/>
      <c r="I1004" s="126"/>
    </row>
    <row r="1005">
      <c r="A1005" s="124"/>
      <c r="E1005" s="147"/>
      <c r="F1005" s="147"/>
      <c r="H1005" s="126"/>
      <c r="I1005" s="126"/>
    </row>
    <row r="1006">
      <c r="A1006" s="124"/>
      <c r="E1006" s="147"/>
      <c r="F1006" s="147"/>
      <c r="H1006" s="126"/>
      <c r="I1006" s="126"/>
    </row>
    <row r="1007">
      <c r="A1007" s="124"/>
      <c r="E1007" s="147"/>
      <c r="F1007" s="147"/>
      <c r="H1007" s="126"/>
      <c r="I1007" s="126"/>
    </row>
    <row r="1008">
      <c r="A1008" s="124"/>
      <c r="E1008" s="147"/>
      <c r="F1008" s="147"/>
      <c r="H1008" s="126"/>
      <c r="I1008" s="126"/>
    </row>
    <row r="1009">
      <c r="A1009" s="124"/>
      <c r="E1009" s="147"/>
      <c r="F1009" s="147"/>
      <c r="H1009" s="126"/>
      <c r="I1009" s="126"/>
    </row>
    <row r="1010">
      <c r="A1010" s="124"/>
      <c r="E1010" s="147"/>
      <c r="F1010" s="147"/>
      <c r="H1010" s="126"/>
      <c r="I1010" s="126"/>
    </row>
    <row r="1011">
      <c r="A1011" s="124"/>
      <c r="E1011" s="147"/>
      <c r="F1011" s="147"/>
      <c r="H1011" s="126"/>
      <c r="I1011" s="126"/>
    </row>
    <row r="1012">
      <c r="A1012" s="124"/>
      <c r="E1012" s="147"/>
      <c r="F1012" s="147"/>
      <c r="H1012" s="126"/>
      <c r="I1012" s="126"/>
    </row>
    <row r="1013">
      <c r="A1013" s="124"/>
      <c r="E1013" s="147"/>
      <c r="F1013" s="147"/>
      <c r="H1013" s="126"/>
      <c r="I1013" s="126"/>
    </row>
    <row r="1014">
      <c r="A1014" s="124"/>
      <c r="E1014" s="147"/>
      <c r="F1014" s="147"/>
      <c r="H1014" s="126"/>
      <c r="I1014" s="126"/>
    </row>
    <row r="1015">
      <c r="A1015" s="124"/>
      <c r="E1015" s="147"/>
      <c r="F1015" s="147"/>
      <c r="H1015" s="126"/>
      <c r="I1015" s="126"/>
    </row>
    <row r="1016">
      <c r="A1016" s="124"/>
      <c r="E1016" s="147"/>
      <c r="F1016" s="147"/>
      <c r="H1016" s="126"/>
      <c r="I1016" s="126"/>
    </row>
    <row r="1017">
      <c r="A1017" s="124"/>
      <c r="E1017" s="147"/>
      <c r="F1017" s="147"/>
      <c r="H1017" s="126"/>
      <c r="I1017" s="126"/>
    </row>
    <row r="1018">
      <c r="A1018" s="124"/>
      <c r="E1018" s="147"/>
      <c r="F1018" s="147"/>
      <c r="H1018" s="126"/>
      <c r="I1018" s="126"/>
    </row>
    <row r="1019">
      <c r="A1019" s="124"/>
      <c r="E1019" s="147"/>
      <c r="F1019" s="147"/>
      <c r="H1019" s="126"/>
      <c r="I1019" s="126"/>
    </row>
    <row r="1020">
      <c r="A1020" s="124"/>
      <c r="E1020" s="147"/>
      <c r="F1020" s="147"/>
      <c r="H1020" s="126"/>
      <c r="I1020" s="126"/>
    </row>
    <row r="1021">
      <c r="A1021" s="124"/>
      <c r="E1021" s="147"/>
      <c r="F1021" s="147"/>
      <c r="H1021" s="126"/>
      <c r="I1021" s="126"/>
    </row>
    <row r="1022">
      <c r="A1022" s="124"/>
      <c r="E1022" s="147"/>
      <c r="F1022" s="147"/>
      <c r="H1022" s="126"/>
      <c r="I1022" s="126"/>
    </row>
    <row r="1023">
      <c r="A1023" s="124"/>
      <c r="E1023" s="147"/>
      <c r="F1023" s="147"/>
      <c r="H1023" s="126"/>
      <c r="I1023" s="126"/>
    </row>
    <row r="1024">
      <c r="A1024" s="124"/>
      <c r="E1024" s="147"/>
      <c r="F1024" s="147"/>
      <c r="H1024" s="126"/>
      <c r="I1024" s="126"/>
    </row>
    <row r="1025">
      <c r="A1025" s="124"/>
      <c r="E1025" s="147"/>
      <c r="F1025" s="147"/>
      <c r="H1025" s="126"/>
      <c r="I1025" s="126"/>
    </row>
    <row r="1026">
      <c r="A1026" s="124"/>
      <c r="E1026" s="147"/>
      <c r="F1026" s="147"/>
      <c r="H1026" s="126"/>
      <c r="I1026" s="126"/>
    </row>
    <row r="1027">
      <c r="A1027" s="124"/>
      <c r="E1027" s="147"/>
      <c r="F1027" s="147"/>
      <c r="H1027" s="126"/>
      <c r="I1027" s="126"/>
    </row>
    <row r="1028">
      <c r="A1028" s="124"/>
      <c r="E1028" s="147"/>
      <c r="F1028" s="147"/>
      <c r="H1028" s="126"/>
      <c r="I1028" s="126"/>
    </row>
    <row r="1029">
      <c r="A1029" s="124"/>
      <c r="E1029" s="147"/>
      <c r="F1029" s="147"/>
      <c r="H1029" s="126"/>
      <c r="I1029" s="126"/>
    </row>
    <row r="1030">
      <c r="A1030" s="124"/>
      <c r="E1030" s="147"/>
      <c r="F1030" s="147"/>
      <c r="H1030" s="126"/>
      <c r="I1030" s="126"/>
    </row>
    <row r="1031">
      <c r="A1031" s="124"/>
      <c r="E1031" s="147"/>
      <c r="F1031" s="147"/>
      <c r="H1031" s="126"/>
      <c r="I1031" s="126"/>
    </row>
    <row r="1032">
      <c r="A1032" s="124"/>
      <c r="E1032" s="147"/>
      <c r="F1032" s="147"/>
      <c r="H1032" s="126"/>
      <c r="I1032" s="126"/>
    </row>
    <row r="1033">
      <c r="A1033" s="124"/>
      <c r="E1033" s="147"/>
      <c r="F1033" s="147"/>
      <c r="H1033" s="126"/>
      <c r="I1033" s="126"/>
    </row>
    <row r="1034">
      <c r="A1034" s="124"/>
      <c r="E1034" s="147"/>
      <c r="F1034" s="147"/>
      <c r="H1034" s="126"/>
      <c r="I1034" s="126"/>
    </row>
    <row r="1035">
      <c r="A1035" s="124"/>
      <c r="E1035" s="147"/>
      <c r="F1035" s="147"/>
      <c r="H1035" s="126"/>
      <c r="I1035" s="126"/>
    </row>
    <row r="1036">
      <c r="A1036" s="124"/>
      <c r="E1036" s="147"/>
      <c r="F1036" s="147"/>
      <c r="H1036" s="126"/>
      <c r="I1036" s="126"/>
    </row>
    <row r="1037">
      <c r="A1037" s="124"/>
      <c r="E1037" s="147"/>
      <c r="F1037" s="147"/>
      <c r="H1037" s="126"/>
      <c r="I1037" s="126"/>
    </row>
    <row r="1038">
      <c r="A1038" s="124"/>
      <c r="E1038" s="147"/>
      <c r="F1038" s="147"/>
      <c r="H1038" s="126"/>
      <c r="I1038" s="126"/>
    </row>
    <row r="1039">
      <c r="A1039" s="124"/>
      <c r="E1039" s="147"/>
      <c r="F1039" s="147"/>
      <c r="H1039" s="126"/>
      <c r="I1039" s="126"/>
    </row>
    <row r="1040">
      <c r="A1040" s="124"/>
      <c r="E1040" s="147"/>
      <c r="F1040" s="147"/>
      <c r="H1040" s="126"/>
      <c r="I1040" s="126"/>
    </row>
    <row r="1041">
      <c r="A1041" s="124"/>
      <c r="E1041" s="147"/>
      <c r="F1041" s="147"/>
      <c r="H1041" s="126"/>
      <c r="I1041" s="126"/>
    </row>
    <row r="1042">
      <c r="A1042" s="124"/>
      <c r="E1042" s="147"/>
      <c r="F1042" s="147"/>
      <c r="H1042" s="126"/>
      <c r="I1042" s="126"/>
    </row>
    <row r="1043">
      <c r="A1043" s="124"/>
      <c r="E1043" s="147"/>
      <c r="F1043" s="147"/>
      <c r="H1043" s="126"/>
      <c r="I1043" s="126"/>
    </row>
    <row r="1044">
      <c r="A1044" s="124"/>
      <c r="E1044" s="147"/>
      <c r="F1044" s="147"/>
      <c r="H1044" s="126"/>
      <c r="I1044" s="126"/>
    </row>
    <row r="1045">
      <c r="A1045" s="124"/>
      <c r="E1045" s="147"/>
      <c r="F1045" s="147"/>
      <c r="H1045" s="126"/>
      <c r="I1045" s="126"/>
    </row>
    <row r="1046">
      <c r="A1046" s="124"/>
      <c r="E1046" s="147"/>
      <c r="F1046" s="147"/>
      <c r="H1046" s="126"/>
      <c r="I1046" s="126"/>
    </row>
    <row r="1047">
      <c r="A1047" s="124"/>
      <c r="E1047" s="147"/>
      <c r="F1047" s="147"/>
      <c r="H1047" s="126"/>
      <c r="I1047" s="126"/>
    </row>
    <row r="1048">
      <c r="A1048" s="124"/>
      <c r="E1048" s="147"/>
      <c r="F1048" s="147"/>
      <c r="H1048" s="126"/>
      <c r="I1048" s="126"/>
    </row>
    <row r="1049">
      <c r="A1049" s="124"/>
      <c r="E1049" s="147"/>
      <c r="F1049" s="147"/>
      <c r="H1049" s="126"/>
      <c r="I1049" s="126"/>
    </row>
    <row r="1050">
      <c r="A1050" s="124"/>
      <c r="E1050" s="147"/>
      <c r="F1050" s="147"/>
      <c r="H1050" s="126"/>
      <c r="I1050" s="126"/>
    </row>
    <row r="1051">
      <c r="A1051" s="124"/>
      <c r="E1051" s="147"/>
      <c r="F1051" s="147"/>
      <c r="H1051" s="126"/>
      <c r="I1051" s="126"/>
    </row>
    <row r="1052">
      <c r="A1052" s="124"/>
      <c r="E1052" s="147"/>
      <c r="F1052" s="147"/>
      <c r="H1052" s="126"/>
      <c r="I1052" s="126"/>
    </row>
    <row r="1053">
      <c r="A1053" s="124"/>
      <c r="E1053" s="147"/>
      <c r="F1053" s="147"/>
      <c r="H1053" s="126"/>
      <c r="I1053" s="126"/>
    </row>
    <row r="1054">
      <c r="A1054" s="124"/>
      <c r="E1054" s="147"/>
      <c r="F1054" s="147"/>
      <c r="H1054" s="126"/>
      <c r="I1054" s="126"/>
    </row>
    <row r="1055">
      <c r="A1055" s="124"/>
      <c r="E1055" s="147"/>
      <c r="F1055" s="147"/>
      <c r="H1055" s="126"/>
      <c r="I1055" s="126"/>
    </row>
    <row r="1056">
      <c r="A1056" s="124"/>
      <c r="E1056" s="147"/>
      <c r="F1056" s="147"/>
      <c r="H1056" s="126"/>
      <c r="I1056" s="126"/>
    </row>
    <row r="1057">
      <c r="A1057" s="124"/>
      <c r="E1057" s="147"/>
      <c r="F1057" s="147"/>
      <c r="H1057" s="126"/>
      <c r="I1057" s="126"/>
    </row>
    <row r="1058">
      <c r="A1058" s="124"/>
      <c r="E1058" s="147"/>
      <c r="F1058" s="147"/>
      <c r="H1058" s="126"/>
      <c r="I1058" s="126"/>
    </row>
    <row r="1059">
      <c r="A1059" s="124"/>
      <c r="E1059" s="147"/>
      <c r="F1059" s="147"/>
      <c r="H1059" s="126"/>
      <c r="I1059" s="126"/>
    </row>
    <row r="1060">
      <c r="A1060" s="124"/>
      <c r="E1060" s="147"/>
      <c r="F1060" s="147"/>
      <c r="H1060" s="126"/>
      <c r="I1060" s="126"/>
    </row>
    <row r="1061">
      <c r="A1061" s="124"/>
      <c r="E1061" s="147"/>
      <c r="F1061" s="147"/>
      <c r="H1061" s="126"/>
      <c r="I1061" s="126"/>
    </row>
    <row r="1062">
      <c r="A1062" s="124"/>
      <c r="E1062" s="147"/>
      <c r="F1062" s="147"/>
      <c r="H1062" s="126"/>
      <c r="I1062" s="126"/>
    </row>
    <row r="1063">
      <c r="A1063" s="124"/>
      <c r="E1063" s="147"/>
      <c r="F1063" s="147"/>
      <c r="H1063" s="126"/>
      <c r="I1063" s="126"/>
    </row>
    <row r="1064">
      <c r="A1064" s="124"/>
      <c r="E1064" s="147"/>
      <c r="F1064" s="147"/>
      <c r="H1064" s="126"/>
      <c r="I1064" s="126"/>
    </row>
    <row r="1065">
      <c r="A1065" s="124"/>
      <c r="E1065" s="147"/>
      <c r="F1065" s="147"/>
      <c r="H1065" s="126"/>
      <c r="I1065" s="126"/>
    </row>
    <row r="1066">
      <c r="A1066" s="124"/>
      <c r="E1066" s="147"/>
      <c r="F1066" s="147"/>
      <c r="H1066" s="126"/>
      <c r="I1066" s="126"/>
    </row>
    <row r="1067">
      <c r="A1067" s="124"/>
      <c r="E1067" s="147"/>
      <c r="F1067" s="147"/>
      <c r="H1067" s="126"/>
      <c r="I1067" s="126"/>
    </row>
    <row r="1068">
      <c r="A1068" s="124"/>
      <c r="E1068" s="147"/>
      <c r="F1068" s="147"/>
      <c r="H1068" s="126"/>
      <c r="I1068" s="126"/>
    </row>
    <row r="1069">
      <c r="A1069" s="124"/>
      <c r="E1069" s="147"/>
      <c r="F1069" s="147"/>
      <c r="H1069" s="126"/>
      <c r="I1069" s="126"/>
    </row>
    <row r="1070">
      <c r="A1070" s="124"/>
      <c r="E1070" s="147"/>
      <c r="F1070" s="147"/>
      <c r="H1070" s="126"/>
      <c r="I1070" s="126"/>
    </row>
    <row r="1071">
      <c r="A1071" s="124"/>
      <c r="E1071" s="147"/>
      <c r="F1071" s="147"/>
      <c r="H1071" s="126"/>
      <c r="I1071" s="126"/>
    </row>
    <row r="1072">
      <c r="A1072" s="124"/>
      <c r="E1072" s="147"/>
      <c r="F1072" s="147"/>
      <c r="H1072" s="126"/>
      <c r="I1072" s="126"/>
    </row>
    <row r="1073">
      <c r="A1073" s="124"/>
      <c r="E1073" s="147"/>
      <c r="F1073" s="147"/>
      <c r="H1073" s="126"/>
      <c r="I1073" s="126"/>
    </row>
    <row r="1074">
      <c r="A1074" s="124"/>
      <c r="E1074" s="147"/>
      <c r="F1074" s="147"/>
      <c r="H1074" s="126"/>
      <c r="I1074" s="126"/>
    </row>
    <row r="1075">
      <c r="A1075" s="124"/>
      <c r="E1075" s="147"/>
      <c r="F1075" s="147"/>
      <c r="H1075" s="126"/>
      <c r="I1075" s="126"/>
    </row>
    <row r="1076">
      <c r="A1076" s="124"/>
      <c r="E1076" s="147"/>
      <c r="F1076" s="147"/>
      <c r="H1076" s="126"/>
      <c r="I1076" s="126"/>
    </row>
    <row r="1077">
      <c r="A1077" s="124"/>
      <c r="E1077" s="147"/>
      <c r="F1077" s="147"/>
      <c r="H1077" s="126"/>
      <c r="I1077" s="126"/>
    </row>
    <row r="1078">
      <c r="A1078" s="124"/>
      <c r="E1078" s="147"/>
      <c r="F1078" s="147"/>
      <c r="H1078" s="126"/>
      <c r="I1078" s="126"/>
    </row>
    <row r="1079">
      <c r="A1079" s="124"/>
      <c r="E1079" s="147"/>
      <c r="F1079" s="147"/>
      <c r="H1079" s="126"/>
      <c r="I1079" s="126"/>
    </row>
    <row r="1080">
      <c r="A1080" s="124"/>
      <c r="E1080" s="147"/>
      <c r="F1080" s="147"/>
      <c r="H1080" s="126"/>
      <c r="I1080" s="126"/>
    </row>
    <row r="1081">
      <c r="A1081" s="124"/>
      <c r="E1081" s="147"/>
      <c r="F1081" s="147"/>
      <c r="H1081" s="126"/>
      <c r="I1081" s="126"/>
    </row>
    <row r="1082">
      <c r="A1082" s="124"/>
      <c r="E1082" s="147"/>
      <c r="F1082" s="147"/>
      <c r="H1082" s="126"/>
      <c r="I1082" s="126"/>
    </row>
    <row r="1083">
      <c r="A1083" s="124"/>
      <c r="E1083" s="147"/>
      <c r="F1083" s="147"/>
      <c r="H1083" s="126"/>
      <c r="I1083" s="126"/>
    </row>
    <row r="1084">
      <c r="A1084" s="124"/>
      <c r="E1084" s="147"/>
      <c r="F1084" s="147"/>
      <c r="H1084" s="126"/>
      <c r="I1084" s="126"/>
    </row>
    <row r="1085">
      <c r="A1085" s="124"/>
      <c r="E1085" s="147"/>
      <c r="F1085" s="147"/>
      <c r="H1085" s="126"/>
      <c r="I1085" s="126"/>
    </row>
    <row r="1086">
      <c r="A1086" s="124"/>
      <c r="E1086" s="147"/>
      <c r="F1086" s="147"/>
      <c r="H1086" s="126"/>
      <c r="I1086" s="126"/>
    </row>
    <row r="1087">
      <c r="A1087" s="124"/>
      <c r="E1087" s="147"/>
      <c r="F1087" s="147"/>
      <c r="H1087" s="126"/>
      <c r="I1087" s="126"/>
    </row>
    <row r="1088">
      <c r="A1088" s="124"/>
      <c r="E1088" s="147"/>
      <c r="F1088" s="147"/>
      <c r="H1088" s="126"/>
      <c r="I1088" s="126"/>
    </row>
    <row r="1089">
      <c r="A1089" s="124"/>
      <c r="E1089" s="147"/>
      <c r="F1089" s="147"/>
      <c r="H1089" s="126"/>
      <c r="I1089" s="126"/>
    </row>
    <row r="1090">
      <c r="A1090" s="124"/>
      <c r="E1090" s="147"/>
      <c r="F1090" s="147"/>
      <c r="H1090" s="126"/>
      <c r="I1090" s="126"/>
    </row>
    <row r="1091">
      <c r="A1091" s="124"/>
      <c r="E1091" s="147"/>
      <c r="F1091" s="147"/>
      <c r="H1091" s="126"/>
      <c r="I1091" s="126"/>
    </row>
    <row r="1092">
      <c r="A1092" s="124"/>
      <c r="E1092" s="147"/>
      <c r="F1092" s="147"/>
      <c r="H1092" s="126"/>
      <c r="I1092" s="126"/>
    </row>
    <row r="1093">
      <c r="A1093" s="124"/>
      <c r="E1093" s="147"/>
      <c r="F1093" s="147"/>
      <c r="H1093" s="126"/>
      <c r="I1093" s="126"/>
    </row>
    <row r="1094">
      <c r="A1094" s="124"/>
      <c r="E1094" s="147"/>
      <c r="F1094" s="147"/>
      <c r="H1094" s="126"/>
      <c r="I1094" s="126"/>
    </row>
    <row r="1095">
      <c r="A1095" s="124"/>
      <c r="E1095" s="146"/>
      <c r="F1095" s="146"/>
      <c r="H1095" s="126"/>
      <c r="I1095" s="126"/>
    </row>
    <row r="1096">
      <c r="A1096" s="124"/>
      <c r="E1096" s="146"/>
      <c r="F1096" s="146"/>
      <c r="H1096" s="126"/>
      <c r="I1096" s="126"/>
    </row>
    <row r="1097">
      <c r="A1097" s="124"/>
      <c r="E1097" s="146"/>
      <c r="F1097" s="146"/>
      <c r="H1097" s="126"/>
      <c r="I1097" s="126"/>
    </row>
    <row r="1098">
      <c r="A1098" s="124"/>
      <c r="E1098" s="146"/>
      <c r="F1098" s="146"/>
      <c r="H1098" s="126"/>
      <c r="I1098" s="126"/>
    </row>
    <row r="1099">
      <c r="A1099" s="124"/>
      <c r="E1099" s="146"/>
      <c r="F1099" s="146"/>
      <c r="H1099" s="126"/>
      <c r="I1099" s="126"/>
    </row>
    <row r="1100">
      <c r="A1100" s="124"/>
      <c r="E1100" s="146"/>
      <c r="F1100" s="146"/>
      <c r="H1100" s="126"/>
      <c r="I1100" s="126"/>
    </row>
    <row r="1101">
      <c r="A1101" s="124"/>
      <c r="E1101" s="146"/>
      <c r="F1101" s="146"/>
      <c r="H1101" s="126"/>
      <c r="I1101" s="126"/>
    </row>
    <row r="1102">
      <c r="A1102" s="124"/>
      <c r="E1102" s="146"/>
      <c r="F1102" s="146"/>
      <c r="H1102" s="126"/>
      <c r="I1102" s="126"/>
    </row>
    <row r="1103">
      <c r="A1103" s="124"/>
      <c r="E1103" s="146"/>
      <c r="F1103" s="146"/>
      <c r="H1103" s="126"/>
      <c r="I1103" s="126"/>
    </row>
    <row r="1104">
      <c r="A1104" s="124"/>
      <c r="E1104" s="146"/>
      <c r="F1104" s="146"/>
      <c r="H1104" s="126"/>
      <c r="I1104" s="126"/>
    </row>
    <row r="1105">
      <c r="A1105" s="124"/>
      <c r="E1105" s="146"/>
      <c r="F1105" s="146"/>
      <c r="H1105" s="126"/>
      <c r="I1105" s="126"/>
    </row>
    <row r="1106">
      <c r="A1106" s="124"/>
      <c r="E1106" s="146"/>
      <c r="F1106" s="146"/>
      <c r="H1106" s="126"/>
      <c r="I1106" s="126"/>
    </row>
    <row r="1107">
      <c r="A1107" s="124"/>
      <c r="E1107" s="146"/>
      <c r="F1107" s="146"/>
      <c r="H1107" s="126"/>
      <c r="I1107" s="126"/>
    </row>
    <row r="1108">
      <c r="A1108" s="124"/>
      <c r="E1108" s="146"/>
      <c r="F1108" s="146"/>
      <c r="H1108" s="126"/>
      <c r="I1108" s="126"/>
    </row>
    <row r="1109">
      <c r="A1109" s="124"/>
      <c r="E1109" s="146"/>
      <c r="F1109" s="146"/>
      <c r="H1109" s="126"/>
      <c r="I1109" s="126"/>
    </row>
    <row r="1110">
      <c r="A1110" s="124"/>
      <c r="E1110" s="146"/>
      <c r="F1110" s="146"/>
      <c r="H1110" s="126"/>
      <c r="I1110" s="126"/>
    </row>
    <row r="1111">
      <c r="A1111" s="124"/>
      <c r="E1111" s="146"/>
      <c r="F1111" s="146"/>
      <c r="H1111" s="126"/>
      <c r="I1111" s="126"/>
    </row>
    <row r="1112">
      <c r="A1112" s="124"/>
      <c r="E1112" s="146"/>
      <c r="F1112" s="146"/>
      <c r="H1112" s="126"/>
      <c r="I1112" s="126"/>
    </row>
    <row r="1113">
      <c r="A1113" s="124"/>
      <c r="E1113" s="146"/>
      <c r="F1113" s="146"/>
      <c r="H1113" s="126"/>
      <c r="I1113" s="126"/>
    </row>
    <row r="1114">
      <c r="A1114" s="124"/>
      <c r="E1114" s="146"/>
      <c r="F1114" s="146"/>
      <c r="H1114" s="126"/>
      <c r="I1114" s="126"/>
    </row>
    <row r="1115">
      <c r="A1115" s="124"/>
      <c r="E1115" s="146"/>
      <c r="F1115" s="146"/>
      <c r="H1115" s="126"/>
      <c r="I1115" s="126"/>
    </row>
    <row r="1116">
      <c r="A1116" s="124"/>
      <c r="E1116" s="146"/>
      <c r="F1116" s="146"/>
      <c r="H1116" s="126"/>
      <c r="I1116" s="126"/>
    </row>
    <row r="1117">
      <c r="A1117" s="124"/>
      <c r="E1117" s="146"/>
      <c r="F1117" s="146"/>
      <c r="H1117" s="126"/>
      <c r="I1117" s="126"/>
    </row>
    <row r="1118">
      <c r="A1118" s="124"/>
      <c r="E1118" s="146"/>
      <c r="F1118" s="146"/>
      <c r="H1118" s="126"/>
      <c r="I1118" s="126"/>
    </row>
    <row r="1119">
      <c r="A1119" s="124"/>
      <c r="E1119" s="146"/>
      <c r="F1119" s="146"/>
      <c r="H1119" s="126"/>
      <c r="I1119" s="126"/>
    </row>
    <row r="1120">
      <c r="A1120" s="124"/>
      <c r="E1120" s="146"/>
      <c r="F1120" s="146"/>
      <c r="H1120" s="126"/>
      <c r="I1120" s="126"/>
    </row>
    <row r="1121">
      <c r="A1121" s="124"/>
      <c r="E1121" s="146"/>
      <c r="F1121" s="146"/>
      <c r="H1121" s="126"/>
      <c r="I1121" s="126"/>
    </row>
    <row r="1122">
      <c r="A1122" s="124"/>
      <c r="E1122" s="146"/>
      <c r="F1122" s="146"/>
      <c r="H1122" s="126"/>
      <c r="I1122" s="126"/>
    </row>
    <row r="1123">
      <c r="A1123" s="124"/>
      <c r="E1123" s="146"/>
      <c r="F1123" s="146"/>
      <c r="H1123" s="126"/>
      <c r="I1123" s="126"/>
    </row>
    <row r="1124">
      <c r="A1124" s="124"/>
      <c r="E1124" s="146"/>
      <c r="F1124" s="146"/>
      <c r="H1124" s="126"/>
      <c r="I1124" s="126"/>
    </row>
    <row r="1125">
      <c r="A1125" s="124"/>
      <c r="E1125" s="146"/>
      <c r="F1125" s="146"/>
      <c r="H1125" s="126"/>
      <c r="I1125" s="126"/>
    </row>
    <row r="1126">
      <c r="A1126" s="124"/>
      <c r="E1126" s="146"/>
      <c r="F1126" s="146"/>
      <c r="H1126" s="126"/>
      <c r="I1126" s="126"/>
    </row>
    <row r="1127">
      <c r="A1127" s="124"/>
      <c r="E1127" s="146"/>
      <c r="F1127" s="146"/>
      <c r="H1127" s="126"/>
      <c r="I1127" s="126"/>
    </row>
    <row r="1128">
      <c r="A1128" s="124"/>
      <c r="E1128" s="146"/>
      <c r="F1128" s="146"/>
      <c r="H1128" s="126"/>
      <c r="I1128" s="126"/>
    </row>
    <row r="1129">
      <c r="A1129" s="124"/>
      <c r="E1129" s="146"/>
      <c r="F1129" s="146"/>
      <c r="H1129" s="126"/>
      <c r="I1129" s="126"/>
    </row>
    <row r="1130">
      <c r="A1130" s="124"/>
      <c r="E1130" s="146"/>
      <c r="F1130" s="146"/>
      <c r="H1130" s="126"/>
      <c r="I1130" s="126"/>
    </row>
    <row r="1131">
      <c r="A1131" s="124"/>
      <c r="E1131" s="146"/>
      <c r="F1131" s="146"/>
      <c r="H1131" s="126"/>
      <c r="I1131" s="126"/>
    </row>
    <row r="1132">
      <c r="A1132" s="124"/>
      <c r="E1132" s="146"/>
      <c r="F1132" s="146"/>
      <c r="H1132" s="126"/>
      <c r="I1132" s="126"/>
    </row>
    <row r="1133">
      <c r="A1133" s="124"/>
      <c r="E1133" s="146"/>
      <c r="F1133" s="146"/>
      <c r="H1133" s="126"/>
      <c r="I1133" s="126"/>
    </row>
    <row r="1134">
      <c r="A1134" s="124"/>
      <c r="E1134" s="146"/>
      <c r="F1134" s="146"/>
      <c r="H1134" s="126"/>
      <c r="I1134" s="126"/>
    </row>
    <row r="1135">
      <c r="A1135" s="124"/>
      <c r="E1135" s="146"/>
      <c r="F1135" s="146"/>
      <c r="H1135" s="126"/>
      <c r="I1135" s="126"/>
    </row>
    <row r="1136">
      <c r="A1136" s="124"/>
      <c r="E1136" s="146"/>
      <c r="F1136" s="146"/>
      <c r="H1136" s="126"/>
      <c r="I1136" s="126"/>
    </row>
    <row r="1137">
      <c r="A1137" s="124"/>
      <c r="E1137" s="146"/>
      <c r="F1137" s="146"/>
      <c r="H1137" s="126"/>
      <c r="I1137" s="126"/>
    </row>
    <row r="1138">
      <c r="A1138" s="124"/>
      <c r="E1138" s="146"/>
      <c r="F1138" s="146"/>
      <c r="H1138" s="126"/>
      <c r="I1138" s="126"/>
    </row>
    <row r="1139">
      <c r="A1139" s="124"/>
      <c r="E1139" s="146"/>
      <c r="F1139" s="146"/>
      <c r="H1139" s="126"/>
      <c r="I1139" s="126"/>
    </row>
    <row r="1140">
      <c r="A1140" s="124"/>
      <c r="E1140" s="146"/>
      <c r="F1140" s="146"/>
      <c r="H1140" s="126"/>
      <c r="I1140" s="126"/>
    </row>
    <row r="1141">
      <c r="A1141" s="124"/>
      <c r="E1141" s="146"/>
      <c r="F1141" s="146"/>
      <c r="H1141" s="126"/>
      <c r="I1141" s="126"/>
    </row>
    <row r="1142">
      <c r="A1142" s="124"/>
      <c r="E1142" s="146"/>
      <c r="F1142" s="146"/>
      <c r="H1142" s="126"/>
      <c r="I1142" s="126"/>
    </row>
    <row r="1143">
      <c r="A1143" s="124"/>
      <c r="E1143" s="146"/>
      <c r="F1143" s="146"/>
      <c r="H1143" s="126"/>
      <c r="I1143" s="126"/>
    </row>
    <row r="1144">
      <c r="A1144" s="124"/>
      <c r="E1144" s="146"/>
      <c r="F1144" s="146"/>
      <c r="H1144" s="126"/>
      <c r="I1144" s="126"/>
    </row>
    <row r="1145">
      <c r="A1145" s="124"/>
      <c r="E1145" s="146"/>
      <c r="F1145" s="146"/>
      <c r="H1145" s="126"/>
      <c r="I1145" s="126"/>
    </row>
    <row r="1146">
      <c r="A1146" s="124"/>
      <c r="E1146" s="146"/>
      <c r="F1146" s="146"/>
      <c r="H1146" s="126"/>
      <c r="I1146" s="126"/>
    </row>
    <row r="1147">
      <c r="A1147" s="124"/>
      <c r="E1147" s="146"/>
      <c r="F1147" s="146"/>
      <c r="H1147" s="126"/>
      <c r="I1147" s="126"/>
    </row>
    <row r="1148">
      <c r="A1148" s="124"/>
      <c r="E1148" s="146"/>
      <c r="F1148" s="146"/>
      <c r="H1148" s="126"/>
      <c r="I1148" s="126"/>
    </row>
    <row r="1149">
      <c r="A1149" s="124"/>
      <c r="E1149" s="146"/>
      <c r="F1149" s="146"/>
      <c r="H1149" s="126"/>
      <c r="I1149" s="126"/>
    </row>
    <row r="1150">
      <c r="A1150" s="124"/>
      <c r="E1150" s="146"/>
      <c r="F1150" s="146"/>
      <c r="H1150" s="126"/>
      <c r="I1150" s="126"/>
    </row>
    <row r="1151">
      <c r="A1151" s="124"/>
      <c r="E1151" s="146"/>
      <c r="F1151" s="146"/>
      <c r="H1151" s="126"/>
      <c r="I1151" s="126"/>
    </row>
    <row r="1152">
      <c r="A1152" s="124"/>
      <c r="E1152" s="146"/>
      <c r="F1152" s="146"/>
      <c r="H1152" s="126"/>
      <c r="I1152" s="126"/>
    </row>
    <row r="1153">
      <c r="A1153" s="124"/>
      <c r="E1153" s="146"/>
      <c r="F1153" s="146"/>
      <c r="H1153" s="126"/>
      <c r="I1153" s="126"/>
    </row>
    <row r="1154">
      <c r="A1154" s="124"/>
      <c r="E1154" s="146"/>
      <c r="F1154" s="146"/>
      <c r="H1154" s="126"/>
      <c r="I1154" s="126"/>
    </row>
    <row r="1155">
      <c r="A1155" s="124"/>
      <c r="E1155" s="146"/>
      <c r="F1155" s="146"/>
      <c r="H1155" s="126"/>
      <c r="I1155" s="126"/>
    </row>
    <row r="1156">
      <c r="A1156" s="124"/>
      <c r="E1156" s="146"/>
      <c r="F1156" s="146"/>
      <c r="H1156" s="126"/>
      <c r="I1156" s="126"/>
    </row>
    <row r="1157">
      <c r="A1157" s="124"/>
      <c r="E1157" s="146"/>
      <c r="F1157" s="146"/>
      <c r="H1157" s="126"/>
      <c r="I1157" s="126"/>
    </row>
    <row r="1158">
      <c r="A1158" s="124"/>
      <c r="E1158" s="146"/>
      <c r="F1158" s="146"/>
      <c r="H1158" s="126"/>
      <c r="I1158" s="126"/>
    </row>
    <row r="1159">
      <c r="A1159" s="124"/>
      <c r="E1159" s="146"/>
      <c r="F1159" s="146"/>
      <c r="H1159" s="126"/>
      <c r="I1159" s="126"/>
    </row>
    <row r="1160">
      <c r="A1160" s="124"/>
      <c r="E1160" s="146"/>
      <c r="F1160" s="146"/>
      <c r="H1160" s="126"/>
      <c r="I1160" s="126"/>
    </row>
    <row r="1161">
      <c r="A1161" s="124"/>
      <c r="E1161" s="146"/>
      <c r="F1161" s="146"/>
      <c r="H1161" s="126"/>
      <c r="I1161" s="126"/>
    </row>
    <row r="1162">
      <c r="A1162" s="124"/>
      <c r="E1162" s="146"/>
      <c r="F1162" s="146"/>
      <c r="H1162" s="126"/>
      <c r="I1162" s="126"/>
    </row>
    <row r="1163">
      <c r="A1163" s="124"/>
      <c r="E1163" s="146"/>
      <c r="F1163" s="146"/>
      <c r="H1163" s="126"/>
      <c r="I1163" s="126"/>
    </row>
    <row r="1164">
      <c r="A1164" s="124"/>
      <c r="E1164" s="146"/>
      <c r="F1164" s="146"/>
      <c r="H1164" s="126"/>
      <c r="I1164" s="126"/>
    </row>
    <row r="1165">
      <c r="A1165" s="124"/>
      <c r="E1165" s="146"/>
      <c r="F1165" s="146"/>
      <c r="H1165" s="126"/>
      <c r="I1165" s="126"/>
    </row>
    <row r="1166">
      <c r="A1166" s="124"/>
      <c r="E1166" s="146"/>
      <c r="F1166" s="146"/>
      <c r="H1166" s="126"/>
      <c r="I1166" s="126"/>
    </row>
    <row r="1167">
      <c r="A1167" s="124"/>
      <c r="E1167" s="146"/>
      <c r="F1167" s="146"/>
      <c r="H1167" s="126"/>
      <c r="I1167" s="126"/>
    </row>
    <row r="1168">
      <c r="A1168" s="124"/>
      <c r="E1168" s="146"/>
      <c r="F1168" s="146"/>
      <c r="H1168" s="126"/>
      <c r="I1168" s="126"/>
    </row>
    <row r="1169">
      <c r="A1169" s="124"/>
      <c r="E1169" s="146"/>
      <c r="F1169" s="146"/>
      <c r="H1169" s="126"/>
      <c r="I1169" s="126"/>
    </row>
    <row r="1170">
      <c r="A1170" s="124"/>
      <c r="E1170" s="146"/>
      <c r="F1170" s="146"/>
      <c r="H1170" s="126"/>
      <c r="I1170" s="126"/>
    </row>
    <row r="1171">
      <c r="A1171" s="124"/>
      <c r="E1171" s="146"/>
      <c r="F1171" s="146"/>
      <c r="H1171" s="126"/>
      <c r="I1171" s="126"/>
    </row>
    <row r="1172">
      <c r="A1172" s="124"/>
      <c r="E1172" s="146"/>
      <c r="F1172" s="146"/>
      <c r="H1172" s="126"/>
      <c r="I1172" s="126"/>
    </row>
    <row r="1173">
      <c r="A1173" s="124"/>
      <c r="E1173" s="146"/>
      <c r="F1173" s="146"/>
      <c r="H1173" s="126"/>
      <c r="I1173" s="126"/>
    </row>
    <row r="1174">
      <c r="A1174" s="124"/>
      <c r="E1174" s="146"/>
      <c r="F1174" s="146"/>
      <c r="H1174" s="126"/>
      <c r="I1174" s="126"/>
    </row>
    <row r="1175">
      <c r="A1175" s="124"/>
      <c r="E1175" s="146"/>
      <c r="F1175" s="146"/>
      <c r="H1175" s="126"/>
      <c r="I1175" s="126"/>
    </row>
    <row r="1176">
      <c r="A1176" s="124"/>
      <c r="E1176" s="146"/>
      <c r="F1176" s="146"/>
      <c r="H1176" s="126"/>
      <c r="I1176" s="126"/>
    </row>
    <row r="1177">
      <c r="A1177" s="124"/>
      <c r="E1177" s="146"/>
      <c r="F1177" s="146"/>
      <c r="H1177" s="126"/>
      <c r="I1177" s="126"/>
    </row>
    <row r="1178">
      <c r="A1178" s="124"/>
      <c r="E1178" s="146"/>
      <c r="F1178" s="146"/>
      <c r="H1178" s="126"/>
      <c r="I1178" s="126"/>
    </row>
    <row r="1179">
      <c r="A1179" s="124"/>
      <c r="E1179" s="146"/>
      <c r="F1179" s="146"/>
      <c r="H1179" s="126"/>
      <c r="I1179" s="126"/>
    </row>
    <row r="1180">
      <c r="A1180" s="124"/>
      <c r="E1180" s="146"/>
      <c r="F1180" s="146"/>
      <c r="H1180" s="126"/>
      <c r="I1180" s="126"/>
    </row>
    <row r="1181">
      <c r="A1181" s="124"/>
      <c r="E1181" s="146"/>
      <c r="F1181" s="146"/>
      <c r="H1181" s="126"/>
      <c r="I1181" s="126"/>
    </row>
    <row r="1182">
      <c r="A1182" s="124"/>
      <c r="E1182" s="146"/>
      <c r="F1182" s="146"/>
      <c r="H1182" s="126"/>
      <c r="I1182" s="126"/>
    </row>
    <row r="1183">
      <c r="A1183" s="124"/>
      <c r="E1183" s="146"/>
      <c r="F1183" s="146"/>
      <c r="H1183" s="126"/>
      <c r="I1183" s="126"/>
    </row>
    <row r="1184">
      <c r="A1184" s="124"/>
      <c r="E1184" s="146"/>
      <c r="F1184" s="146"/>
      <c r="H1184" s="126"/>
      <c r="I1184" s="126"/>
    </row>
    <row r="1185">
      <c r="A1185" s="124"/>
      <c r="E1185" s="146"/>
      <c r="F1185" s="146"/>
      <c r="H1185" s="126"/>
      <c r="I1185" s="126"/>
    </row>
    <row r="1186">
      <c r="A1186" s="124"/>
      <c r="E1186" s="146"/>
      <c r="F1186" s="146"/>
      <c r="H1186" s="126"/>
      <c r="I1186" s="126"/>
    </row>
    <row r="1187">
      <c r="A1187" s="124"/>
      <c r="E1187" s="146"/>
      <c r="F1187" s="146"/>
      <c r="H1187" s="126"/>
      <c r="I1187" s="126"/>
    </row>
    <row r="1188">
      <c r="A1188" s="124"/>
      <c r="E1188" s="146"/>
      <c r="F1188" s="146"/>
      <c r="H1188" s="126"/>
      <c r="I1188" s="126"/>
    </row>
    <row r="1189">
      <c r="A1189" s="124"/>
      <c r="E1189" s="146"/>
      <c r="F1189" s="146"/>
      <c r="H1189" s="126"/>
      <c r="I1189" s="126"/>
    </row>
    <row r="1190">
      <c r="A1190" s="124"/>
      <c r="E1190" s="146"/>
      <c r="F1190" s="146"/>
      <c r="H1190" s="126"/>
      <c r="I1190" s="126"/>
    </row>
    <row r="1191">
      <c r="A1191" s="124"/>
      <c r="E1191" s="146"/>
      <c r="F1191" s="146"/>
      <c r="H1191" s="126"/>
      <c r="I1191" s="126"/>
    </row>
    <row r="1192">
      <c r="A1192" s="124"/>
      <c r="E1192" s="146"/>
      <c r="F1192" s="146"/>
      <c r="H1192" s="126"/>
      <c r="I1192" s="126"/>
    </row>
    <row r="1193">
      <c r="A1193" s="124"/>
      <c r="E1193" s="146"/>
      <c r="F1193" s="146"/>
      <c r="H1193" s="126"/>
      <c r="I1193" s="126"/>
    </row>
    <row r="1194">
      <c r="A1194" s="124"/>
      <c r="E1194" s="146"/>
      <c r="F1194" s="146"/>
      <c r="H1194" s="126"/>
      <c r="I1194" s="126"/>
    </row>
    <row r="1195">
      <c r="A1195" s="124"/>
      <c r="E1195" s="146"/>
      <c r="F1195" s="146"/>
      <c r="H1195" s="126"/>
      <c r="I1195" s="126"/>
    </row>
    <row r="1196">
      <c r="A1196" s="124"/>
      <c r="E1196" s="146"/>
      <c r="F1196" s="146"/>
      <c r="H1196" s="126"/>
      <c r="I1196" s="126"/>
    </row>
    <row r="1197">
      <c r="A1197" s="124"/>
      <c r="E1197" s="146"/>
      <c r="F1197" s="146"/>
      <c r="H1197" s="126"/>
      <c r="I1197" s="126"/>
    </row>
    <row r="1198">
      <c r="A1198" s="124"/>
      <c r="E1198" s="146"/>
      <c r="F1198" s="146"/>
      <c r="H1198" s="126"/>
      <c r="I1198" s="126"/>
    </row>
    <row r="1199">
      <c r="A1199" s="124"/>
      <c r="E1199" s="146"/>
      <c r="F1199" s="146"/>
      <c r="H1199" s="126"/>
      <c r="I1199" s="126"/>
    </row>
    <row r="1200">
      <c r="A1200" s="124"/>
      <c r="E1200" s="146"/>
      <c r="F1200" s="146"/>
      <c r="H1200" s="126"/>
      <c r="I1200" s="126"/>
    </row>
    <row r="1201">
      <c r="A1201" s="124"/>
      <c r="E1201" s="146"/>
      <c r="F1201" s="146"/>
      <c r="H1201" s="126"/>
      <c r="I1201" s="126"/>
    </row>
    <row r="1202">
      <c r="A1202" s="124"/>
      <c r="E1202" s="146"/>
      <c r="F1202" s="146"/>
      <c r="H1202" s="126"/>
      <c r="I1202" s="126"/>
    </row>
    <row r="1203">
      <c r="A1203" s="124"/>
      <c r="E1203" s="146"/>
      <c r="F1203" s="146"/>
      <c r="H1203" s="126"/>
      <c r="I1203" s="126"/>
    </row>
    <row r="1204">
      <c r="A1204" s="124"/>
      <c r="E1204" s="146"/>
      <c r="F1204" s="146"/>
      <c r="H1204" s="126"/>
      <c r="I1204" s="126"/>
    </row>
    <row r="1205">
      <c r="A1205" s="124"/>
      <c r="E1205" s="146"/>
      <c r="F1205" s="146"/>
      <c r="H1205" s="126"/>
      <c r="I1205" s="126"/>
    </row>
    <row r="1206">
      <c r="A1206" s="124"/>
      <c r="E1206" s="146"/>
      <c r="F1206" s="146"/>
      <c r="H1206" s="126"/>
      <c r="I1206" s="126"/>
    </row>
    <row r="1207">
      <c r="A1207" s="124"/>
      <c r="E1207" s="146"/>
      <c r="F1207" s="146"/>
      <c r="H1207" s="126"/>
      <c r="I1207" s="126"/>
    </row>
    <row r="1208">
      <c r="A1208" s="124"/>
      <c r="E1208" s="146"/>
      <c r="F1208" s="146"/>
      <c r="H1208" s="126"/>
      <c r="I1208" s="126"/>
    </row>
    <row r="1209">
      <c r="A1209" s="124"/>
      <c r="E1209" s="146"/>
      <c r="F1209" s="146"/>
      <c r="H1209" s="126"/>
      <c r="I1209" s="126"/>
    </row>
    <row r="1210">
      <c r="A1210" s="124"/>
      <c r="E1210" s="146"/>
      <c r="F1210" s="146"/>
      <c r="H1210" s="126"/>
      <c r="I1210" s="126"/>
    </row>
    <row r="1211">
      <c r="A1211" s="124"/>
      <c r="E1211" s="146"/>
      <c r="F1211" s="146"/>
      <c r="H1211" s="126"/>
      <c r="I1211" s="126"/>
    </row>
    <row r="1212">
      <c r="A1212" s="124"/>
      <c r="E1212" s="146"/>
      <c r="F1212" s="146"/>
      <c r="H1212" s="126"/>
      <c r="I1212" s="126"/>
    </row>
    <row r="1213">
      <c r="A1213" s="124"/>
      <c r="E1213" s="146"/>
      <c r="F1213" s="146"/>
      <c r="H1213" s="126"/>
      <c r="I1213" s="126"/>
    </row>
    <row r="1214">
      <c r="A1214" s="124"/>
      <c r="E1214" s="146"/>
      <c r="F1214" s="146"/>
      <c r="H1214" s="126"/>
      <c r="I1214" s="126"/>
    </row>
    <row r="1215">
      <c r="A1215" s="124"/>
      <c r="E1215" s="146"/>
      <c r="F1215" s="146"/>
      <c r="H1215" s="126"/>
      <c r="I1215" s="126"/>
    </row>
    <row r="1216">
      <c r="A1216" s="124"/>
      <c r="E1216" s="146"/>
      <c r="F1216" s="146"/>
      <c r="H1216" s="126"/>
      <c r="I1216" s="126"/>
    </row>
    <row r="1217">
      <c r="A1217" s="124"/>
      <c r="E1217" s="146"/>
      <c r="F1217" s="146"/>
      <c r="H1217" s="126"/>
      <c r="I1217" s="126"/>
    </row>
    <row r="1218">
      <c r="A1218" s="124"/>
      <c r="E1218" s="146"/>
      <c r="F1218" s="146"/>
      <c r="H1218" s="126"/>
      <c r="I1218" s="126"/>
    </row>
    <row r="1219">
      <c r="A1219" s="124"/>
      <c r="E1219" s="146"/>
      <c r="F1219" s="146"/>
      <c r="H1219" s="126"/>
      <c r="I1219" s="126"/>
    </row>
    <row r="1220">
      <c r="A1220" s="124"/>
      <c r="E1220" s="146"/>
      <c r="F1220" s="146"/>
      <c r="H1220" s="126"/>
      <c r="I1220" s="126"/>
    </row>
    <row r="1221">
      <c r="A1221" s="124"/>
      <c r="E1221" s="146"/>
      <c r="F1221" s="146"/>
      <c r="H1221" s="126"/>
      <c r="I1221" s="126"/>
    </row>
    <row r="1222">
      <c r="A1222" s="124"/>
      <c r="E1222" s="146"/>
      <c r="F1222" s="146"/>
      <c r="H1222" s="126"/>
      <c r="I1222" s="126"/>
    </row>
    <row r="1223">
      <c r="A1223" s="124"/>
      <c r="E1223" s="146"/>
      <c r="F1223" s="146"/>
      <c r="H1223" s="126"/>
      <c r="I1223" s="126"/>
    </row>
    <row r="1224">
      <c r="A1224" s="124"/>
      <c r="E1224" s="146"/>
      <c r="F1224" s="146"/>
      <c r="H1224" s="126"/>
      <c r="I1224" s="126"/>
    </row>
    <row r="1225">
      <c r="A1225" s="124"/>
      <c r="E1225" s="146"/>
      <c r="F1225" s="146"/>
      <c r="H1225" s="126"/>
      <c r="I1225" s="126"/>
    </row>
    <row r="1226">
      <c r="A1226" s="124"/>
      <c r="E1226" s="146"/>
      <c r="F1226" s="146"/>
      <c r="H1226" s="126"/>
      <c r="I1226" s="126"/>
    </row>
    <row r="1227">
      <c r="A1227" s="124"/>
      <c r="E1227" s="146"/>
      <c r="F1227" s="146"/>
      <c r="H1227" s="126"/>
      <c r="I1227" s="126"/>
    </row>
    <row r="1228">
      <c r="A1228" s="124"/>
      <c r="E1228" s="146"/>
      <c r="F1228" s="146"/>
      <c r="H1228" s="126"/>
      <c r="I1228" s="126"/>
    </row>
    <row r="1229">
      <c r="A1229" s="124"/>
      <c r="E1229" s="146"/>
      <c r="F1229" s="146"/>
      <c r="H1229" s="126"/>
      <c r="I1229" s="126"/>
    </row>
    <row r="1230">
      <c r="A1230" s="124"/>
      <c r="E1230" s="146"/>
      <c r="F1230" s="146"/>
      <c r="H1230" s="126"/>
      <c r="I1230" s="126"/>
    </row>
    <row r="1231">
      <c r="A1231" s="124"/>
      <c r="E1231" s="146"/>
      <c r="F1231" s="146"/>
      <c r="H1231" s="126"/>
      <c r="I1231" s="126"/>
    </row>
    <row r="1232">
      <c r="A1232" s="124"/>
      <c r="E1232" s="146"/>
      <c r="F1232" s="146"/>
      <c r="H1232" s="126"/>
      <c r="I1232" s="126"/>
    </row>
    <row r="1233">
      <c r="A1233" s="124"/>
      <c r="E1233" s="146"/>
      <c r="F1233" s="146"/>
      <c r="H1233" s="126"/>
      <c r="I1233" s="126"/>
    </row>
    <row r="1234">
      <c r="A1234" s="124"/>
      <c r="E1234" s="146"/>
      <c r="F1234" s="146"/>
      <c r="H1234" s="126"/>
      <c r="I1234" s="126"/>
    </row>
    <row r="1235">
      <c r="A1235" s="124"/>
      <c r="E1235" s="146"/>
      <c r="F1235" s="146"/>
      <c r="H1235" s="126"/>
      <c r="I1235" s="126"/>
    </row>
    <row r="1236">
      <c r="A1236" s="124"/>
      <c r="E1236" s="146"/>
      <c r="F1236" s="146"/>
      <c r="H1236" s="126"/>
      <c r="I1236" s="126"/>
    </row>
    <row r="1237">
      <c r="A1237" s="124"/>
      <c r="E1237" s="146"/>
      <c r="F1237" s="146"/>
      <c r="H1237" s="126"/>
      <c r="I1237" s="126"/>
    </row>
    <row r="1238">
      <c r="A1238" s="124"/>
      <c r="E1238" s="146"/>
      <c r="F1238" s="146"/>
      <c r="H1238" s="126"/>
      <c r="I1238" s="126"/>
    </row>
    <row r="1239">
      <c r="A1239" s="124"/>
      <c r="E1239" s="146"/>
      <c r="F1239" s="146"/>
      <c r="H1239" s="126"/>
      <c r="I1239" s="126"/>
    </row>
    <row r="1240">
      <c r="A1240" s="124"/>
      <c r="E1240" s="146"/>
      <c r="F1240" s="146"/>
      <c r="H1240" s="126"/>
      <c r="I1240" s="126"/>
    </row>
    <row r="1241">
      <c r="A1241" s="124"/>
      <c r="E1241" s="146"/>
      <c r="F1241" s="146"/>
      <c r="H1241" s="126"/>
      <c r="I1241" s="126"/>
    </row>
    <row r="1242">
      <c r="A1242" s="124"/>
      <c r="E1242" s="146"/>
      <c r="F1242" s="146"/>
      <c r="H1242" s="126"/>
      <c r="I1242" s="126"/>
    </row>
    <row r="1243">
      <c r="A1243" s="124"/>
      <c r="E1243" s="146"/>
      <c r="F1243" s="146"/>
      <c r="H1243" s="126"/>
      <c r="I1243" s="126"/>
    </row>
    <row r="1244">
      <c r="A1244" s="124"/>
      <c r="E1244" s="146"/>
      <c r="F1244" s="146"/>
      <c r="H1244" s="126"/>
      <c r="I1244" s="126"/>
    </row>
    <row r="1245">
      <c r="A1245" s="124"/>
      <c r="E1245" s="146"/>
      <c r="F1245" s="146"/>
      <c r="H1245" s="126"/>
      <c r="I1245" s="126"/>
    </row>
    <row r="1246">
      <c r="A1246" s="124"/>
      <c r="E1246" s="146"/>
      <c r="F1246" s="146"/>
      <c r="H1246" s="126"/>
      <c r="I1246" s="126"/>
    </row>
    <row r="1247">
      <c r="A1247" s="124"/>
      <c r="E1247" s="146"/>
      <c r="F1247" s="146"/>
      <c r="H1247" s="126"/>
      <c r="I1247" s="126"/>
    </row>
    <row r="1248">
      <c r="A1248" s="124"/>
      <c r="E1248" s="146"/>
      <c r="F1248" s="146"/>
      <c r="H1248" s="126"/>
      <c r="I1248" s="126"/>
    </row>
    <row r="1249">
      <c r="A1249" s="124"/>
      <c r="E1249" s="146"/>
      <c r="F1249" s="146"/>
      <c r="H1249" s="126"/>
      <c r="I1249" s="126"/>
    </row>
    <row r="1250">
      <c r="A1250" s="124"/>
      <c r="E1250" s="146"/>
      <c r="F1250" s="146"/>
      <c r="H1250" s="126"/>
      <c r="I1250" s="126"/>
    </row>
    <row r="1251">
      <c r="A1251" s="124"/>
      <c r="E1251" s="146"/>
      <c r="F1251" s="146"/>
      <c r="H1251" s="126"/>
      <c r="I1251" s="126"/>
    </row>
    <row r="1252">
      <c r="A1252" s="124"/>
      <c r="E1252" s="146"/>
      <c r="F1252" s="146"/>
      <c r="H1252" s="126"/>
      <c r="I1252" s="126"/>
    </row>
    <row r="1253">
      <c r="A1253" s="124"/>
      <c r="E1253" s="146"/>
      <c r="F1253" s="146"/>
      <c r="H1253" s="126"/>
      <c r="I1253" s="126"/>
    </row>
    <row r="1254">
      <c r="A1254" s="124"/>
      <c r="E1254" s="146"/>
      <c r="F1254" s="146"/>
      <c r="H1254" s="126"/>
      <c r="I1254" s="126"/>
    </row>
    <row r="1255">
      <c r="A1255" s="124"/>
      <c r="E1255" s="146"/>
      <c r="F1255" s="146"/>
      <c r="H1255" s="126"/>
      <c r="I1255" s="126"/>
    </row>
    <row r="1256">
      <c r="A1256" s="124"/>
      <c r="E1256" s="146"/>
      <c r="F1256" s="146"/>
      <c r="H1256" s="126"/>
      <c r="I1256" s="126"/>
    </row>
    <row r="1257">
      <c r="A1257" s="124"/>
      <c r="E1257" s="146"/>
      <c r="F1257" s="146"/>
      <c r="H1257" s="126"/>
      <c r="I1257" s="126"/>
    </row>
    <row r="1258">
      <c r="A1258" s="124"/>
      <c r="E1258" s="146"/>
      <c r="F1258" s="146"/>
      <c r="H1258" s="126"/>
      <c r="I1258" s="126"/>
    </row>
    <row r="1259">
      <c r="A1259" s="124"/>
      <c r="E1259" s="146"/>
      <c r="F1259" s="146"/>
      <c r="H1259" s="126"/>
      <c r="I1259" s="126"/>
    </row>
    <row r="1260">
      <c r="A1260" s="124"/>
      <c r="E1260" s="146"/>
      <c r="F1260" s="146"/>
      <c r="H1260" s="126"/>
      <c r="I1260" s="126"/>
    </row>
    <row r="1261">
      <c r="A1261" s="124"/>
      <c r="E1261" s="146"/>
      <c r="F1261" s="146"/>
      <c r="H1261" s="126"/>
      <c r="I1261" s="126"/>
    </row>
    <row r="1262">
      <c r="A1262" s="124"/>
      <c r="E1262" s="146"/>
      <c r="F1262" s="146"/>
      <c r="H1262" s="126"/>
      <c r="I1262" s="126"/>
    </row>
    <row r="1263">
      <c r="A1263" s="124"/>
      <c r="E1263" s="146"/>
      <c r="F1263" s="146"/>
      <c r="H1263" s="126"/>
      <c r="I1263" s="126"/>
    </row>
    <row r="1264">
      <c r="A1264" s="124"/>
      <c r="E1264" s="146"/>
      <c r="F1264" s="146"/>
      <c r="H1264" s="126"/>
      <c r="I1264" s="126"/>
    </row>
    <row r="1265">
      <c r="A1265" s="124"/>
      <c r="E1265" s="146"/>
      <c r="F1265" s="146"/>
      <c r="H1265" s="126"/>
      <c r="I1265" s="126"/>
    </row>
    <row r="1266">
      <c r="A1266" s="124"/>
      <c r="E1266" s="146"/>
      <c r="F1266" s="146"/>
      <c r="H1266" s="126"/>
      <c r="I1266" s="126"/>
    </row>
    <row r="1267">
      <c r="A1267" s="124"/>
      <c r="E1267" s="146"/>
      <c r="F1267" s="146"/>
      <c r="H1267" s="126"/>
      <c r="I1267" s="126"/>
    </row>
    <row r="1268">
      <c r="A1268" s="124"/>
      <c r="E1268" s="146"/>
      <c r="F1268" s="146"/>
      <c r="H1268" s="126"/>
      <c r="I1268" s="126"/>
    </row>
    <row r="1269">
      <c r="A1269" s="124"/>
      <c r="E1269" s="146"/>
      <c r="F1269" s="146"/>
      <c r="H1269" s="126"/>
      <c r="I1269" s="126"/>
    </row>
    <row r="1270">
      <c r="A1270" s="124"/>
      <c r="E1270" s="146"/>
      <c r="F1270" s="146"/>
      <c r="H1270" s="126"/>
      <c r="I1270" s="126"/>
    </row>
    <row r="1271">
      <c r="A1271" s="124"/>
      <c r="E1271" s="146"/>
      <c r="F1271" s="146"/>
      <c r="H1271" s="126"/>
      <c r="I1271" s="126"/>
    </row>
    <row r="1272">
      <c r="A1272" s="124"/>
      <c r="E1272" s="146"/>
      <c r="F1272" s="146"/>
      <c r="H1272" s="126"/>
      <c r="I1272" s="126"/>
    </row>
    <row r="1273">
      <c r="A1273" s="124"/>
      <c r="E1273" s="146"/>
      <c r="F1273" s="146"/>
      <c r="H1273" s="126"/>
      <c r="I1273" s="126"/>
    </row>
    <row r="1274">
      <c r="A1274" s="124"/>
      <c r="E1274" s="146"/>
      <c r="F1274" s="146"/>
      <c r="H1274" s="126"/>
      <c r="I1274" s="126"/>
    </row>
    <row r="1275">
      <c r="A1275" s="124"/>
      <c r="E1275" s="146"/>
      <c r="F1275" s="146"/>
      <c r="H1275" s="126"/>
      <c r="I1275" s="126"/>
    </row>
    <row r="1276">
      <c r="A1276" s="124"/>
      <c r="E1276" s="146"/>
      <c r="F1276" s="146"/>
      <c r="H1276" s="126"/>
      <c r="I1276" s="126"/>
    </row>
    <row r="1277">
      <c r="A1277" s="124"/>
      <c r="E1277" s="146"/>
      <c r="F1277" s="146"/>
      <c r="H1277" s="126"/>
      <c r="I1277" s="126"/>
    </row>
    <row r="1278">
      <c r="A1278" s="124"/>
      <c r="E1278" s="146"/>
      <c r="F1278" s="146"/>
      <c r="H1278" s="126"/>
      <c r="I1278" s="126"/>
    </row>
    <row r="1279">
      <c r="A1279" s="124"/>
      <c r="E1279" s="146"/>
      <c r="F1279" s="146"/>
      <c r="H1279" s="126"/>
      <c r="I1279" s="126"/>
    </row>
    <row r="1280">
      <c r="A1280" s="124"/>
      <c r="E1280" s="146"/>
      <c r="F1280" s="146"/>
      <c r="H1280" s="126"/>
      <c r="I1280" s="126"/>
    </row>
    <row r="1281">
      <c r="A1281" s="124"/>
      <c r="E1281" s="146"/>
      <c r="F1281" s="146"/>
      <c r="H1281" s="126"/>
      <c r="I1281" s="126"/>
    </row>
    <row r="1282">
      <c r="A1282" s="124"/>
      <c r="E1282" s="146"/>
      <c r="F1282" s="146"/>
      <c r="H1282" s="126"/>
      <c r="I1282" s="126"/>
    </row>
    <row r="1283">
      <c r="A1283" s="124"/>
      <c r="E1283" s="146"/>
      <c r="F1283" s="146"/>
      <c r="H1283" s="126"/>
      <c r="I1283" s="126"/>
    </row>
    <row r="1284">
      <c r="A1284" s="124"/>
      <c r="E1284" s="146"/>
      <c r="F1284" s="146"/>
      <c r="H1284" s="126"/>
      <c r="I1284" s="126"/>
    </row>
    <row r="1285">
      <c r="A1285" s="124"/>
      <c r="E1285" s="146"/>
      <c r="F1285" s="146"/>
      <c r="H1285" s="126"/>
      <c r="I1285" s="126"/>
    </row>
    <row r="1286">
      <c r="A1286" s="124"/>
      <c r="E1286" s="146"/>
      <c r="F1286" s="146"/>
      <c r="H1286" s="126"/>
      <c r="I1286" s="126"/>
    </row>
    <row r="1287">
      <c r="A1287" s="124"/>
      <c r="E1287" s="146"/>
      <c r="F1287" s="146"/>
      <c r="H1287" s="126"/>
      <c r="I1287" s="126"/>
    </row>
    <row r="1288">
      <c r="A1288" s="124"/>
      <c r="E1288" s="146"/>
      <c r="F1288" s="146"/>
      <c r="H1288" s="126"/>
      <c r="I1288" s="126"/>
    </row>
    <row r="1289">
      <c r="A1289" s="124"/>
      <c r="E1289" s="146"/>
      <c r="F1289" s="146"/>
      <c r="H1289" s="126"/>
      <c r="I1289" s="126"/>
    </row>
    <row r="1290">
      <c r="A1290" s="124"/>
      <c r="E1290" s="146"/>
      <c r="F1290" s="146"/>
      <c r="H1290" s="126"/>
      <c r="I1290" s="126"/>
    </row>
    <row r="1291">
      <c r="A1291" s="124"/>
      <c r="E1291" s="146"/>
      <c r="F1291" s="146"/>
      <c r="H1291" s="126"/>
      <c r="I1291" s="126"/>
    </row>
    <row r="1292">
      <c r="A1292" s="124"/>
      <c r="E1292" s="146"/>
      <c r="F1292" s="146"/>
      <c r="H1292" s="126"/>
      <c r="I1292" s="126"/>
    </row>
    <row r="1293">
      <c r="A1293" s="124"/>
      <c r="E1293" s="147"/>
      <c r="F1293" s="147"/>
      <c r="H1293" s="126"/>
      <c r="I1293" s="126"/>
    </row>
    <row r="1294">
      <c r="A1294" s="124"/>
      <c r="E1294" s="147"/>
      <c r="F1294" s="147"/>
      <c r="H1294" s="126"/>
      <c r="I1294" s="126"/>
    </row>
    <row r="1295">
      <c r="A1295" s="124"/>
      <c r="E1295" s="147"/>
      <c r="F1295" s="147"/>
      <c r="H1295" s="126"/>
      <c r="I1295" s="126"/>
    </row>
    <row r="1296">
      <c r="A1296" s="124"/>
      <c r="E1296" s="147"/>
      <c r="F1296" s="147"/>
      <c r="H1296" s="126"/>
      <c r="I1296" s="126"/>
    </row>
    <row r="1297">
      <c r="A1297" s="124"/>
      <c r="E1297" s="147"/>
      <c r="F1297" s="147"/>
      <c r="H1297" s="126"/>
      <c r="I1297" s="126"/>
    </row>
    <row r="1298">
      <c r="A1298" s="124"/>
      <c r="E1298" s="147"/>
      <c r="F1298" s="147"/>
      <c r="H1298" s="126"/>
      <c r="I1298" s="126"/>
    </row>
    <row r="1299">
      <c r="A1299" s="124"/>
      <c r="E1299" s="147"/>
      <c r="F1299" s="147"/>
      <c r="H1299" s="126"/>
      <c r="I1299" s="126"/>
    </row>
    <row r="1300">
      <c r="A1300" s="124"/>
      <c r="E1300" s="147"/>
      <c r="F1300" s="147"/>
      <c r="H1300" s="126"/>
      <c r="I1300" s="126"/>
    </row>
    <row r="1301">
      <c r="A1301" s="124"/>
      <c r="E1301" s="147"/>
      <c r="F1301" s="147"/>
      <c r="H1301" s="126"/>
      <c r="I1301" s="126"/>
    </row>
    <row r="1302">
      <c r="A1302" s="124"/>
      <c r="E1302" s="147"/>
      <c r="F1302" s="147"/>
      <c r="H1302" s="126"/>
      <c r="I1302" s="126"/>
    </row>
    <row r="1303">
      <c r="A1303" s="124"/>
      <c r="E1303" s="147"/>
      <c r="F1303" s="147"/>
      <c r="H1303" s="126"/>
      <c r="I1303" s="126"/>
    </row>
    <row r="1304">
      <c r="A1304" s="124"/>
      <c r="E1304" s="147"/>
      <c r="F1304" s="147"/>
      <c r="H1304" s="126"/>
      <c r="I1304" s="126"/>
    </row>
    <row r="1305">
      <c r="A1305" s="124"/>
      <c r="E1305" s="147"/>
      <c r="F1305" s="147"/>
      <c r="H1305" s="126"/>
      <c r="I1305" s="126"/>
    </row>
    <row r="1306">
      <c r="A1306" s="124"/>
      <c r="E1306" s="147"/>
      <c r="F1306" s="147"/>
      <c r="H1306" s="126"/>
      <c r="I1306" s="126"/>
    </row>
    <row r="1307">
      <c r="A1307" s="124"/>
      <c r="E1307" s="147"/>
      <c r="F1307" s="147"/>
      <c r="H1307" s="126"/>
      <c r="I1307" s="126"/>
    </row>
    <row r="1308">
      <c r="A1308" s="124"/>
      <c r="E1308" s="147"/>
      <c r="F1308" s="147"/>
      <c r="H1308" s="126"/>
      <c r="I1308" s="126"/>
    </row>
    <row r="1309">
      <c r="A1309" s="124"/>
      <c r="E1309" s="147"/>
      <c r="F1309" s="147"/>
      <c r="H1309" s="126"/>
      <c r="I1309" s="126"/>
    </row>
    <row r="1310">
      <c r="A1310" s="124"/>
      <c r="E1310" s="147"/>
      <c r="F1310" s="147"/>
      <c r="H1310" s="126"/>
      <c r="I1310" s="126"/>
    </row>
    <row r="1311">
      <c r="A1311" s="124"/>
      <c r="E1311" s="147"/>
      <c r="F1311" s="147"/>
      <c r="H1311" s="126"/>
      <c r="I1311" s="126"/>
    </row>
    <row r="1312">
      <c r="A1312" s="124"/>
      <c r="E1312" s="147"/>
      <c r="F1312" s="147"/>
      <c r="H1312" s="126"/>
      <c r="I1312" s="126"/>
    </row>
    <row r="1313">
      <c r="A1313" s="124"/>
      <c r="E1313" s="147"/>
      <c r="F1313" s="147"/>
      <c r="H1313" s="126"/>
      <c r="I1313" s="126"/>
    </row>
    <row r="1314">
      <c r="A1314" s="124"/>
      <c r="E1314" s="147"/>
      <c r="F1314" s="147"/>
      <c r="H1314" s="126"/>
      <c r="I1314" s="126"/>
    </row>
    <row r="1315">
      <c r="A1315" s="124"/>
      <c r="E1315" s="147"/>
      <c r="F1315" s="147"/>
      <c r="H1315" s="126"/>
      <c r="I1315" s="126"/>
    </row>
    <row r="1316">
      <c r="A1316" s="124"/>
      <c r="E1316" s="147"/>
      <c r="F1316" s="147"/>
      <c r="H1316" s="126"/>
      <c r="I1316" s="126"/>
    </row>
    <row r="1317">
      <c r="A1317" s="124"/>
      <c r="E1317" s="147"/>
      <c r="F1317" s="147"/>
      <c r="H1317" s="126"/>
      <c r="I1317" s="126"/>
    </row>
    <row r="1318">
      <c r="A1318" s="124"/>
      <c r="E1318" s="147"/>
      <c r="F1318" s="147"/>
      <c r="H1318" s="126"/>
      <c r="I1318" s="126"/>
    </row>
    <row r="1319">
      <c r="A1319" s="124"/>
      <c r="E1319" s="147"/>
      <c r="F1319" s="147"/>
      <c r="H1319" s="126"/>
      <c r="I1319" s="126"/>
    </row>
    <row r="1320">
      <c r="A1320" s="124"/>
      <c r="E1320" s="147"/>
      <c r="F1320" s="147"/>
      <c r="H1320" s="126"/>
      <c r="I1320" s="126"/>
    </row>
    <row r="1321">
      <c r="A1321" s="124"/>
      <c r="E1321" s="147"/>
      <c r="F1321" s="147"/>
      <c r="H1321" s="126"/>
      <c r="I1321" s="126"/>
    </row>
    <row r="1322">
      <c r="A1322" s="124"/>
      <c r="E1322" s="147"/>
      <c r="F1322" s="147"/>
      <c r="H1322" s="126"/>
      <c r="I1322" s="126"/>
    </row>
    <row r="1323">
      <c r="A1323" s="124"/>
      <c r="E1323" s="147"/>
      <c r="F1323" s="147"/>
      <c r="H1323" s="126"/>
      <c r="I1323" s="126"/>
    </row>
    <row r="1324">
      <c r="A1324" s="124"/>
      <c r="E1324" s="147"/>
      <c r="F1324" s="147"/>
      <c r="H1324" s="126"/>
      <c r="I1324" s="126"/>
    </row>
    <row r="1325">
      <c r="A1325" s="124"/>
      <c r="E1325" s="147"/>
      <c r="F1325" s="147"/>
      <c r="H1325" s="126"/>
      <c r="I1325" s="126"/>
    </row>
    <row r="1326">
      <c r="A1326" s="124"/>
      <c r="E1326" s="147"/>
      <c r="F1326" s="147"/>
      <c r="H1326" s="126"/>
      <c r="I1326" s="126"/>
    </row>
    <row r="1327">
      <c r="A1327" s="124"/>
      <c r="E1327" s="147"/>
      <c r="F1327" s="147"/>
      <c r="H1327" s="126"/>
      <c r="I1327" s="126"/>
    </row>
    <row r="1328">
      <c r="A1328" s="124"/>
      <c r="E1328" s="147"/>
      <c r="F1328" s="147"/>
      <c r="H1328" s="126"/>
      <c r="I1328" s="126"/>
    </row>
    <row r="1329">
      <c r="A1329" s="124"/>
      <c r="E1329" s="147"/>
      <c r="F1329" s="147"/>
      <c r="H1329" s="126"/>
      <c r="I1329" s="126"/>
    </row>
    <row r="1330">
      <c r="A1330" s="124"/>
      <c r="E1330" s="147"/>
      <c r="F1330" s="147"/>
      <c r="H1330" s="126"/>
      <c r="I1330" s="126"/>
    </row>
    <row r="1331">
      <c r="A1331" s="124"/>
      <c r="E1331" s="147"/>
      <c r="F1331" s="147"/>
      <c r="H1331" s="126"/>
      <c r="I1331" s="126"/>
    </row>
    <row r="1332">
      <c r="A1332" s="124"/>
      <c r="E1332" s="147"/>
      <c r="F1332" s="147"/>
      <c r="H1332" s="126"/>
      <c r="I1332" s="126"/>
    </row>
    <row r="1333">
      <c r="A1333" s="124"/>
      <c r="E1333" s="147"/>
      <c r="F1333" s="147"/>
      <c r="H1333" s="126"/>
      <c r="I1333" s="126"/>
    </row>
    <row r="1334">
      <c r="A1334" s="124"/>
      <c r="E1334" s="147"/>
      <c r="F1334" s="147"/>
      <c r="H1334" s="126"/>
      <c r="I1334" s="126"/>
    </row>
    <row r="1335">
      <c r="A1335" s="124"/>
      <c r="E1335" s="147"/>
      <c r="F1335" s="147"/>
      <c r="H1335" s="126"/>
      <c r="I1335" s="126"/>
    </row>
    <row r="1336">
      <c r="A1336" s="124"/>
      <c r="E1336" s="147"/>
      <c r="F1336" s="147"/>
      <c r="H1336" s="126"/>
      <c r="I1336" s="126"/>
    </row>
    <row r="1337">
      <c r="A1337" s="124"/>
      <c r="E1337" s="147"/>
      <c r="F1337" s="147"/>
      <c r="H1337" s="126"/>
      <c r="I1337" s="126"/>
    </row>
    <row r="1338">
      <c r="A1338" s="124"/>
      <c r="E1338" s="147"/>
      <c r="F1338" s="147"/>
      <c r="H1338" s="126"/>
      <c r="I1338" s="126"/>
    </row>
    <row r="1339">
      <c r="A1339" s="124"/>
      <c r="E1339" s="147"/>
      <c r="F1339" s="147"/>
      <c r="H1339" s="126"/>
      <c r="I1339" s="126"/>
    </row>
    <row r="1340">
      <c r="A1340" s="124"/>
      <c r="E1340" s="147"/>
      <c r="F1340" s="147"/>
      <c r="H1340" s="126"/>
      <c r="I1340" s="126"/>
    </row>
    <row r="1341">
      <c r="A1341" s="124"/>
      <c r="E1341" s="147"/>
      <c r="F1341" s="147"/>
      <c r="H1341" s="126"/>
      <c r="I1341" s="126"/>
    </row>
    <row r="1342">
      <c r="A1342" s="124"/>
      <c r="E1342" s="147"/>
      <c r="F1342" s="147"/>
      <c r="H1342" s="126"/>
      <c r="I1342" s="126"/>
    </row>
    <row r="1343">
      <c r="A1343" s="124"/>
      <c r="E1343" s="147"/>
      <c r="F1343" s="147"/>
      <c r="H1343" s="126"/>
      <c r="I1343" s="126"/>
    </row>
    <row r="1344">
      <c r="A1344" s="124"/>
      <c r="E1344" s="147"/>
      <c r="F1344" s="147"/>
      <c r="H1344" s="126"/>
      <c r="I1344" s="126"/>
    </row>
    <row r="1345">
      <c r="A1345" s="124"/>
      <c r="E1345" s="147"/>
      <c r="F1345" s="147"/>
      <c r="H1345" s="126"/>
      <c r="I1345" s="126"/>
    </row>
    <row r="1346">
      <c r="A1346" s="124"/>
      <c r="E1346" s="147"/>
      <c r="F1346" s="147"/>
      <c r="H1346" s="126"/>
      <c r="I1346" s="126"/>
    </row>
    <row r="1347">
      <c r="A1347" s="124"/>
      <c r="E1347" s="147"/>
      <c r="F1347" s="147"/>
      <c r="H1347" s="126"/>
      <c r="I1347" s="126"/>
    </row>
    <row r="1348">
      <c r="A1348" s="124"/>
      <c r="E1348" s="147"/>
      <c r="F1348" s="147"/>
      <c r="H1348" s="126"/>
      <c r="I1348" s="126"/>
    </row>
    <row r="1349">
      <c r="A1349" s="124"/>
      <c r="E1349" s="147"/>
      <c r="F1349" s="147"/>
      <c r="H1349" s="126"/>
      <c r="I1349" s="126"/>
    </row>
    <row r="1350">
      <c r="A1350" s="124"/>
      <c r="E1350" s="147"/>
      <c r="F1350" s="147"/>
      <c r="H1350" s="126"/>
      <c r="I1350" s="126"/>
    </row>
    <row r="1351">
      <c r="A1351" s="124"/>
      <c r="E1351" s="147"/>
      <c r="F1351" s="147"/>
      <c r="H1351" s="126"/>
      <c r="I1351" s="126"/>
    </row>
    <row r="1352">
      <c r="A1352" s="124"/>
      <c r="E1352" s="147"/>
      <c r="F1352" s="147"/>
      <c r="H1352" s="126"/>
      <c r="I1352" s="126"/>
    </row>
    <row r="1353">
      <c r="A1353" s="124"/>
      <c r="E1353" s="147"/>
      <c r="F1353" s="147"/>
      <c r="H1353" s="126"/>
      <c r="I1353" s="126"/>
    </row>
    <row r="1354">
      <c r="A1354" s="124"/>
      <c r="E1354" s="147"/>
      <c r="F1354" s="147"/>
      <c r="H1354" s="126"/>
      <c r="I1354" s="126"/>
    </row>
    <row r="1355">
      <c r="A1355" s="124"/>
      <c r="E1355" s="147"/>
      <c r="F1355" s="147"/>
      <c r="H1355" s="126"/>
      <c r="I1355" s="126"/>
    </row>
    <row r="1356">
      <c r="A1356" s="124"/>
      <c r="E1356" s="147"/>
      <c r="F1356" s="147"/>
      <c r="H1356" s="126"/>
      <c r="I1356" s="126"/>
    </row>
    <row r="1357">
      <c r="A1357" s="124"/>
      <c r="E1357" s="147"/>
      <c r="F1357" s="147"/>
      <c r="H1357" s="126"/>
      <c r="I1357" s="126"/>
    </row>
    <row r="1358">
      <c r="A1358" s="124"/>
      <c r="E1358" s="147"/>
      <c r="F1358" s="147"/>
      <c r="H1358" s="126"/>
      <c r="I1358" s="126"/>
    </row>
    <row r="1359">
      <c r="A1359" s="124"/>
      <c r="E1359" s="147"/>
      <c r="F1359" s="147"/>
      <c r="H1359" s="126"/>
      <c r="I1359" s="126"/>
    </row>
    <row r="1360">
      <c r="A1360" s="124"/>
      <c r="E1360" s="147"/>
      <c r="F1360" s="147"/>
      <c r="H1360" s="126"/>
      <c r="I1360" s="126"/>
    </row>
    <row r="1361">
      <c r="A1361" s="124"/>
      <c r="E1361" s="147"/>
      <c r="F1361" s="147"/>
      <c r="H1361" s="126"/>
      <c r="I1361" s="126"/>
    </row>
    <row r="1362">
      <c r="A1362" s="124"/>
      <c r="E1362" s="147"/>
      <c r="F1362" s="147"/>
      <c r="H1362" s="126"/>
      <c r="I1362" s="126"/>
    </row>
    <row r="1363">
      <c r="A1363" s="124"/>
      <c r="E1363" s="147"/>
      <c r="F1363" s="147"/>
      <c r="H1363" s="126"/>
      <c r="I1363" s="126"/>
    </row>
    <row r="1364">
      <c r="A1364" s="124"/>
      <c r="E1364" s="147"/>
      <c r="F1364" s="147"/>
      <c r="H1364" s="126"/>
      <c r="I1364" s="126"/>
    </row>
    <row r="1365">
      <c r="A1365" s="124"/>
      <c r="E1365" s="147"/>
      <c r="F1365" s="147"/>
      <c r="H1365" s="126"/>
      <c r="I1365" s="126"/>
    </row>
    <row r="1366">
      <c r="A1366" s="124"/>
      <c r="E1366" s="147"/>
      <c r="F1366" s="147"/>
      <c r="H1366" s="126"/>
      <c r="I1366" s="126"/>
    </row>
    <row r="1367">
      <c r="A1367" s="124"/>
      <c r="E1367" s="147"/>
      <c r="F1367" s="147"/>
      <c r="H1367" s="126"/>
      <c r="I1367" s="126"/>
    </row>
    <row r="1368">
      <c r="A1368" s="124"/>
      <c r="E1368" s="147"/>
      <c r="F1368" s="147"/>
      <c r="H1368" s="126"/>
      <c r="I1368" s="126"/>
    </row>
    <row r="1369">
      <c r="A1369" s="124"/>
      <c r="E1369" s="147"/>
      <c r="F1369" s="147"/>
      <c r="H1369" s="126"/>
      <c r="I1369" s="126"/>
    </row>
    <row r="1370">
      <c r="A1370" s="124"/>
      <c r="E1370" s="147"/>
      <c r="F1370" s="147"/>
      <c r="H1370" s="126"/>
      <c r="I1370" s="126"/>
    </row>
    <row r="1371">
      <c r="A1371" s="124"/>
      <c r="E1371" s="147"/>
      <c r="F1371" s="147"/>
      <c r="H1371" s="126"/>
      <c r="I1371" s="126"/>
    </row>
    <row r="1372">
      <c r="A1372" s="124"/>
      <c r="E1372" s="147"/>
      <c r="F1372" s="147"/>
      <c r="H1372" s="126"/>
      <c r="I1372" s="126"/>
    </row>
    <row r="1373">
      <c r="A1373" s="124"/>
      <c r="E1373" s="147"/>
      <c r="F1373" s="147"/>
      <c r="H1373" s="126"/>
      <c r="I1373" s="126"/>
    </row>
    <row r="1374">
      <c r="A1374" s="124"/>
      <c r="E1374" s="147"/>
      <c r="F1374" s="147"/>
      <c r="H1374" s="126"/>
      <c r="I1374" s="126"/>
    </row>
    <row r="1375">
      <c r="A1375" s="124"/>
      <c r="E1375" s="147"/>
      <c r="F1375" s="147"/>
      <c r="H1375" s="126"/>
      <c r="I1375" s="126"/>
    </row>
    <row r="1376">
      <c r="A1376" s="124"/>
      <c r="E1376" s="147"/>
      <c r="F1376" s="147"/>
      <c r="H1376" s="126"/>
      <c r="I1376" s="126"/>
    </row>
    <row r="1377">
      <c r="A1377" s="124"/>
      <c r="E1377" s="147"/>
      <c r="F1377" s="147"/>
      <c r="H1377" s="126"/>
      <c r="I1377" s="126"/>
    </row>
    <row r="1378">
      <c r="A1378" s="124"/>
      <c r="E1378" s="147"/>
      <c r="F1378" s="147"/>
      <c r="H1378" s="126"/>
      <c r="I1378" s="126"/>
    </row>
    <row r="1379">
      <c r="A1379" s="124"/>
      <c r="E1379" s="147"/>
      <c r="F1379" s="147"/>
      <c r="H1379" s="126"/>
      <c r="I1379" s="126"/>
    </row>
    <row r="1380">
      <c r="A1380" s="124"/>
      <c r="E1380" s="147"/>
      <c r="F1380" s="147"/>
      <c r="H1380" s="126"/>
      <c r="I1380" s="126"/>
    </row>
    <row r="1381">
      <c r="A1381" s="124"/>
      <c r="E1381" s="147"/>
      <c r="F1381" s="147"/>
      <c r="H1381" s="126"/>
      <c r="I1381" s="126"/>
    </row>
    <row r="1382">
      <c r="A1382" s="124"/>
      <c r="E1382" s="147"/>
      <c r="F1382" s="147"/>
      <c r="H1382" s="126"/>
      <c r="I1382" s="126"/>
    </row>
    <row r="1383">
      <c r="A1383" s="124"/>
      <c r="E1383" s="147"/>
      <c r="F1383" s="147"/>
      <c r="H1383" s="126"/>
      <c r="I1383" s="126"/>
    </row>
    <row r="1384">
      <c r="A1384" s="124"/>
      <c r="E1384" s="147"/>
      <c r="F1384" s="147"/>
      <c r="H1384" s="126"/>
      <c r="I1384" s="126"/>
    </row>
    <row r="1385">
      <c r="A1385" s="124"/>
      <c r="E1385" s="147"/>
      <c r="F1385" s="147"/>
      <c r="H1385" s="126"/>
      <c r="I1385" s="126"/>
    </row>
    <row r="1386">
      <c r="A1386" s="124"/>
      <c r="E1386" s="147"/>
      <c r="F1386" s="147"/>
      <c r="H1386" s="126"/>
      <c r="I1386" s="126"/>
    </row>
    <row r="1387">
      <c r="A1387" s="124"/>
      <c r="E1387" s="147"/>
      <c r="F1387" s="147"/>
      <c r="H1387" s="126"/>
      <c r="I1387" s="126"/>
    </row>
    <row r="1388">
      <c r="A1388" s="124"/>
      <c r="E1388" s="147"/>
      <c r="F1388" s="147"/>
      <c r="H1388" s="126"/>
      <c r="I1388" s="126"/>
    </row>
    <row r="1389">
      <c r="A1389" s="124"/>
      <c r="E1389" s="147"/>
      <c r="F1389" s="147"/>
      <c r="H1389" s="126"/>
      <c r="I1389" s="126"/>
    </row>
    <row r="1390">
      <c r="A1390" s="124"/>
      <c r="E1390" s="147"/>
      <c r="F1390" s="147"/>
      <c r="H1390" s="126"/>
      <c r="I1390" s="126"/>
    </row>
    <row r="1391">
      <c r="A1391" s="124"/>
      <c r="E1391" s="147"/>
      <c r="F1391" s="147"/>
      <c r="H1391" s="126"/>
      <c r="I1391" s="126"/>
    </row>
    <row r="1392">
      <c r="A1392" s="124"/>
      <c r="E1392" s="147"/>
      <c r="F1392" s="147"/>
      <c r="H1392" s="126"/>
      <c r="I1392" s="126"/>
    </row>
    <row r="1393">
      <c r="A1393" s="124"/>
      <c r="E1393" s="147"/>
      <c r="F1393" s="147"/>
      <c r="H1393" s="126"/>
      <c r="I1393" s="126"/>
    </row>
    <row r="1394">
      <c r="A1394" s="124"/>
      <c r="E1394" s="147"/>
      <c r="F1394" s="147"/>
      <c r="H1394" s="126"/>
      <c r="I1394" s="126"/>
    </row>
    <row r="1395">
      <c r="A1395" s="124"/>
      <c r="E1395" s="147"/>
      <c r="F1395" s="147"/>
      <c r="H1395" s="126"/>
      <c r="I1395" s="126"/>
    </row>
    <row r="1396">
      <c r="A1396" s="124"/>
      <c r="E1396" s="147"/>
      <c r="F1396" s="147"/>
      <c r="H1396" s="126"/>
      <c r="I1396" s="126"/>
    </row>
    <row r="1397">
      <c r="A1397" s="124"/>
      <c r="E1397" s="147"/>
      <c r="F1397" s="147"/>
      <c r="H1397" s="126"/>
      <c r="I1397" s="126"/>
    </row>
    <row r="1398">
      <c r="A1398" s="124"/>
      <c r="E1398" s="147"/>
      <c r="F1398" s="147"/>
      <c r="H1398" s="126"/>
      <c r="I1398" s="126"/>
    </row>
    <row r="1399">
      <c r="A1399" s="124"/>
      <c r="E1399" s="147"/>
      <c r="F1399" s="147"/>
      <c r="H1399" s="126"/>
      <c r="I1399" s="126"/>
    </row>
    <row r="1400">
      <c r="A1400" s="124"/>
      <c r="E1400" s="147"/>
      <c r="F1400" s="147"/>
      <c r="H1400" s="126"/>
      <c r="I1400" s="126"/>
    </row>
    <row r="1401">
      <c r="A1401" s="124"/>
      <c r="E1401" s="147"/>
      <c r="F1401" s="147"/>
      <c r="H1401" s="126"/>
      <c r="I1401" s="126"/>
    </row>
    <row r="1402">
      <c r="A1402" s="124"/>
      <c r="E1402" s="147"/>
      <c r="F1402" s="147"/>
      <c r="H1402" s="126"/>
      <c r="I1402" s="126"/>
    </row>
    <row r="1403">
      <c r="A1403" s="124"/>
      <c r="E1403" s="147"/>
      <c r="F1403" s="147"/>
      <c r="H1403" s="126"/>
      <c r="I1403" s="126"/>
    </row>
    <row r="1404">
      <c r="A1404" s="124"/>
      <c r="E1404" s="147"/>
      <c r="F1404" s="147"/>
      <c r="H1404" s="126"/>
      <c r="I1404" s="126"/>
    </row>
    <row r="1405">
      <c r="A1405" s="124"/>
      <c r="E1405" s="147"/>
      <c r="F1405" s="147"/>
      <c r="H1405" s="126"/>
      <c r="I1405" s="126"/>
    </row>
    <row r="1406">
      <c r="A1406" s="124"/>
      <c r="E1406" s="147"/>
      <c r="F1406" s="147"/>
      <c r="H1406" s="126"/>
      <c r="I1406" s="126"/>
    </row>
    <row r="1407">
      <c r="A1407" s="124"/>
      <c r="E1407" s="147"/>
      <c r="F1407" s="147"/>
      <c r="H1407" s="126"/>
      <c r="I1407" s="126"/>
    </row>
    <row r="1408">
      <c r="A1408" s="124"/>
      <c r="E1408" s="147"/>
      <c r="F1408" s="147"/>
      <c r="H1408" s="126"/>
      <c r="I1408" s="126"/>
    </row>
    <row r="1409">
      <c r="A1409" s="124"/>
      <c r="E1409" s="147"/>
      <c r="F1409" s="147"/>
      <c r="H1409" s="126"/>
      <c r="I1409" s="126"/>
    </row>
    <row r="1410">
      <c r="A1410" s="124"/>
      <c r="E1410" s="147"/>
      <c r="F1410" s="147"/>
      <c r="H1410" s="126"/>
      <c r="I1410" s="126"/>
    </row>
    <row r="1411">
      <c r="A1411" s="124"/>
      <c r="E1411" s="147"/>
      <c r="F1411" s="147"/>
      <c r="H1411" s="126"/>
      <c r="I1411" s="126"/>
    </row>
    <row r="1412">
      <c r="A1412" s="124"/>
      <c r="E1412" s="147"/>
      <c r="F1412" s="147"/>
      <c r="H1412" s="126"/>
      <c r="I1412" s="126"/>
    </row>
    <row r="1413">
      <c r="A1413" s="124"/>
      <c r="E1413" s="147"/>
      <c r="F1413" s="147"/>
      <c r="H1413" s="126"/>
      <c r="I1413" s="126"/>
    </row>
    <row r="1414">
      <c r="A1414" s="124"/>
      <c r="E1414" s="147"/>
      <c r="F1414" s="147"/>
      <c r="H1414" s="126"/>
      <c r="I1414" s="126"/>
    </row>
    <row r="1415">
      <c r="A1415" s="124"/>
      <c r="E1415" s="147"/>
      <c r="F1415" s="147"/>
      <c r="H1415" s="126"/>
      <c r="I1415" s="126"/>
    </row>
    <row r="1416">
      <c r="A1416" s="124"/>
      <c r="E1416" s="147"/>
      <c r="F1416" s="147"/>
      <c r="H1416" s="126"/>
      <c r="I1416" s="126"/>
    </row>
    <row r="1417">
      <c r="A1417" s="124"/>
      <c r="E1417" s="147"/>
      <c r="F1417" s="147"/>
      <c r="H1417" s="126"/>
      <c r="I1417" s="126"/>
    </row>
    <row r="1418">
      <c r="A1418" s="124"/>
      <c r="E1418" s="147"/>
      <c r="F1418" s="147"/>
      <c r="H1418" s="126"/>
      <c r="I1418" s="126"/>
    </row>
    <row r="1419">
      <c r="A1419" s="124"/>
      <c r="E1419" s="147"/>
      <c r="F1419" s="147"/>
      <c r="H1419" s="126"/>
      <c r="I1419" s="126"/>
    </row>
    <row r="1420">
      <c r="A1420" s="124"/>
      <c r="E1420" s="147"/>
      <c r="F1420" s="147"/>
      <c r="H1420" s="126"/>
      <c r="I1420" s="126"/>
    </row>
    <row r="1421">
      <c r="A1421" s="124"/>
      <c r="E1421" s="147"/>
      <c r="F1421" s="147"/>
      <c r="H1421" s="126"/>
      <c r="I1421" s="126"/>
    </row>
    <row r="1422">
      <c r="A1422" s="124"/>
      <c r="E1422" s="147"/>
      <c r="F1422" s="147"/>
      <c r="H1422" s="126"/>
      <c r="I1422" s="126"/>
    </row>
    <row r="1423">
      <c r="A1423" s="124"/>
      <c r="E1423" s="147"/>
      <c r="F1423" s="147"/>
      <c r="H1423" s="126"/>
      <c r="I1423" s="126"/>
    </row>
    <row r="1424">
      <c r="A1424" s="124"/>
      <c r="E1424" s="147"/>
      <c r="F1424" s="147"/>
      <c r="H1424" s="126"/>
      <c r="I1424" s="126"/>
    </row>
    <row r="1425">
      <c r="A1425" s="124"/>
      <c r="E1425" s="147"/>
      <c r="F1425" s="147"/>
      <c r="H1425" s="126"/>
      <c r="I1425" s="126"/>
    </row>
    <row r="1426">
      <c r="A1426" s="124"/>
      <c r="E1426" s="147"/>
      <c r="F1426" s="147"/>
      <c r="H1426" s="126"/>
      <c r="I1426" s="126"/>
    </row>
    <row r="1427">
      <c r="A1427" s="124"/>
      <c r="E1427" s="147"/>
      <c r="F1427" s="147"/>
      <c r="H1427" s="126"/>
      <c r="I1427" s="126"/>
    </row>
    <row r="1428">
      <c r="A1428" s="124"/>
      <c r="E1428" s="147"/>
      <c r="F1428" s="147"/>
      <c r="H1428" s="126"/>
      <c r="I1428" s="126"/>
    </row>
    <row r="1429">
      <c r="A1429" s="124"/>
      <c r="E1429" s="147"/>
      <c r="F1429" s="147"/>
      <c r="H1429" s="126"/>
      <c r="I1429" s="126"/>
    </row>
    <row r="1430">
      <c r="A1430" s="124"/>
      <c r="E1430" s="147"/>
      <c r="F1430" s="147"/>
      <c r="H1430" s="126"/>
      <c r="I1430" s="126"/>
    </row>
    <row r="1431">
      <c r="A1431" s="124"/>
      <c r="E1431" s="147"/>
      <c r="F1431" s="147"/>
      <c r="H1431" s="126"/>
      <c r="I1431" s="126"/>
    </row>
    <row r="1432">
      <c r="A1432" s="124"/>
      <c r="E1432" s="147"/>
      <c r="F1432" s="147"/>
      <c r="H1432" s="126"/>
      <c r="I1432" s="126"/>
    </row>
    <row r="1433">
      <c r="A1433" s="124"/>
      <c r="E1433" s="147"/>
      <c r="F1433" s="147"/>
      <c r="H1433" s="126"/>
      <c r="I1433" s="126"/>
    </row>
    <row r="1434">
      <c r="A1434" s="124"/>
      <c r="E1434" s="147"/>
      <c r="F1434" s="147"/>
      <c r="H1434" s="126"/>
      <c r="I1434" s="126"/>
    </row>
    <row r="1435">
      <c r="A1435" s="124"/>
      <c r="E1435" s="147"/>
      <c r="F1435" s="147"/>
      <c r="H1435" s="126"/>
      <c r="I1435" s="126"/>
    </row>
    <row r="1436">
      <c r="A1436" s="124"/>
      <c r="E1436" s="147"/>
      <c r="F1436" s="147"/>
      <c r="H1436" s="126"/>
      <c r="I1436" s="126"/>
    </row>
    <row r="1437">
      <c r="A1437" s="124"/>
      <c r="E1437" s="147"/>
      <c r="F1437" s="147"/>
      <c r="H1437" s="126"/>
      <c r="I1437" s="126"/>
    </row>
    <row r="1438">
      <c r="A1438" s="124"/>
      <c r="E1438" s="147"/>
      <c r="F1438" s="147"/>
      <c r="H1438" s="126"/>
      <c r="I1438" s="126"/>
    </row>
    <row r="1439">
      <c r="A1439" s="124"/>
      <c r="E1439" s="147"/>
      <c r="F1439" s="147"/>
      <c r="H1439" s="126"/>
      <c r="I1439" s="126"/>
    </row>
    <row r="1440">
      <c r="A1440" s="124"/>
      <c r="E1440" s="147"/>
      <c r="F1440" s="147"/>
      <c r="H1440" s="126"/>
      <c r="I1440" s="126"/>
    </row>
    <row r="1441">
      <c r="A1441" s="124"/>
      <c r="E1441" s="147"/>
      <c r="F1441" s="147"/>
      <c r="H1441" s="126"/>
      <c r="I1441" s="126"/>
    </row>
    <row r="1442">
      <c r="A1442" s="124"/>
      <c r="E1442" s="147"/>
      <c r="F1442" s="147"/>
      <c r="H1442" s="126"/>
      <c r="I1442" s="126"/>
    </row>
    <row r="1443">
      <c r="A1443" s="124"/>
      <c r="E1443" s="147"/>
      <c r="F1443" s="147"/>
      <c r="H1443" s="126"/>
      <c r="I1443" s="126"/>
    </row>
    <row r="1444">
      <c r="A1444" s="124"/>
      <c r="E1444" s="147"/>
      <c r="F1444" s="147"/>
      <c r="H1444" s="126"/>
      <c r="I1444" s="126"/>
    </row>
    <row r="1445">
      <c r="A1445" s="124"/>
      <c r="E1445" s="147"/>
      <c r="F1445" s="147"/>
      <c r="H1445" s="126"/>
      <c r="I1445" s="126"/>
    </row>
    <row r="1446">
      <c r="A1446" s="124"/>
      <c r="E1446" s="147"/>
      <c r="F1446" s="147"/>
      <c r="H1446" s="126"/>
      <c r="I1446" s="126"/>
    </row>
    <row r="1447">
      <c r="A1447" s="124"/>
      <c r="E1447" s="147"/>
      <c r="F1447" s="147"/>
      <c r="H1447" s="126"/>
      <c r="I1447" s="126"/>
    </row>
    <row r="1448">
      <c r="A1448" s="124"/>
      <c r="E1448" s="147"/>
      <c r="F1448" s="147"/>
      <c r="H1448" s="126"/>
      <c r="I1448" s="126"/>
    </row>
    <row r="1449">
      <c r="A1449" s="124"/>
      <c r="E1449" s="147"/>
      <c r="F1449" s="147"/>
      <c r="H1449" s="126"/>
      <c r="I1449" s="126"/>
    </row>
    <row r="1450">
      <c r="A1450" s="124"/>
      <c r="E1450" s="147"/>
      <c r="F1450" s="147"/>
      <c r="H1450" s="126"/>
      <c r="I1450" s="126"/>
    </row>
    <row r="1451">
      <c r="A1451" s="124"/>
      <c r="E1451" s="147"/>
      <c r="F1451" s="147"/>
      <c r="H1451" s="126"/>
      <c r="I1451" s="126"/>
    </row>
    <row r="1452">
      <c r="A1452" s="124"/>
      <c r="E1452" s="147"/>
      <c r="F1452" s="147"/>
      <c r="H1452" s="126"/>
      <c r="I1452" s="126"/>
    </row>
    <row r="1453">
      <c r="A1453" s="124"/>
      <c r="E1453" s="147"/>
      <c r="F1453" s="147"/>
      <c r="H1453" s="126"/>
      <c r="I1453" s="126"/>
    </row>
    <row r="1454">
      <c r="A1454" s="124"/>
      <c r="E1454" s="147"/>
      <c r="F1454" s="147"/>
      <c r="H1454" s="126"/>
      <c r="I1454" s="126"/>
    </row>
    <row r="1455">
      <c r="A1455" s="124"/>
      <c r="E1455" s="147"/>
      <c r="F1455" s="147"/>
      <c r="H1455" s="126"/>
      <c r="I1455" s="126"/>
    </row>
    <row r="1456">
      <c r="A1456" s="124"/>
      <c r="E1456" s="147"/>
      <c r="F1456" s="147"/>
      <c r="H1456" s="126"/>
      <c r="I1456" s="126"/>
    </row>
    <row r="1457">
      <c r="A1457" s="124"/>
      <c r="E1457" s="147"/>
      <c r="F1457" s="147"/>
      <c r="H1457" s="126"/>
      <c r="I1457" s="126"/>
    </row>
    <row r="1458">
      <c r="A1458" s="124"/>
      <c r="E1458" s="147"/>
      <c r="F1458" s="147"/>
      <c r="H1458" s="126"/>
      <c r="I1458" s="126"/>
    </row>
    <row r="1459">
      <c r="A1459" s="124"/>
      <c r="E1459" s="147"/>
      <c r="F1459" s="147"/>
      <c r="H1459" s="126"/>
      <c r="I1459" s="126"/>
    </row>
    <row r="1460">
      <c r="A1460" s="124"/>
      <c r="E1460" s="147"/>
      <c r="F1460" s="147"/>
      <c r="H1460" s="126"/>
      <c r="I1460" s="126"/>
    </row>
    <row r="1461">
      <c r="A1461" s="124"/>
      <c r="E1461" s="147"/>
      <c r="F1461" s="147"/>
      <c r="H1461" s="126"/>
      <c r="I1461" s="126"/>
    </row>
    <row r="1462">
      <c r="A1462" s="124"/>
      <c r="E1462" s="147"/>
      <c r="F1462" s="147"/>
      <c r="H1462" s="126"/>
      <c r="I1462" s="126"/>
    </row>
    <row r="1463">
      <c r="A1463" s="124"/>
      <c r="E1463" s="147"/>
      <c r="F1463" s="147"/>
      <c r="H1463" s="126"/>
      <c r="I1463" s="126"/>
    </row>
    <row r="1464">
      <c r="A1464" s="124"/>
      <c r="E1464" s="147"/>
      <c r="F1464" s="147"/>
      <c r="H1464" s="126"/>
      <c r="I1464" s="126"/>
    </row>
    <row r="1465">
      <c r="A1465" s="124"/>
      <c r="E1465" s="147"/>
      <c r="F1465" s="147"/>
      <c r="H1465" s="126"/>
      <c r="I1465" s="126"/>
    </row>
    <row r="1466">
      <c r="A1466" s="124"/>
      <c r="E1466" s="147"/>
      <c r="F1466" s="147"/>
      <c r="H1466" s="126"/>
      <c r="I1466" s="126"/>
    </row>
    <row r="1467">
      <c r="A1467" s="124"/>
      <c r="E1467" s="147"/>
      <c r="F1467" s="147"/>
      <c r="H1467" s="126"/>
      <c r="I1467" s="126"/>
    </row>
    <row r="1468">
      <c r="A1468" s="124"/>
      <c r="E1468" s="147"/>
      <c r="F1468" s="147"/>
      <c r="H1468" s="126"/>
      <c r="I1468" s="126"/>
    </row>
    <row r="1469">
      <c r="A1469" s="124"/>
      <c r="E1469" s="147"/>
      <c r="F1469" s="147"/>
      <c r="H1469" s="126"/>
      <c r="I1469" s="126"/>
    </row>
    <row r="1470">
      <c r="A1470" s="124"/>
      <c r="E1470" s="147"/>
      <c r="F1470" s="147"/>
      <c r="H1470" s="126"/>
      <c r="I1470" s="126"/>
    </row>
    <row r="1471">
      <c r="A1471" s="124"/>
      <c r="E1471" s="147"/>
      <c r="F1471" s="147"/>
      <c r="H1471" s="126"/>
      <c r="I1471" s="126"/>
    </row>
    <row r="1472">
      <c r="A1472" s="124"/>
      <c r="E1472" s="147"/>
      <c r="F1472" s="147"/>
      <c r="H1472" s="126"/>
      <c r="I1472" s="126"/>
    </row>
    <row r="1473">
      <c r="A1473" s="124"/>
      <c r="E1473" s="147"/>
      <c r="F1473" s="147"/>
      <c r="H1473" s="126"/>
      <c r="I1473" s="126"/>
    </row>
    <row r="1474">
      <c r="A1474" s="124"/>
      <c r="E1474" s="147"/>
      <c r="F1474" s="147"/>
      <c r="H1474" s="126"/>
      <c r="I1474" s="126"/>
    </row>
    <row r="1475">
      <c r="A1475" s="124"/>
      <c r="E1475" s="147"/>
      <c r="F1475" s="147"/>
      <c r="H1475" s="126"/>
      <c r="I1475" s="126"/>
    </row>
    <row r="1476">
      <c r="A1476" s="124"/>
      <c r="E1476" s="147"/>
      <c r="F1476" s="147"/>
      <c r="H1476" s="126"/>
      <c r="I1476" s="126"/>
    </row>
    <row r="1477">
      <c r="A1477" s="124"/>
      <c r="E1477" s="147"/>
      <c r="F1477" s="147"/>
      <c r="H1477" s="126"/>
      <c r="I1477" s="126"/>
    </row>
    <row r="1478">
      <c r="A1478" s="124"/>
      <c r="E1478" s="147"/>
      <c r="F1478" s="147"/>
      <c r="H1478" s="126"/>
      <c r="I1478" s="126"/>
    </row>
    <row r="1479">
      <c r="A1479" s="124"/>
      <c r="E1479" s="147"/>
      <c r="F1479" s="147"/>
      <c r="H1479" s="126"/>
      <c r="I1479" s="126"/>
    </row>
    <row r="1480">
      <c r="A1480" s="124"/>
      <c r="E1480" s="147"/>
      <c r="F1480" s="147"/>
      <c r="H1480" s="126"/>
      <c r="I1480" s="126"/>
    </row>
    <row r="1481">
      <c r="A1481" s="124"/>
      <c r="E1481" s="147"/>
      <c r="F1481" s="147"/>
      <c r="H1481" s="126"/>
      <c r="I1481" s="126"/>
    </row>
    <row r="1482">
      <c r="A1482" s="124"/>
      <c r="E1482" s="147"/>
      <c r="F1482" s="147"/>
      <c r="H1482" s="126"/>
      <c r="I1482" s="126"/>
    </row>
    <row r="1483">
      <c r="A1483" s="124"/>
      <c r="E1483" s="147"/>
      <c r="F1483" s="147"/>
      <c r="H1483" s="126"/>
      <c r="I1483" s="126"/>
    </row>
    <row r="1484">
      <c r="A1484" s="124"/>
      <c r="E1484" s="147"/>
      <c r="F1484" s="147"/>
      <c r="H1484" s="126"/>
      <c r="I1484" s="126"/>
    </row>
    <row r="1485">
      <c r="A1485" s="124"/>
      <c r="E1485" s="147"/>
      <c r="F1485" s="147"/>
      <c r="H1485" s="126"/>
      <c r="I1485" s="126"/>
    </row>
    <row r="1486">
      <c r="A1486" s="124"/>
      <c r="E1486" s="147"/>
      <c r="F1486" s="147"/>
      <c r="H1486" s="126"/>
      <c r="I1486" s="126"/>
    </row>
    <row r="1487">
      <c r="A1487" s="124"/>
      <c r="E1487" s="147"/>
      <c r="F1487" s="147"/>
      <c r="H1487" s="126"/>
      <c r="I1487" s="126"/>
    </row>
    <row r="1488">
      <c r="A1488" s="124"/>
      <c r="E1488" s="147"/>
      <c r="F1488" s="147"/>
      <c r="H1488" s="126"/>
      <c r="I1488" s="126"/>
    </row>
    <row r="1489">
      <c r="A1489" s="124"/>
      <c r="E1489" s="147"/>
      <c r="F1489" s="147"/>
      <c r="H1489" s="126"/>
      <c r="I1489" s="126"/>
    </row>
    <row r="1490">
      <c r="A1490" s="124"/>
      <c r="E1490" s="147"/>
      <c r="F1490" s="147"/>
      <c r="H1490" s="126"/>
      <c r="I1490" s="126"/>
    </row>
    <row r="1491">
      <c r="A1491" s="124"/>
      <c r="E1491" s="147"/>
      <c r="F1491" s="147"/>
      <c r="H1491" s="126"/>
      <c r="I1491" s="126"/>
    </row>
    <row r="1492">
      <c r="A1492" s="124"/>
      <c r="E1492" s="147"/>
      <c r="F1492" s="147"/>
      <c r="H1492" s="126"/>
      <c r="I1492" s="126"/>
    </row>
    <row r="1493">
      <c r="A1493" s="124"/>
      <c r="E1493" s="147"/>
      <c r="F1493" s="147"/>
      <c r="H1493" s="126"/>
      <c r="I1493" s="126"/>
    </row>
    <row r="1494">
      <c r="A1494" s="124"/>
      <c r="E1494" s="147"/>
      <c r="F1494" s="147"/>
      <c r="H1494" s="126"/>
      <c r="I1494" s="126"/>
    </row>
    <row r="1495">
      <c r="A1495" s="124"/>
      <c r="E1495" s="147"/>
      <c r="F1495" s="147"/>
      <c r="H1495" s="126"/>
      <c r="I1495" s="126"/>
    </row>
    <row r="1496">
      <c r="A1496" s="124"/>
      <c r="E1496" s="147"/>
      <c r="F1496" s="147"/>
      <c r="H1496" s="126"/>
      <c r="I1496" s="126"/>
    </row>
    <row r="1497">
      <c r="A1497" s="124"/>
      <c r="E1497" s="147"/>
      <c r="F1497" s="147"/>
      <c r="H1497" s="126"/>
      <c r="I1497" s="126"/>
    </row>
    <row r="1498">
      <c r="A1498" s="124"/>
      <c r="E1498" s="147"/>
      <c r="F1498" s="147"/>
      <c r="H1498" s="126"/>
      <c r="I1498" s="126"/>
    </row>
    <row r="1499">
      <c r="A1499" s="124"/>
      <c r="E1499" s="147"/>
      <c r="F1499" s="147"/>
      <c r="H1499" s="126"/>
      <c r="I1499" s="126"/>
    </row>
    <row r="1500">
      <c r="A1500" s="124"/>
      <c r="E1500" s="147"/>
      <c r="F1500" s="147"/>
      <c r="H1500" s="126"/>
      <c r="I1500" s="126"/>
    </row>
    <row r="1501">
      <c r="A1501" s="124"/>
      <c r="E1501" s="147"/>
      <c r="F1501" s="147"/>
      <c r="H1501" s="126"/>
      <c r="I1501" s="126"/>
    </row>
    <row r="1502">
      <c r="A1502" s="124"/>
      <c r="E1502" s="147"/>
      <c r="F1502" s="147"/>
      <c r="H1502" s="126"/>
      <c r="I1502" s="126"/>
    </row>
    <row r="1503">
      <c r="A1503" s="124"/>
      <c r="E1503" s="147"/>
      <c r="F1503" s="147"/>
      <c r="H1503" s="126"/>
      <c r="I1503" s="126"/>
    </row>
    <row r="1504">
      <c r="A1504" s="124"/>
      <c r="E1504" s="147"/>
      <c r="F1504" s="147"/>
      <c r="H1504" s="126"/>
      <c r="I1504" s="126"/>
    </row>
    <row r="1505">
      <c r="A1505" s="124"/>
      <c r="E1505" s="147"/>
      <c r="F1505" s="147"/>
      <c r="H1505" s="126"/>
      <c r="I1505" s="126"/>
    </row>
    <row r="1506">
      <c r="A1506" s="124"/>
      <c r="E1506" s="147"/>
      <c r="F1506" s="147"/>
      <c r="H1506" s="126"/>
      <c r="I1506" s="126"/>
    </row>
    <row r="1507">
      <c r="A1507" s="124"/>
      <c r="E1507" s="147"/>
      <c r="F1507" s="147"/>
      <c r="H1507" s="126"/>
      <c r="I1507" s="126"/>
    </row>
    <row r="1508">
      <c r="A1508" s="124"/>
      <c r="E1508" s="147"/>
      <c r="F1508" s="147"/>
      <c r="H1508" s="126"/>
      <c r="I1508" s="126"/>
    </row>
    <row r="1509">
      <c r="A1509" s="124"/>
      <c r="E1509" s="147"/>
      <c r="F1509" s="147"/>
      <c r="H1509" s="126"/>
      <c r="I1509" s="126"/>
    </row>
    <row r="1510">
      <c r="A1510" s="124"/>
      <c r="E1510" s="147"/>
      <c r="F1510" s="147"/>
      <c r="H1510" s="126"/>
      <c r="I1510" s="126"/>
    </row>
    <row r="1511">
      <c r="A1511" s="124"/>
      <c r="E1511" s="147"/>
      <c r="F1511" s="147"/>
      <c r="H1511" s="126"/>
      <c r="I1511" s="126"/>
    </row>
    <row r="1512">
      <c r="A1512" s="124"/>
      <c r="E1512" s="147"/>
      <c r="F1512" s="147"/>
      <c r="H1512" s="126"/>
      <c r="I1512" s="126"/>
    </row>
    <row r="1513">
      <c r="A1513" s="124"/>
      <c r="E1513" s="147"/>
      <c r="F1513" s="147"/>
      <c r="H1513" s="126"/>
      <c r="I1513" s="126"/>
    </row>
    <row r="1514">
      <c r="A1514" s="124"/>
      <c r="E1514" s="147"/>
      <c r="F1514" s="147"/>
      <c r="H1514" s="126"/>
      <c r="I1514" s="126"/>
    </row>
    <row r="1515">
      <c r="A1515" s="124"/>
      <c r="E1515" s="147"/>
      <c r="F1515" s="147"/>
      <c r="H1515" s="126"/>
      <c r="I1515" s="126"/>
    </row>
    <row r="1516">
      <c r="A1516" s="124"/>
      <c r="E1516" s="147"/>
      <c r="F1516" s="147"/>
      <c r="H1516" s="126"/>
      <c r="I1516" s="126"/>
    </row>
    <row r="1517">
      <c r="A1517" s="124"/>
      <c r="E1517" s="147"/>
      <c r="F1517" s="147"/>
      <c r="H1517" s="126"/>
      <c r="I1517" s="126"/>
    </row>
    <row r="1518">
      <c r="A1518" s="124"/>
      <c r="E1518" s="147"/>
      <c r="F1518" s="147"/>
      <c r="H1518" s="126"/>
      <c r="I1518" s="126"/>
    </row>
    <row r="1519">
      <c r="A1519" s="124"/>
      <c r="E1519" s="147"/>
      <c r="F1519" s="147"/>
      <c r="H1519" s="126"/>
      <c r="I1519" s="126"/>
    </row>
    <row r="1520">
      <c r="A1520" s="124"/>
      <c r="E1520" s="147"/>
      <c r="F1520" s="147"/>
      <c r="H1520" s="126"/>
      <c r="I1520" s="126"/>
    </row>
    <row r="1521">
      <c r="A1521" s="124"/>
      <c r="E1521" s="147"/>
      <c r="F1521" s="147"/>
      <c r="H1521" s="126"/>
      <c r="I1521" s="126"/>
    </row>
    <row r="1522">
      <c r="A1522" s="124"/>
      <c r="E1522" s="147"/>
      <c r="F1522" s="147"/>
      <c r="H1522" s="126"/>
      <c r="I1522" s="126"/>
    </row>
    <row r="1523">
      <c r="A1523" s="124"/>
      <c r="E1523" s="147"/>
      <c r="F1523" s="147"/>
      <c r="H1523" s="126"/>
      <c r="I1523" s="126"/>
    </row>
    <row r="1524">
      <c r="A1524" s="124"/>
      <c r="E1524" s="147"/>
      <c r="F1524" s="147"/>
      <c r="H1524" s="126"/>
      <c r="I1524" s="126"/>
    </row>
    <row r="1525">
      <c r="A1525" s="124"/>
      <c r="E1525" s="147"/>
      <c r="F1525" s="147"/>
      <c r="H1525" s="126"/>
      <c r="I1525" s="126"/>
    </row>
    <row r="1526">
      <c r="A1526" s="124"/>
      <c r="E1526" s="147"/>
      <c r="F1526" s="147"/>
      <c r="H1526" s="126"/>
      <c r="I1526" s="126"/>
    </row>
    <row r="1527">
      <c r="A1527" s="124"/>
      <c r="E1527" s="147"/>
      <c r="F1527" s="147"/>
      <c r="H1527" s="126"/>
      <c r="I1527" s="126"/>
    </row>
    <row r="1528">
      <c r="A1528" s="124"/>
      <c r="E1528" s="147"/>
      <c r="F1528" s="147"/>
      <c r="H1528" s="126"/>
      <c r="I1528" s="126"/>
    </row>
    <row r="1529">
      <c r="A1529" s="124"/>
      <c r="E1529" s="147"/>
      <c r="F1529" s="147"/>
      <c r="H1529" s="126"/>
      <c r="I1529" s="126"/>
    </row>
    <row r="1530">
      <c r="A1530" s="124"/>
      <c r="E1530" s="147"/>
      <c r="F1530" s="147"/>
      <c r="H1530" s="126"/>
      <c r="I1530" s="126"/>
    </row>
    <row r="1531">
      <c r="A1531" s="124"/>
      <c r="E1531" s="147"/>
      <c r="F1531" s="147"/>
      <c r="H1531" s="126"/>
      <c r="I1531" s="126"/>
    </row>
    <row r="1532">
      <c r="A1532" s="124"/>
      <c r="E1532" s="147"/>
      <c r="F1532" s="147"/>
      <c r="H1532" s="126"/>
      <c r="I1532" s="126"/>
    </row>
    <row r="1533">
      <c r="A1533" s="124"/>
      <c r="E1533" s="147"/>
      <c r="F1533" s="147"/>
      <c r="H1533" s="126"/>
      <c r="I1533" s="126"/>
    </row>
    <row r="1534">
      <c r="A1534" s="124"/>
      <c r="E1534" s="147"/>
      <c r="F1534" s="147"/>
      <c r="H1534" s="126"/>
      <c r="I1534" s="126"/>
    </row>
    <row r="1535">
      <c r="A1535" s="124"/>
      <c r="E1535" s="147"/>
      <c r="F1535" s="147"/>
      <c r="H1535" s="126"/>
      <c r="I1535" s="126"/>
    </row>
    <row r="1536">
      <c r="A1536" s="124"/>
      <c r="E1536" s="147"/>
      <c r="F1536" s="147"/>
      <c r="H1536" s="126"/>
      <c r="I1536" s="126"/>
    </row>
    <row r="1537">
      <c r="A1537" s="124"/>
      <c r="E1537" s="147"/>
      <c r="F1537" s="147"/>
      <c r="H1537" s="126"/>
      <c r="I1537" s="126"/>
    </row>
    <row r="1538">
      <c r="A1538" s="124"/>
      <c r="E1538" s="147"/>
      <c r="F1538" s="147"/>
      <c r="H1538" s="126"/>
      <c r="I1538" s="126"/>
    </row>
    <row r="1539">
      <c r="A1539" s="124"/>
      <c r="E1539" s="147"/>
      <c r="F1539" s="147"/>
      <c r="H1539" s="126"/>
      <c r="I1539" s="126"/>
    </row>
    <row r="1540">
      <c r="A1540" s="124"/>
      <c r="E1540" s="147"/>
      <c r="F1540" s="147"/>
      <c r="H1540" s="126"/>
      <c r="I1540" s="126"/>
    </row>
    <row r="1541">
      <c r="A1541" s="124"/>
      <c r="E1541" s="147"/>
      <c r="F1541" s="147"/>
      <c r="H1541" s="126"/>
      <c r="I1541" s="126"/>
    </row>
    <row r="1542">
      <c r="A1542" s="124"/>
      <c r="E1542" s="147"/>
      <c r="F1542" s="147"/>
      <c r="H1542" s="126"/>
      <c r="I1542" s="126"/>
    </row>
    <row r="1543">
      <c r="A1543" s="124"/>
      <c r="E1543" s="147"/>
      <c r="F1543" s="147"/>
      <c r="H1543" s="126"/>
      <c r="I1543" s="126"/>
    </row>
    <row r="1544">
      <c r="A1544" s="124"/>
      <c r="E1544" s="147"/>
      <c r="F1544" s="147"/>
      <c r="H1544" s="126"/>
      <c r="I1544" s="126"/>
    </row>
    <row r="1545">
      <c r="A1545" s="124"/>
      <c r="E1545" s="147"/>
      <c r="F1545" s="147"/>
      <c r="H1545" s="126"/>
      <c r="I1545" s="126"/>
    </row>
    <row r="1546">
      <c r="A1546" s="124"/>
      <c r="E1546" s="147"/>
      <c r="F1546" s="147"/>
      <c r="H1546" s="126"/>
      <c r="I1546" s="126"/>
    </row>
    <row r="1547">
      <c r="A1547" s="124"/>
      <c r="E1547" s="147"/>
      <c r="F1547" s="147"/>
      <c r="H1547" s="126"/>
      <c r="I1547" s="126"/>
    </row>
    <row r="1548">
      <c r="A1548" s="124"/>
      <c r="E1548" s="147"/>
      <c r="F1548" s="147"/>
      <c r="H1548" s="126"/>
      <c r="I1548" s="126"/>
    </row>
    <row r="1549">
      <c r="A1549" s="124"/>
      <c r="E1549" s="147"/>
      <c r="F1549" s="147"/>
      <c r="H1549" s="126"/>
      <c r="I1549" s="126"/>
    </row>
    <row r="1550">
      <c r="A1550" s="124"/>
      <c r="E1550" s="147"/>
      <c r="F1550" s="147"/>
      <c r="H1550" s="126"/>
      <c r="I1550" s="126"/>
    </row>
    <row r="1551">
      <c r="A1551" s="124"/>
      <c r="E1551" s="147"/>
      <c r="F1551" s="147"/>
      <c r="H1551" s="126"/>
      <c r="I1551" s="126"/>
    </row>
    <row r="1552">
      <c r="A1552" s="124"/>
      <c r="E1552" s="147"/>
      <c r="F1552" s="147"/>
      <c r="H1552" s="126"/>
      <c r="I1552" s="126"/>
    </row>
    <row r="1553">
      <c r="A1553" s="124"/>
      <c r="E1553" s="147"/>
      <c r="F1553" s="147"/>
      <c r="H1553" s="126"/>
      <c r="I1553" s="126"/>
    </row>
    <row r="1554">
      <c r="A1554" s="124"/>
      <c r="E1554" s="147"/>
      <c r="F1554" s="147"/>
      <c r="H1554" s="126"/>
      <c r="I1554" s="126"/>
    </row>
    <row r="1555">
      <c r="A1555" s="124"/>
      <c r="E1555" s="147"/>
      <c r="F1555" s="147"/>
      <c r="H1555" s="126"/>
      <c r="I1555" s="126"/>
    </row>
    <row r="1556">
      <c r="A1556" s="124"/>
      <c r="E1556" s="147"/>
      <c r="F1556" s="147"/>
      <c r="H1556" s="126"/>
      <c r="I1556" s="126"/>
    </row>
    <row r="1557">
      <c r="A1557" s="124"/>
      <c r="E1557" s="147"/>
      <c r="F1557" s="147"/>
      <c r="H1557" s="126"/>
      <c r="I1557" s="126"/>
    </row>
    <row r="1558">
      <c r="A1558" s="124"/>
      <c r="E1558" s="147"/>
      <c r="F1558" s="147"/>
      <c r="H1558" s="126"/>
      <c r="I1558" s="126"/>
    </row>
    <row r="1559">
      <c r="A1559" s="124"/>
      <c r="E1559" s="147"/>
      <c r="F1559" s="147"/>
      <c r="H1559" s="126"/>
      <c r="I1559" s="126"/>
    </row>
    <row r="1560">
      <c r="A1560" s="124"/>
      <c r="E1560" s="147"/>
      <c r="F1560" s="147"/>
      <c r="H1560" s="126"/>
      <c r="I1560" s="126"/>
    </row>
    <row r="1561">
      <c r="A1561" s="124"/>
      <c r="E1561" s="147"/>
      <c r="F1561" s="147"/>
      <c r="H1561" s="126"/>
      <c r="I1561" s="126"/>
    </row>
    <row r="1562">
      <c r="A1562" s="124"/>
      <c r="E1562" s="147"/>
      <c r="F1562" s="147"/>
      <c r="H1562" s="126"/>
      <c r="I1562" s="126"/>
    </row>
    <row r="1563">
      <c r="A1563" s="124"/>
      <c r="E1563" s="147"/>
      <c r="F1563" s="147"/>
      <c r="H1563" s="126"/>
      <c r="I1563" s="126"/>
    </row>
    <row r="1564">
      <c r="A1564" s="124"/>
      <c r="E1564" s="147"/>
      <c r="F1564" s="147"/>
      <c r="H1564" s="126"/>
      <c r="I1564" s="126"/>
    </row>
    <row r="1565">
      <c r="A1565" s="124"/>
      <c r="E1565" s="147"/>
      <c r="F1565" s="147"/>
      <c r="H1565" s="126"/>
      <c r="I1565" s="126"/>
    </row>
    <row r="1566">
      <c r="A1566" s="124"/>
      <c r="E1566" s="147"/>
      <c r="F1566" s="147"/>
      <c r="H1566" s="126"/>
      <c r="I1566" s="126"/>
    </row>
    <row r="1567">
      <c r="A1567" s="124"/>
      <c r="E1567" s="147"/>
      <c r="F1567" s="147"/>
      <c r="H1567" s="126"/>
      <c r="I1567" s="126"/>
    </row>
    <row r="1568">
      <c r="A1568" s="124"/>
      <c r="E1568" s="147"/>
      <c r="F1568" s="147"/>
      <c r="H1568" s="126"/>
      <c r="I1568" s="126"/>
    </row>
    <row r="1569">
      <c r="A1569" s="124"/>
      <c r="E1569" s="147"/>
      <c r="F1569" s="147"/>
      <c r="H1569" s="126"/>
      <c r="I1569" s="126"/>
    </row>
    <row r="1570">
      <c r="A1570" s="124"/>
      <c r="E1570" s="147"/>
      <c r="F1570" s="147"/>
      <c r="H1570" s="126"/>
      <c r="I1570" s="126"/>
    </row>
    <row r="1571">
      <c r="A1571" s="124"/>
      <c r="E1571" s="147"/>
      <c r="F1571" s="147"/>
      <c r="H1571" s="126"/>
      <c r="I1571" s="126"/>
    </row>
    <row r="1572">
      <c r="A1572" s="124"/>
      <c r="E1572" s="147"/>
      <c r="F1572" s="147"/>
      <c r="H1572" s="126"/>
      <c r="I1572" s="126"/>
    </row>
    <row r="1573">
      <c r="A1573" s="124"/>
      <c r="E1573" s="147"/>
      <c r="F1573" s="147"/>
      <c r="H1573" s="126"/>
      <c r="I1573" s="126"/>
    </row>
    <row r="1574">
      <c r="A1574" s="124"/>
      <c r="E1574" s="147"/>
      <c r="F1574" s="147"/>
      <c r="H1574" s="126"/>
      <c r="I1574" s="126"/>
    </row>
    <row r="1575">
      <c r="A1575" s="124"/>
      <c r="E1575" s="147"/>
      <c r="F1575" s="147"/>
      <c r="H1575" s="126"/>
      <c r="I1575" s="126"/>
    </row>
    <row r="1576">
      <c r="A1576" s="124"/>
      <c r="E1576" s="147"/>
      <c r="F1576" s="147"/>
      <c r="H1576" s="126"/>
      <c r="I1576" s="126"/>
    </row>
    <row r="1577">
      <c r="A1577" s="124"/>
      <c r="E1577" s="147"/>
      <c r="F1577" s="147"/>
      <c r="H1577" s="126"/>
      <c r="I1577" s="126"/>
    </row>
    <row r="1578">
      <c r="A1578" s="124"/>
      <c r="E1578" s="147"/>
      <c r="F1578" s="147"/>
      <c r="H1578" s="126"/>
      <c r="I1578" s="126"/>
    </row>
    <row r="1579">
      <c r="A1579" s="124"/>
      <c r="E1579" s="147"/>
      <c r="F1579" s="147"/>
      <c r="H1579" s="126"/>
      <c r="I1579" s="126"/>
    </row>
    <row r="1580">
      <c r="A1580" s="124"/>
      <c r="E1580" s="147"/>
      <c r="F1580" s="147"/>
      <c r="H1580" s="126"/>
      <c r="I1580" s="126"/>
    </row>
    <row r="1581">
      <c r="A1581" s="124"/>
      <c r="E1581" s="147"/>
      <c r="F1581" s="147"/>
      <c r="H1581" s="126"/>
      <c r="I1581" s="126"/>
    </row>
    <row r="1582">
      <c r="A1582" s="124"/>
      <c r="E1582" s="147"/>
      <c r="F1582" s="147"/>
      <c r="H1582" s="126"/>
      <c r="I1582" s="126"/>
    </row>
    <row r="1583">
      <c r="A1583" s="124"/>
      <c r="E1583" s="147"/>
      <c r="F1583" s="147"/>
      <c r="H1583" s="126"/>
      <c r="I1583" s="126"/>
    </row>
    <row r="1584">
      <c r="A1584" s="124"/>
      <c r="E1584" s="147"/>
      <c r="F1584" s="147"/>
      <c r="H1584" s="126"/>
      <c r="I1584" s="126"/>
    </row>
    <row r="1585">
      <c r="A1585" s="124"/>
      <c r="E1585" s="147"/>
      <c r="F1585" s="147"/>
      <c r="H1585" s="126"/>
      <c r="I1585" s="126"/>
    </row>
    <row r="1586">
      <c r="A1586" s="124"/>
      <c r="E1586" s="147"/>
      <c r="F1586" s="147"/>
      <c r="H1586" s="126"/>
      <c r="I1586" s="126"/>
    </row>
    <row r="1587">
      <c r="A1587" s="124"/>
      <c r="E1587" s="147"/>
      <c r="F1587" s="147"/>
      <c r="H1587" s="126"/>
      <c r="I1587" s="126"/>
    </row>
    <row r="1588">
      <c r="A1588" s="124"/>
      <c r="E1588" s="147"/>
      <c r="F1588" s="147"/>
      <c r="H1588" s="126"/>
      <c r="I1588" s="126"/>
    </row>
    <row r="1589">
      <c r="A1589" s="124"/>
      <c r="E1589" s="147"/>
      <c r="F1589" s="147"/>
      <c r="H1589" s="126"/>
      <c r="I1589" s="126"/>
    </row>
    <row r="1590">
      <c r="A1590" s="124"/>
      <c r="E1590" s="147"/>
      <c r="F1590" s="147"/>
      <c r="H1590" s="126"/>
      <c r="I1590" s="126"/>
    </row>
    <row r="1591">
      <c r="A1591" s="124"/>
      <c r="E1591" s="147"/>
      <c r="F1591" s="147"/>
      <c r="H1591" s="126"/>
      <c r="I1591" s="126"/>
    </row>
    <row r="1592">
      <c r="A1592" s="124"/>
      <c r="E1592" s="147"/>
      <c r="F1592" s="147"/>
      <c r="H1592" s="126"/>
      <c r="I1592" s="126"/>
    </row>
    <row r="1593">
      <c r="A1593" s="124"/>
      <c r="E1593" s="147"/>
      <c r="F1593" s="147"/>
      <c r="H1593" s="126"/>
      <c r="I1593" s="126"/>
    </row>
    <row r="1594">
      <c r="A1594" s="124"/>
      <c r="E1594" s="147"/>
      <c r="F1594" s="147"/>
      <c r="H1594" s="126"/>
      <c r="I1594" s="126"/>
    </row>
    <row r="1595">
      <c r="A1595" s="124"/>
      <c r="E1595" s="147"/>
      <c r="F1595" s="147"/>
      <c r="H1595" s="126"/>
      <c r="I1595" s="126"/>
    </row>
    <row r="1596">
      <c r="A1596" s="124"/>
      <c r="E1596" s="147"/>
      <c r="F1596" s="147"/>
      <c r="H1596" s="126"/>
      <c r="I1596" s="126"/>
    </row>
    <row r="1597">
      <c r="A1597" s="124"/>
      <c r="E1597" s="147"/>
      <c r="F1597" s="147"/>
      <c r="H1597" s="126"/>
      <c r="I1597" s="126"/>
    </row>
    <row r="1598">
      <c r="A1598" s="124"/>
      <c r="E1598" s="147"/>
      <c r="F1598" s="147"/>
      <c r="H1598" s="126"/>
      <c r="I1598" s="126"/>
    </row>
    <row r="1599">
      <c r="A1599" s="124"/>
      <c r="E1599" s="147"/>
      <c r="F1599" s="147"/>
      <c r="H1599" s="126"/>
      <c r="I1599" s="126"/>
    </row>
    <row r="1600">
      <c r="A1600" s="124"/>
      <c r="E1600" s="147"/>
      <c r="F1600" s="147"/>
      <c r="H1600" s="126"/>
      <c r="I1600" s="126"/>
    </row>
    <row r="1601">
      <c r="A1601" s="124"/>
      <c r="E1601" s="147"/>
      <c r="F1601" s="147"/>
      <c r="H1601" s="126"/>
      <c r="I1601" s="126"/>
    </row>
    <row r="1602">
      <c r="A1602" s="124"/>
      <c r="E1602" s="147"/>
      <c r="F1602" s="147"/>
      <c r="H1602" s="126"/>
      <c r="I1602" s="126"/>
    </row>
    <row r="1603">
      <c r="A1603" s="124"/>
      <c r="E1603" s="147"/>
      <c r="F1603" s="147"/>
      <c r="H1603" s="126"/>
      <c r="I1603" s="126"/>
    </row>
    <row r="1604">
      <c r="A1604" s="124"/>
      <c r="E1604" s="147"/>
      <c r="F1604" s="147"/>
      <c r="H1604" s="126"/>
      <c r="I1604" s="126"/>
    </row>
    <row r="1605">
      <c r="A1605" s="124"/>
      <c r="E1605" s="147"/>
      <c r="F1605" s="147"/>
      <c r="H1605" s="126"/>
      <c r="I1605" s="126"/>
    </row>
    <row r="1606">
      <c r="A1606" s="124"/>
      <c r="E1606" s="147"/>
      <c r="F1606" s="147"/>
      <c r="H1606" s="126"/>
      <c r="I1606" s="126"/>
    </row>
    <row r="1607">
      <c r="A1607" s="124"/>
      <c r="E1607" s="147"/>
      <c r="F1607" s="147"/>
      <c r="H1607" s="126"/>
      <c r="I1607" s="126"/>
    </row>
    <row r="1608">
      <c r="A1608" s="124"/>
      <c r="E1608" s="147"/>
      <c r="F1608" s="147"/>
      <c r="H1608" s="126"/>
      <c r="I1608" s="126"/>
    </row>
    <row r="1609">
      <c r="A1609" s="124"/>
      <c r="E1609" s="147"/>
      <c r="F1609" s="147"/>
      <c r="H1609" s="126"/>
      <c r="I1609" s="126"/>
    </row>
    <row r="1610">
      <c r="A1610" s="124"/>
      <c r="E1610" s="147"/>
      <c r="F1610" s="147"/>
      <c r="H1610" s="126"/>
      <c r="I1610" s="126"/>
    </row>
    <row r="1611">
      <c r="A1611" s="124"/>
      <c r="E1611" s="147"/>
      <c r="F1611" s="147"/>
      <c r="H1611" s="126"/>
      <c r="I1611" s="126"/>
    </row>
    <row r="1612">
      <c r="A1612" s="124"/>
      <c r="E1612" s="147"/>
      <c r="F1612" s="147"/>
      <c r="H1612" s="126"/>
      <c r="I1612" s="126"/>
    </row>
    <row r="1613">
      <c r="A1613" s="124"/>
      <c r="E1613" s="147"/>
      <c r="F1613" s="147"/>
      <c r="H1613" s="126"/>
      <c r="I1613" s="126"/>
    </row>
    <row r="1614">
      <c r="A1614" s="124"/>
      <c r="E1614" s="147"/>
      <c r="F1614" s="147"/>
      <c r="H1614" s="126"/>
      <c r="I1614" s="126"/>
    </row>
    <row r="1615">
      <c r="A1615" s="124"/>
      <c r="E1615" s="147"/>
      <c r="F1615" s="147"/>
      <c r="H1615" s="126"/>
      <c r="I1615" s="126"/>
    </row>
    <row r="1616">
      <c r="A1616" s="124"/>
      <c r="E1616" s="147"/>
      <c r="F1616" s="147"/>
      <c r="H1616" s="126"/>
      <c r="I1616" s="126"/>
    </row>
    <row r="1617">
      <c r="A1617" s="124"/>
      <c r="E1617" s="147"/>
      <c r="F1617" s="147"/>
      <c r="H1617" s="126"/>
      <c r="I1617" s="126"/>
    </row>
    <row r="1618">
      <c r="A1618" s="124"/>
      <c r="E1618" s="147"/>
      <c r="F1618" s="147"/>
      <c r="H1618" s="126"/>
      <c r="I1618" s="126"/>
    </row>
    <row r="1619">
      <c r="A1619" s="124"/>
      <c r="E1619" s="147"/>
      <c r="F1619" s="147"/>
      <c r="H1619" s="126"/>
      <c r="I1619" s="126"/>
    </row>
    <row r="1620">
      <c r="A1620" s="124"/>
      <c r="E1620" s="147"/>
      <c r="F1620" s="147"/>
      <c r="H1620" s="126"/>
      <c r="I1620" s="126"/>
    </row>
    <row r="1621">
      <c r="A1621" s="124"/>
      <c r="E1621" s="147"/>
      <c r="F1621" s="147"/>
      <c r="H1621" s="126"/>
      <c r="I1621" s="126"/>
    </row>
    <row r="1622">
      <c r="A1622" s="124"/>
      <c r="E1622" s="147"/>
      <c r="F1622" s="147"/>
      <c r="H1622" s="126"/>
      <c r="I1622" s="126"/>
    </row>
    <row r="1623">
      <c r="A1623" s="124"/>
      <c r="E1623" s="147"/>
      <c r="F1623" s="147"/>
      <c r="H1623" s="126"/>
      <c r="I1623" s="126"/>
    </row>
    <row r="1624">
      <c r="A1624" s="124"/>
      <c r="E1624" s="147"/>
      <c r="F1624" s="147"/>
      <c r="H1624" s="126"/>
      <c r="I1624" s="126"/>
    </row>
    <row r="1625">
      <c r="A1625" s="124"/>
      <c r="E1625" s="147"/>
      <c r="F1625" s="147"/>
      <c r="H1625" s="126"/>
      <c r="I1625" s="126"/>
    </row>
    <row r="1626">
      <c r="A1626" s="124"/>
      <c r="E1626" s="147"/>
      <c r="F1626" s="147"/>
      <c r="H1626" s="126"/>
      <c r="I1626" s="126"/>
    </row>
    <row r="1627">
      <c r="A1627" s="124"/>
      <c r="E1627" s="147"/>
      <c r="F1627" s="147"/>
      <c r="H1627" s="126"/>
      <c r="I1627" s="126"/>
    </row>
    <row r="1628">
      <c r="A1628" s="124"/>
      <c r="E1628" s="147"/>
      <c r="F1628" s="147"/>
      <c r="H1628" s="126"/>
      <c r="I1628" s="126"/>
    </row>
    <row r="1629">
      <c r="A1629" s="124"/>
      <c r="E1629" s="147"/>
      <c r="F1629" s="147"/>
      <c r="H1629" s="126"/>
      <c r="I1629" s="126"/>
    </row>
    <row r="1630">
      <c r="A1630" s="124"/>
      <c r="E1630" s="147"/>
      <c r="F1630" s="147"/>
      <c r="H1630" s="126"/>
      <c r="I1630" s="126"/>
    </row>
    <row r="1631">
      <c r="A1631" s="124"/>
      <c r="E1631" s="147"/>
      <c r="F1631" s="147"/>
      <c r="H1631" s="126"/>
      <c r="I1631" s="126"/>
    </row>
    <row r="1632">
      <c r="A1632" s="124"/>
      <c r="E1632" s="147"/>
      <c r="F1632" s="147"/>
      <c r="H1632" s="126"/>
      <c r="I1632" s="126"/>
    </row>
    <row r="1633">
      <c r="A1633" s="124"/>
      <c r="E1633" s="147"/>
      <c r="F1633" s="147"/>
      <c r="H1633" s="126"/>
      <c r="I1633" s="126"/>
    </row>
    <row r="1634">
      <c r="A1634" s="124"/>
      <c r="E1634" s="147"/>
      <c r="F1634" s="147"/>
      <c r="H1634" s="126"/>
      <c r="I1634" s="126"/>
    </row>
    <row r="1635">
      <c r="A1635" s="124"/>
      <c r="E1635" s="147"/>
      <c r="F1635" s="147"/>
      <c r="H1635" s="126"/>
      <c r="I1635" s="126"/>
    </row>
    <row r="1636">
      <c r="A1636" s="124"/>
      <c r="E1636" s="147"/>
      <c r="F1636" s="147"/>
      <c r="H1636" s="126"/>
      <c r="I1636" s="126"/>
    </row>
    <row r="1637">
      <c r="A1637" s="124"/>
      <c r="E1637" s="147"/>
      <c r="F1637" s="147"/>
      <c r="H1637" s="126"/>
      <c r="I1637" s="126"/>
    </row>
    <row r="1638">
      <c r="A1638" s="124"/>
      <c r="E1638" s="147"/>
      <c r="F1638" s="147"/>
      <c r="H1638" s="126"/>
      <c r="I1638" s="126"/>
    </row>
    <row r="1639">
      <c r="A1639" s="124"/>
      <c r="E1639" s="147"/>
      <c r="F1639" s="147"/>
      <c r="H1639" s="126"/>
      <c r="I1639" s="126"/>
    </row>
    <row r="1640">
      <c r="A1640" s="124"/>
      <c r="E1640" s="147"/>
      <c r="F1640" s="147"/>
      <c r="H1640" s="126"/>
      <c r="I1640" s="126"/>
    </row>
    <row r="1641">
      <c r="A1641" s="124"/>
      <c r="E1641" s="147"/>
      <c r="F1641" s="147"/>
      <c r="H1641" s="126"/>
      <c r="I1641" s="126"/>
    </row>
    <row r="1642">
      <c r="A1642" s="124"/>
      <c r="E1642" s="147"/>
      <c r="F1642" s="147"/>
      <c r="H1642" s="126"/>
      <c r="I1642" s="126"/>
    </row>
    <row r="1643">
      <c r="A1643" s="124"/>
      <c r="E1643" s="147"/>
      <c r="F1643" s="147"/>
      <c r="H1643" s="126"/>
      <c r="I1643" s="126"/>
    </row>
    <row r="1644">
      <c r="A1644" s="124"/>
      <c r="E1644" s="147"/>
      <c r="F1644" s="147"/>
      <c r="H1644" s="126"/>
      <c r="I1644" s="126"/>
    </row>
    <row r="1645">
      <c r="A1645" s="124"/>
      <c r="E1645" s="147"/>
      <c r="F1645" s="147"/>
      <c r="H1645" s="126"/>
      <c r="I1645" s="126"/>
    </row>
    <row r="1646">
      <c r="A1646" s="124"/>
      <c r="E1646" s="147"/>
      <c r="F1646" s="147"/>
      <c r="H1646" s="126"/>
      <c r="I1646" s="126"/>
    </row>
    <row r="1647">
      <c r="A1647" s="124"/>
      <c r="E1647" s="147"/>
      <c r="F1647" s="147"/>
      <c r="H1647" s="126"/>
      <c r="I1647" s="126"/>
    </row>
    <row r="1648">
      <c r="A1648" s="124"/>
      <c r="E1648" s="147"/>
      <c r="F1648" s="147"/>
      <c r="H1648" s="126"/>
      <c r="I1648" s="126"/>
    </row>
    <row r="1649">
      <c r="A1649" s="124"/>
      <c r="E1649" s="147"/>
      <c r="F1649" s="147"/>
      <c r="H1649" s="126"/>
      <c r="I1649" s="126"/>
    </row>
    <row r="1650">
      <c r="A1650" s="124"/>
      <c r="E1650" s="147"/>
      <c r="F1650" s="147"/>
      <c r="H1650" s="126"/>
      <c r="I1650" s="126"/>
    </row>
    <row r="1651">
      <c r="A1651" s="124"/>
      <c r="E1651" s="147"/>
      <c r="F1651" s="147"/>
      <c r="H1651" s="126"/>
      <c r="I1651" s="126"/>
    </row>
    <row r="1652">
      <c r="A1652" s="124"/>
      <c r="E1652" s="147"/>
      <c r="F1652" s="147"/>
      <c r="H1652" s="126"/>
      <c r="I1652" s="126"/>
    </row>
    <row r="1653">
      <c r="A1653" s="124"/>
      <c r="E1653" s="147"/>
      <c r="F1653" s="147"/>
      <c r="H1653" s="126"/>
      <c r="I1653" s="126"/>
    </row>
    <row r="1654">
      <c r="A1654" s="124"/>
      <c r="E1654" s="147"/>
      <c r="F1654" s="147"/>
      <c r="H1654" s="126"/>
      <c r="I1654" s="126"/>
    </row>
    <row r="1655">
      <c r="A1655" s="124"/>
      <c r="E1655" s="147"/>
      <c r="F1655" s="147"/>
      <c r="H1655" s="126"/>
      <c r="I1655" s="126"/>
    </row>
    <row r="1656">
      <c r="A1656" s="124"/>
      <c r="E1656" s="147"/>
      <c r="F1656" s="147"/>
      <c r="H1656" s="126"/>
      <c r="I1656" s="126"/>
    </row>
    <row r="1657">
      <c r="A1657" s="124"/>
      <c r="E1657" s="147"/>
      <c r="F1657" s="147"/>
      <c r="H1657" s="126"/>
      <c r="I1657" s="126"/>
    </row>
    <row r="1658">
      <c r="A1658" s="124"/>
      <c r="E1658" s="147"/>
      <c r="F1658" s="147"/>
      <c r="H1658" s="126"/>
      <c r="I1658" s="126"/>
    </row>
    <row r="1659">
      <c r="A1659" s="124"/>
      <c r="E1659" s="147"/>
      <c r="F1659" s="147"/>
      <c r="H1659" s="126"/>
      <c r="I1659" s="126"/>
    </row>
    <row r="1660">
      <c r="A1660" s="124"/>
      <c r="E1660" s="147"/>
      <c r="F1660" s="147"/>
      <c r="H1660" s="126"/>
      <c r="I1660" s="126"/>
    </row>
    <row r="1661">
      <c r="A1661" s="124"/>
      <c r="E1661" s="147"/>
      <c r="F1661" s="147"/>
      <c r="H1661" s="126"/>
      <c r="I1661" s="126"/>
    </row>
    <row r="1662">
      <c r="A1662" s="124"/>
      <c r="E1662" s="147"/>
      <c r="F1662" s="147"/>
      <c r="H1662" s="126"/>
      <c r="I1662" s="126"/>
    </row>
    <row r="1663">
      <c r="A1663" s="124"/>
      <c r="E1663" s="147"/>
      <c r="F1663" s="147"/>
      <c r="H1663" s="126"/>
      <c r="I1663" s="126"/>
    </row>
    <row r="1664">
      <c r="A1664" s="124"/>
      <c r="E1664" s="147"/>
      <c r="F1664" s="147"/>
      <c r="H1664" s="126"/>
      <c r="I1664" s="126"/>
    </row>
    <row r="1665">
      <c r="A1665" s="124"/>
      <c r="E1665" s="147"/>
      <c r="F1665" s="147"/>
      <c r="H1665" s="126"/>
      <c r="I1665" s="126"/>
    </row>
    <row r="1666">
      <c r="A1666" s="124"/>
      <c r="E1666" s="147"/>
      <c r="F1666" s="147"/>
      <c r="H1666" s="126"/>
      <c r="I1666" s="126"/>
    </row>
    <row r="1667">
      <c r="A1667" s="124"/>
      <c r="E1667" s="147"/>
      <c r="F1667" s="147"/>
      <c r="H1667" s="126"/>
      <c r="I1667" s="126"/>
    </row>
    <row r="1668">
      <c r="A1668" s="124"/>
      <c r="E1668" s="147"/>
      <c r="F1668" s="147"/>
      <c r="H1668" s="126"/>
      <c r="I1668" s="126"/>
    </row>
    <row r="1669">
      <c r="A1669" s="124"/>
      <c r="E1669" s="147"/>
      <c r="F1669" s="147"/>
      <c r="H1669" s="126"/>
      <c r="I1669" s="126"/>
    </row>
    <row r="1670">
      <c r="A1670" s="124"/>
      <c r="E1670" s="147"/>
      <c r="F1670" s="147"/>
      <c r="H1670" s="126"/>
      <c r="I1670" s="126"/>
    </row>
    <row r="1671">
      <c r="A1671" s="124"/>
      <c r="E1671" s="147"/>
      <c r="F1671" s="147"/>
      <c r="H1671" s="126"/>
      <c r="I1671" s="126"/>
    </row>
    <row r="1672">
      <c r="A1672" s="124"/>
      <c r="E1672" s="147"/>
      <c r="F1672" s="147"/>
      <c r="H1672" s="126"/>
      <c r="I1672" s="126"/>
    </row>
    <row r="1673">
      <c r="A1673" s="124"/>
      <c r="E1673" s="147"/>
      <c r="F1673" s="147"/>
      <c r="H1673" s="126"/>
      <c r="I1673" s="126"/>
    </row>
    <row r="1674">
      <c r="A1674" s="124"/>
      <c r="E1674" s="147"/>
      <c r="F1674" s="147"/>
      <c r="H1674" s="126"/>
      <c r="I1674" s="126"/>
    </row>
    <row r="1675">
      <c r="A1675" s="124"/>
      <c r="E1675" s="147"/>
      <c r="F1675" s="147"/>
      <c r="H1675" s="126"/>
      <c r="I1675" s="126"/>
    </row>
    <row r="1676">
      <c r="A1676" s="124"/>
      <c r="E1676" s="147"/>
      <c r="F1676" s="147"/>
      <c r="H1676" s="126"/>
      <c r="I1676" s="126"/>
    </row>
    <row r="1677">
      <c r="A1677" s="124"/>
      <c r="E1677" s="147"/>
      <c r="F1677" s="147"/>
      <c r="H1677" s="126"/>
      <c r="I1677" s="126"/>
    </row>
    <row r="1678">
      <c r="A1678" s="124"/>
      <c r="E1678" s="147"/>
      <c r="F1678" s="147"/>
      <c r="H1678" s="126"/>
      <c r="I1678" s="126"/>
    </row>
    <row r="1679">
      <c r="A1679" s="124"/>
      <c r="E1679" s="147"/>
      <c r="F1679" s="147"/>
      <c r="H1679" s="126"/>
      <c r="I1679" s="126"/>
    </row>
    <row r="1680">
      <c r="A1680" s="124"/>
      <c r="E1680" s="147"/>
      <c r="F1680" s="147"/>
      <c r="H1680" s="126"/>
      <c r="I1680" s="126"/>
    </row>
    <row r="1681">
      <c r="A1681" s="124"/>
      <c r="E1681" s="147"/>
      <c r="F1681" s="147"/>
      <c r="H1681" s="126"/>
      <c r="I1681" s="126"/>
    </row>
    <row r="1682">
      <c r="A1682" s="124"/>
      <c r="E1682" s="147"/>
      <c r="F1682" s="147"/>
      <c r="H1682" s="126"/>
      <c r="I1682" s="126"/>
    </row>
    <row r="1683">
      <c r="A1683" s="124"/>
      <c r="E1683" s="147"/>
      <c r="F1683" s="147"/>
      <c r="H1683" s="126"/>
      <c r="I1683" s="126"/>
    </row>
    <row r="1684">
      <c r="A1684" s="124"/>
      <c r="E1684" s="147"/>
      <c r="F1684" s="147"/>
      <c r="H1684" s="126"/>
      <c r="I1684" s="126"/>
    </row>
    <row r="1685">
      <c r="A1685" s="124"/>
      <c r="E1685" s="147"/>
      <c r="F1685" s="147"/>
      <c r="H1685" s="126"/>
      <c r="I1685" s="126"/>
    </row>
    <row r="1686">
      <c r="A1686" s="124"/>
      <c r="E1686" s="147"/>
      <c r="F1686" s="147"/>
      <c r="H1686" s="126"/>
      <c r="I1686" s="126"/>
    </row>
    <row r="1687">
      <c r="A1687" s="124"/>
      <c r="E1687" s="147"/>
      <c r="F1687" s="147"/>
      <c r="H1687" s="126"/>
      <c r="I1687" s="126"/>
    </row>
    <row r="1688">
      <c r="A1688" s="124"/>
      <c r="E1688" s="147"/>
      <c r="F1688" s="147"/>
      <c r="H1688" s="126"/>
      <c r="I1688" s="126"/>
    </row>
    <row r="1689">
      <c r="A1689" s="124"/>
      <c r="E1689" s="147"/>
      <c r="F1689" s="147"/>
      <c r="H1689" s="126"/>
      <c r="I1689" s="126"/>
    </row>
    <row r="1690">
      <c r="A1690" s="124"/>
      <c r="E1690" s="147"/>
      <c r="F1690" s="147"/>
      <c r="H1690" s="126"/>
      <c r="I1690" s="126"/>
    </row>
    <row r="1691">
      <c r="A1691" s="124"/>
      <c r="E1691" s="147"/>
      <c r="F1691" s="147"/>
      <c r="H1691" s="126"/>
      <c r="I1691" s="126"/>
    </row>
    <row r="1692">
      <c r="A1692" s="124"/>
      <c r="E1692" s="147"/>
      <c r="F1692" s="147"/>
      <c r="H1692" s="126"/>
      <c r="I1692" s="126"/>
    </row>
    <row r="1693">
      <c r="A1693" s="124"/>
      <c r="E1693" s="147"/>
      <c r="F1693" s="147"/>
      <c r="H1693" s="126"/>
      <c r="I1693" s="126"/>
    </row>
    <row r="1694">
      <c r="A1694" s="124"/>
      <c r="E1694" s="147"/>
      <c r="F1694" s="147"/>
      <c r="H1694" s="126"/>
      <c r="I1694" s="126"/>
    </row>
    <row r="1695">
      <c r="A1695" s="124"/>
      <c r="E1695" s="147"/>
      <c r="F1695" s="147"/>
      <c r="H1695" s="126"/>
      <c r="I1695" s="126"/>
    </row>
    <row r="1696">
      <c r="A1696" s="124"/>
      <c r="E1696" s="147"/>
      <c r="F1696" s="147"/>
      <c r="H1696" s="126"/>
      <c r="I1696" s="126"/>
    </row>
    <row r="1697">
      <c r="A1697" s="124"/>
      <c r="E1697" s="147"/>
      <c r="F1697" s="147"/>
      <c r="H1697" s="126"/>
      <c r="I1697" s="126"/>
    </row>
    <row r="1698">
      <c r="A1698" s="124"/>
      <c r="E1698" s="147"/>
      <c r="F1698" s="147"/>
      <c r="H1698" s="126"/>
      <c r="I1698" s="126"/>
    </row>
    <row r="1699">
      <c r="A1699" s="124"/>
      <c r="E1699" s="147"/>
      <c r="F1699" s="147"/>
      <c r="H1699" s="126"/>
      <c r="I1699" s="126"/>
    </row>
    <row r="1700">
      <c r="A1700" s="124"/>
      <c r="E1700" s="147"/>
      <c r="F1700" s="147"/>
      <c r="H1700" s="126"/>
      <c r="I1700" s="126"/>
    </row>
    <row r="1701">
      <c r="A1701" s="124"/>
      <c r="E1701" s="147"/>
      <c r="F1701" s="147"/>
      <c r="H1701" s="126"/>
      <c r="I1701" s="126"/>
    </row>
    <row r="1702">
      <c r="A1702" s="124"/>
      <c r="E1702" s="147"/>
      <c r="F1702" s="147"/>
      <c r="H1702" s="126"/>
      <c r="I1702" s="126"/>
    </row>
    <row r="1703">
      <c r="A1703" s="124"/>
      <c r="E1703" s="147"/>
      <c r="F1703" s="147"/>
      <c r="H1703" s="126"/>
      <c r="I1703" s="126"/>
    </row>
    <row r="1704">
      <c r="A1704" s="124"/>
      <c r="E1704" s="147"/>
      <c r="F1704" s="147"/>
      <c r="H1704" s="126"/>
      <c r="I1704" s="126"/>
    </row>
    <row r="1705">
      <c r="A1705" s="124"/>
      <c r="E1705" s="147"/>
      <c r="F1705" s="147"/>
      <c r="H1705" s="126"/>
      <c r="I1705" s="126"/>
    </row>
    <row r="1706">
      <c r="A1706" s="124"/>
      <c r="E1706" s="147"/>
      <c r="F1706" s="147"/>
      <c r="H1706" s="126"/>
      <c r="I1706" s="126"/>
    </row>
    <row r="1707">
      <c r="A1707" s="124"/>
      <c r="E1707" s="147"/>
      <c r="F1707" s="147"/>
      <c r="H1707" s="126"/>
      <c r="I1707" s="126"/>
    </row>
    <row r="1708">
      <c r="A1708" s="124"/>
      <c r="E1708" s="147"/>
      <c r="F1708" s="147"/>
      <c r="H1708" s="126"/>
      <c r="I1708" s="126"/>
    </row>
    <row r="1709">
      <c r="A1709" s="124"/>
      <c r="E1709" s="147"/>
      <c r="F1709" s="147"/>
      <c r="H1709" s="126"/>
      <c r="I1709" s="126"/>
    </row>
    <row r="1710">
      <c r="A1710" s="124"/>
      <c r="E1710" s="147"/>
      <c r="F1710" s="147"/>
      <c r="H1710" s="126"/>
      <c r="I1710" s="126"/>
    </row>
    <row r="1711">
      <c r="A1711" s="124"/>
      <c r="E1711" s="147"/>
      <c r="F1711" s="147"/>
      <c r="H1711" s="126"/>
      <c r="I1711" s="126"/>
    </row>
    <row r="1712">
      <c r="A1712" s="124"/>
      <c r="E1712" s="147"/>
      <c r="F1712" s="147"/>
      <c r="H1712" s="126"/>
      <c r="I1712" s="126"/>
    </row>
    <row r="1713">
      <c r="A1713" s="124"/>
      <c r="E1713" s="147"/>
      <c r="F1713" s="147"/>
      <c r="H1713" s="126"/>
      <c r="I1713" s="126"/>
    </row>
    <row r="1714">
      <c r="A1714" s="124"/>
      <c r="E1714" s="147"/>
      <c r="F1714" s="147"/>
      <c r="H1714" s="126"/>
      <c r="I1714" s="126"/>
    </row>
    <row r="1715">
      <c r="A1715" s="124"/>
      <c r="E1715" s="147"/>
      <c r="F1715" s="147"/>
      <c r="H1715" s="126"/>
      <c r="I1715" s="126"/>
    </row>
    <row r="1716">
      <c r="A1716" s="124"/>
      <c r="E1716" s="147"/>
      <c r="F1716" s="147"/>
      <c r="H1716" s="126"/>
      <c r="I1716" s="126"/>
    </row>
    <row r="1717">
      <c r="A1717" s="124"/>
      <c r="E1717" s="147"/>
      <c r="F1717" s="147"/>
      <c r="H1717" s="126"/>
      <c r="I1717" s="126"/>
    </row>
    <row r="1718">
      <c r="A1718" s="124"/>
      <c r="E1718" s="147"/>
      <c r="F1718" s="147"/>
      <c r="H1718" s="126"/>
      <c r="I1718" s="126"/>
    </row>
    <row r="1719">
      <c r="A1719" s="124"/>
      <c r="E1719" s="147"/>
      <c r="F1719" s="147"/>
      <c r="H1719" s="126"/>
      <c r="I1719" s="126"/>
    </row>
    <row r="1720">
      <c r="A1720" s="124"/>
      <c r="E1720" s="147"/>
      <c r="F1720" s="147"/>
      <c r="H1720" s="126"/>
      <c r="I1720" s="126"/>
    </row>
    <row r="1721">
      <c r="A1721" s="124"/>
      <c r="E1721" s="147"/>
      <c r="F1721" s="147"/>
      <c r="H1721" s="126"/>
      <c r="I1721" s="126"/>
    </row>
    <row r="1722">
      <c r="A1722" s="124"/>
      <c r="E1722" s="147"/>
      <c r="F1722" s="147"/>
      <c r="H1722" s="126"/>
      <c r="I1722" s="126"/>
    </row>
    <row r="1723">
      <c r="A1723" s="124"/>
      <c r="E1723" s="147"/>
      <c r="F1723" s="147"/>
      <c r="H1723" s="126"/>
      <c r="I1723" s="126"/>
    </row>
    <row r="1724">
      <c r="A1724" s="124"/>
      <c r="E1724" s="147"/>
      <c r="F1724" s="147"/>
      <c r="H1724" s="126"/>
      <c r="I1724" s="126"/>
    </row>
    <row r="1725">
      <c r="A1725" s="124"/>
      <c r="E1725" s="147"/>
      <c r="F1725" s="147"/>
      <c r="H1725" s="126"/>
      <c r="I1725" s="126"/>
    </row>
    <row r="1726">
      <c r="A1726" s="124"/>
      <c r="E1726" s="146"/>
      <c r="F1726" s="146"/>
      <c r="H1726" s="126"/>
      <c r="I1726" s="126"/>
    </row>
    <row r="1727">
      <c r="A1727" s="124"/>
      <c r="E1727" s="146"/>
      <c r="F1727" s="146"/>
      <c r="H1727" s="126"/>
      <c r="I1727" s="126"/>
    </row>
    <row r="1728">
      <c r="A1728" s="124"/>
      <c r="E1728" s="146"/>
      <c r="F1728" s="146"/>
      <c r="H1728" s="126"/>
      <c r="I1728" s="126"/>
    </row>
    <row r="1729">
      <c r="A1729" s="124"/>
      <c r="E1729" s="146"/>
      <c r="F1729" s="146"/>
      <c r="H1729" s="126"/>
      <c r="I1729" s="126"/>
    </row>
    <row r="1730">
      <c r="A1730" s="124"/>
      <c r="E1730" s="146"/>
      <c r="F1730" s="146"/>
      <c r="H1730" s="126"/>
      <c r="I1730" s="126"/>
    </row>
    <row r="1731">
      <c r="A1731" s="124"/>
      <c r="E1731" s="146"/>
      <c r="F1731" s="146"/>
      <c r="H1731" s="126"/>
      <c r="I1731" s="126"/>
    </row>
    <row r="1732">
      <c r="A1732" s="124"/>
      <c r="E1732" s="146"/>
      <c r="F1732" s="146"/>
      <c r="H1732" s="126"/>
      <c r="I1732" s="126"/>
    </row>
    <row r="1733">
      <c r="A1733" s="124"/>
      <c r="E1733" s="146"/>
      <c r="F1733" s="146"/>
      <c r="H1733" s="126"/>
      <c r="I1733" s="126"/>
    </row>
    <row r="1734">
      <c r="A1734" s="124"/>
      <c r="E1734" s="146"/>
      <c r="F1734" s="146"/>
      <c r="H1734" s="126"/>
      <c r="I1734" s="126"/>
    </row>
    <row r="1735">
      <c r="A1735" s="124"/>
      <c r="E1735" s="146"/>
      <c r="F1735" s="146"/>
      <c r="H1735" s="126"/>
      <c r="I1735" s="126"/>
    </row>
    <row r="1736">
      <c r="A1736" s="124"/>
      <c r="E1736" s="146"/>
      <c r="F1736" s="146"/>
      <c r="H1736" s="126"/>
      <c r="I1736" s="126"/>
    </row>
    <row r="1737">
      <c r="A1737" s="124"/>
      <c r="E1737" s="146"/>
      <c r="F1737" s="146"/>
      <c r="H1737" s="126"/>
      <c r="I1737" s="126"/>
    </row>
    <row r="1738">
      <c r="A1738" s="124"/>
      <c r="E1738" s="146"/>
      <c r="F1738" s="146"/>
      <c r="H1738" s="126"/>
      <c r="I1738" s="126"/>
    </row>
    <row r="1739">
      <c r="A1739" s="124"/>
      <c r="E1739" s="146"/>
      <c r="F1739" s="146"/>
      <c r="H1739" s="126"/>
      <c r="I1739" s="126"/>
    </row>
    <row r="1740">
      <c r="A1740" s="124"/>
      <c r="E1740" s="146"/>
      <c r="F1740" s="146"/>
      <c r="H1740" s="126"/>
      <c r="I1740" s="126"/>
    </row>
    <row r="1741">
      <c r="A1741" s="124"/>
      <c r="E1741" s="146"/>
      <c r="F1741" s="146"/>
      <c r="H1741" s="126"/>
      <c r="I1741" s="126"/>
    </row>
    <row r="1742">
      <c r="A1742" s="124"/>
      <c r="E1742" s="146"/>
      <c r="F1742" s="146"/>
      <c r="H1742" s="126"/>
      <c r="I1742" s="126"/>
    </row>
    <row r="1743">
      <c r="A1743" s="124"/>
      <c r="E1743" s="146"/>
      <c r="F1743" s="146"/>
      <c r="H1743" s="126"/>
      <c r="I1743" s="126"/>
    </row>
    <row r="1744">
      <c r="A1744" s="124"/>
      <c r="E1744" s="146"/>
      <c r="F1744" s="146"/>
      <c r="H1744" s="126"/>
      <c r="I1744" s="126"/>
    </row>
    <row r="1745">
      <c r="A1745" s="124"/>
      <c r="E1745" s="146"/>
      <c r="F1745" s="146"/>
      <c r="H1745" s="126"/>
      <c r="I1745" s="126"/>
    </row>
    <row r="1746">
      <c r="A1746" s="124"/>
      <c r="E1746" s="146"/>
      <c r="F1746" s="146"/>
      <c r="H1746" s="126"/>
      <c r="I1746" s="126"/>
    </row>
    <row r="1747">
      <c r="A1747" s="124"/>
      <c r="E1747" s="146"/>
      <c r="F1747" s="146"/>
      <c r="H1747" s="126"/>
      <c r="I1747" s="126"/>
    </row>
    <row r="1748">
      <c r="A1748" s="124"/>
      <c r="E1748" s="146"/>
      <c r="F1748" s="146"/>
      <c r="H1748" s="126"/>
      <c r="I1748" s="126"/>
    </row>
    <row r="1749">
      <c r="A1749" s="124"/>
      <c r="E1749" s="146"/>
      <c r="F1749" s="146"/>
      <c r="H1749" s="126"/>
      <c r="I1749" s="126"/>
    </row>
    <row r="1750">
      <c r="A1750" s="124"/>
      <c r="E1750" s="146"/>
      <c r="F1750" s="146"/>
      <c r="H1750" s="126"/>
      <c r="I1750" s="126"/>
    </row>
    <row r="1751">
      <c r="A1751" s="124"/>
      <c r="E1751" s="146"/>
      <c r="F1751" s="146"/>
      <c r="H1751" s="126"/>
      <c r="I1751" s="126"/>
    </row>
    <row r="1752">
      <c r="A1752" s="124"/>
      <c r="E1752" s="146"/>
      <c r="F1752" s="146"/>
      <c r="H1752" s="126"/>
      <c r="I1752" s="126"/>
    </row>
    <row r="1753">
      <c r="A1753" s="124"/>
      <c r="E1753" s="146"/>
      <c r="F1753" s="146"/>
      <c r="H1753" s="126"/>
      <c r="I1753" s="126"/>
    </row>
    <row r="1754">
      <c r="A1754" s="124"/>
      <c r="E1754" s="146"/>
      <c r="F1754" s="146"/>
      <c r="H1754" s="126"/>
      <c r="I1754" s="126"/>
    </row>
    <row r="1755">
      <c r="A1755" s="124"/>
      <c r="E1755" s="146"/>
      <c r="F1755" s="146"/>
      <c r="H1755" s="126"/>
      <c r="I1755" s="126"/>
    </row>
    <row r="1756">
      <c r="A1756" s="124"/>
      <c r="E1756" s="146"/>
      <c r="F1756" s="146"/>
      <c r="H1756" s="126"/>
      <c r="I1756" s="126"/>
    </row>
    <row r="1757">
      <c r="A1757" s="124"/>
      <c r="E1757" s="146"/>
      <c r="F1757" s="146"/>
      <c r="H1757" s="126"/>
      <c r="I1757" s="126"/>
    </row>
    <row r="1758">
      <c r="A1758" s="124"/>
      <c r="E1758" s="146"/>
      <c r="F1758" s="146"/>
      <c r="H1758" s="126"/>
      <c r="I1758" s="126"/>
    </row>
    <row r="1759">
      <c r="A1759" s="124"/>
      <c r="E1759" s="146"/>
      <c r="F1759" s="146"/>
      <c r="H1759" s="126"/>
      <c r="I1759" s="126"/>
    </row>
    <row r="1760">
      <c r="A1760" s="124"/>
      <c r="E1760" s="146"/>
      <c r="F1760" s="146"/>
      <c r="H1760" s="126"/>
      <c r="I1760" s="126"/>
    </row>
    <row r="1761">
      <c r="A1761" s="124"/>
      <c r="E1761" s="146"/>
      <c r="F1761" s="146"/>
      <c r="H1761" s="126"/>
      <c r="I1761" s="126"/>
    </row>
    <row r="1762">
      <c r="A1762" s="124"/>
      <c r="E1762" s="146"/>
      <c r="F1762" s="146"/>
      <c r="H1762" s="126"/>
      <c r="I1762" s="126"/>
    </row>
    <row r="1763">
      <c r="A1763" s="124"/>
      <c r="E1763" s="146"/>
      <c r="F1763" s="146"/>
      <c r="H1763" s="126"/>
      <c r="I1763" s="126"/>
    </row>
    <row r="1764">
      <c r="A1764" s="124"/>
      <c r="E1764" s="146"/>
      <c r="F1764" s="146"/>
      <c r="H1764" s="126"/>
      <c r="I1764" s="126"/>
    </row>
    <row r="1765">
      <c r="A1765" s="124"/>
      <c r="E1765" s="146"/>
      <c r="F1765" s="146"/>
      <c r="H1765" s="126"/>
      <c r="I1765" s="126"/>
    </row>
    <row r="1766">
      <c r="A1766" s="124"/>
      <c r="E1766" s="146"/>
      <c r="F1766" s="146"/>
      <c r="H1766" s="126"/>
      <c r="I1766" s="126"/>
    </row>
    <row r="1767">
      <c r="A1767" s="124"/>
      <c r="E1767" s="146"/>
      <c r="F1767" s="146"/>
      <c r="H1767" s="126"/>
      <c r="I1767" s="126"/>
    </row>
    <row r="1768">
      <c r="A1768" s="124"/>
      <c r="E1768" s="146"/>
      <c r="F1768" s="146"/>
      <c r="H1768" s="126"/>
      <c r="I1768" s="126"/>
    </row>
    <row r="1769">
      <c r="A1769" s="124"/>
      <c r="E1769" s="146"/>
      <c r="F1769" s="146"/>
      <c r="H1769" s="126"/>
      <c r="I1769" s="126"/>
    </row>
    <row r="1770">
      <c r="A1770" s="124"/>
      <c r="E1770" s="146"/>
      <c r="F1770" s="146"/>
      <c r="H1770" s="126"/>
      <c r="I1770" s="126"/>
    </row>
    <row r="1771">
      <c r="A1771" s="124"/>
      <c r="E1771" s="146"/>
      <c r="F1771" s="146"/>
      <c r="H1771" s="126"/>
      <c r="I1771" s="126"/>
    </row>
    <row r="1772">
      <c r="A1772" s="124"/>
      <c r="E1772" s="146"/>
      <c r="F1772" s="146"/>
      <c r="H1772" s="126"/>
      <c r="I1772" s="126"/>
    </row>
    <row r="1773">
      <c r="A1773" s="124"/>
      <c r="E1773" s="146"/>
      <c r="F1773" s="146"/>
      <c r="H1773" s="126"/>
      <c r="I1773" s="126"/>
    </row>
    <row r="1774">
      <c r="A1774" s="124"/>
      <c r="E1774" s="146"/>
      <c r="F1774" s="146"/>
      <c r="H1774" s="126"/>
      <c r="I1774" s="126"/>
    </row>
    <row r="1775">
      <c r="A1775" s="124"/>
      <c r="E1775" s="146"/>
      <c r="F1775" s="146"/>
      <c r="H1775" s="126"/>
      <c r="I1775" s="126"/>
    </row>
    <row r="1776">
      <c r="A1776" s="124"/>
      <c r="E1776" s="146"/>
      <c r="F1776" s="146"/>
      <c r="H1776" s="126"/>
      <c r="I1776" s="126"/>
    </row>
    <row r="1777">
      <c r="A1777" s="124"/>
      <c r="E1777" s="146"/>
      <c r="F1777" s="146"/>
      <c r="H1777" s="126"/>
      <c r="I1777" s="126"/>
    </row>
    <row r="1778">
      <c r="A1778" s="124"/>
      <c r="E1778" s="146"/>
      <c r="F1778" s="146"/>
      <c r="H1778" s="126"/>
      <c r="I1778" s="126"/>
    </row>
    <row r="1779">
      <c r="A1779" s="124"/>
      <c r="E1779" s="146"/>
      <c r="F1779" s="146"/>
      <c r="H1779" s="126"/>
      <c r="I1779" s="126"/>
    </row>
    <row r="1780">
      <c r="A1780" s="124"/>
      <c r="E1780" s="146"/>
      <c r="F1780" s="146"/>
      <c r="H1780" s="126"/>
      <c r="I1780" s="126"/>
    </row>
    <row r="1781">
      <c r="A1781" s="124"/>
      <c r="E1781" s="146"/>
      <c r="F1781" s="146"/>
      <c r="H1781" s="126"/>
      <c r="I1781" s="126"/>
    </row>
    <row r="1782">
      <c r="A1782" s="124"/>
      <c r="E1782" s="146"/>
      <c r="F1782" s="146"/>
      <c r="H1782" s="126"/>
      <c r="I1782" s="126"/>
    </row>
    <row r="1783">
      <c r="A1783" s="124"/>
      <c r="E1783" s="146"/>
      <c r="F1783" s="146"/>
      <c r="H1783" s="126"/>
      <c r="I1783" s="126"/>
    </row>
    <row r="1784">
      <c r="A1784" s="124"/>
      <c r="E1784" s="146"/>
      <c r="F1784" s="146"/>
      <c r="H1784" s="126"/>
      <c r="I1784" s="126"/>
    </row>
    <row r="1785">
      <c r="A1785" s="124"/>
      <c r="E1785" s="146"/>
      <c r="F1785" s="146"/>
      <c r="H1785" s="126"/>
      <c r="I1785" s="126"/>
    </row>
    <row r="1786">
      <c r="A1786" s="124"/>
      <c r="E1786" s="146"/>
      <c r="F1786" s="146"/>
      <c r="H1786" s="126"/>
      <c r="I1786" s="126"/>
    </row>
    <row r="1787">
      <c r="A1787" s="124"/>
      <c r="E1787" s="146"/>
      <c r="F1787" s="146"/>
      <c r="H1787" s="126"/>
      <c r="I1787" s="126"/>
    </row>
    <row r="1788">
      <c r="A1788" s="124"/>
      <c r="E1788" s="146"/>
      <c r="F1788" s="146"/>
      <c r="H1788" s="126"/>
      <c r="I1788" s="126"/>
    </row>
    <row r="1789">
      <c r="A1789" s="124"/>
      <c r="E1789" s="146"/>
      <c r="F1789" s="146"/>
      <c r="H1789" s="126"/>
      <c r="I1789" s="126"/>
    </row>
    <row r="1790">
      <c r="A1790" s="124"/>
      <c r="E1790" s="146"/>
      <c r="F1790" s="146"/>
      <c r="H1790" s="126"/>
      <c r="I1790" s="126"/>
    </row>
    <row r="1791">
      <c r="A1791" s="124"/>
      <c r="E1791" s="146"/>
      <c r="F1791" s="146"/>
      <c r="H1791" s="126"/>
      <c r="I1791" s="126"/>
    </row>
    <row r="1792">
      <c r="A1792" s="124"/>
      <c r="E1792" s="146"/>
      <c r="F1792" s="146"/>
      <c r="H1792" s="126"/>
      <c r="I1792" s="126"/>
    </row>
    <row r="1793">
      <c r="A1793" s="124"/>
      <c r="E1793" s="146"/>
      <c r="F1793" s="146"/>
      <c r="H1793" s="126"/>
      <c r="I1793" s="126"/>
    </row>
    <row r="1794">
      <c r="A1794" s="124"/>
      <c r="E1794" s="146"/>
      <c r="F1794" s="146"/>
      <c r="H1794" s="126"/>
      <c r="I1794" s="126"/>
    </row>
    <row r="1795">
      <c r="A1795" s="124"/>
      <c r="E1795" s="146"/>
      <c r="F1795" s="146"/>
      <c r="H1795" s="126"/>
      <c r="I1795" s="126"/>
    </row>
    <row r="1796">
      <c r="A1796" s="124"/>
      <c r="E1796" s="146"/>
      <c r="F1796" s="146"/>
      <c r="H1796" s="126"/>
      <c r="I1796" s="126"/>
    </row>
    <row r="1797">
      <c r="A1797" s="124"/>
      <c r="E1797" s="146"/>
      <c r="F1797" s="146"/>
      <c r="H1797" s="126"/>
      <c r="I1797" s="126"/>
    </row>
    <row r="1798">
      <c r="A1798" s="124"/>
      <c r="E1798" s="146"/>
      <c r="F1798" s="146"/>
      <c r="H1798" s="126"/>
      <c r="I1798" s="126"/>
    </row>
    <row r="1799">
      <c r="A1799" s="124"/>
      <c r="E1799" s="146"/>
      <c r="F1799" s="146"/>
      <c r="H1799" s="126"/>
      <c r="I1799" s="126"/>
    </row>
    <row r="1800">
      <c r="A1800" s="124"/>
      <c r="E1800" s="146"/>
      <c r="F1800" s="146"/>
      <c r="H1800" s="126"/>
      <c r="I1800" s="126"/>
    </row>
    <row r="1801">
      <c r="A1801" s="124"/>
      <c r="E1801" s="146"/>
      <c r="F1801" s="146"/>
      <c r="H1801" s="126"/>
      <c r="I1801" s="126"/>
    </row>
    <row r="1802">
      <c r="A1802" s="124"/>
      <c r="E1802" s="146"/>
      <c r="F1802" s="146"/>
      <c r="H1802" s="126"/>
      <c r="I1802" s="126"/>
    </row>
    <row r="1803">
      <c r="A1803" s="124"/>
      <c r="E1803" s="146"/>
      <c r="F1803" s="146"/>
      <c r="H1803" s="126"/>
      <c r="I1803" s="126"/>
    </row>
    <row r="1804">
      <c r="A1804" s="124"/>
      <c r="E1804" s="146"/>
      <c r="F1804" s="146"/>
      <c r="H1804" s="126"/>
      <c r="I1804" s="126"/>
    </row>
    <row r="1805">
      <c r="A1805" s="124"/>
      <c r="E1805" s="146"/>
      <c r="F1805" s="146"/>
      <c r="H1805" s="126"/>
      <c r="I1805" s="126"/>
    </row>
    <row r="1806">
      <c r="A1806" s="124"/>
      <c r="E1806" s="146"/>
      <c r="F1806" s="146"/>
      <c r="H1806" s="126"/>
      <c r="I1806" s="126"/>
    </row>
    <row r="1807">
      <c r="A1807" s="124"/>
      <c r="E1807" s="146"/>
      <c r="F1807" s="146"/>
      <c r="H1807" s="126"/>
      <c r="I1807" s="126"/>
    </row>
    <row r="1808">
      <c r="A1808" s="124"/>
      <c r="E1808" s="146"/>
      <c r="F1808" s="146"/>
      <c r="H1808" s="126"/>
      <c r="I1808" s="126"/>
    </row>
    <row r="1809">
      <c r="A1809" s="124"/>
      <c r="E1809" s="146"/>
      <c r="F1809" s="146"/>
      <c r="H1809" s="126"/>
      <c r="I1809" s="126"/>
    </row>
    <row r="1810">
      <c r="A1810" s="124"/>
      <c r="E1810" s="146"/>
      <c r="F1810" s="146"/>
      <c r="H1810" s="126"/>
      <c r="I1810" s="126"/>
    </row>
    <row r="1811">
      <c r="A1811" s="124"/>
      <c r="E1811" s="146"/>
      <c r="F1811" s="146"/>
      <c r="H1811" s="126"/>
      <c r="I1811" s="126"/>
    </row>
    <row r="1812">
      <c r="A1812" s="124"/>
      <c r="E1812" s="146"/>
      <c r="F1812" s="146"/>
      <c r="H1812" s="126"/>
      <c r="I1812" s="126"/>
    </row>
    <row r="1813">
      <c r="A1813" s="124"/>
      <c r="E1813" s="146"/>
      <c r="F1813" s="146"/>
      <c r="H1813" s="126"/>
      <c r="I1813" s="126"/>
    </row>
    <row r="1814">
      <c r="A1814" s="124"/>
      <c r="E1814" s="146"/>
      <c r="F1814" s="146"/>
      <c r="H1814" s="126"/>
      <c r="I1814" s="126"/>
    </row>
    <row r="1815">
      <c r="A1815" s="124"/>
      <c r="E1815" s="146"/>
      <c r="F1815" s="146"/>
      <c r="H1815" s="126"/>
      <c r="I1815" s="126"/>
    </row>
    <row r="1816">
      <c r="A1816" s="124"/>
      <c r="E1816" s="146"/>
      <c r="F1816" s="146"/>
      <c r="H1816" s="126"/>
      <c r="I1816" s="126"/>
    </row>
    <row r="1817">
      <c r="A1817" s="124"/>
      <c r="E1817" s="146"/>
      <c r="F1817" s="146"/>
      <c r="H1817" s="126"/>
      <c r="I1817" s="126"/>
    </row>
    <row r="1818">
      <c r="A1818" s="124"/>
      <c r="E1818" s="146"/>
      <c r="F1818" s="146"/>
      <c r="H1818" s="126"/>
      <c r="I1818" s="126"/>
    </row>
    <row r="1819">
      <c r="A1819" s="124"/>
      <c r="E1819" s="146"/>
      <c r="F1819" s="146"/>
      <c r="H1819" s="126"/>
      <c r="I1819" s="126"/>
    </row>
    <row r="1820">
      <c r="A1820" s="124"/>
      <c r="E1820" s="146"/>
      <c r="F1820" s="146"/>
      <c r="H1820" s="126"/>
      <c r="I1820" s="126"/>
    </row>
    <row r="1821">
      <c r="A1821" s="124"/>
      <c r="E1821" s="146"/>
      <c r="F1821" s="146"/>
      <c r="H1821" s="126"/>
      <c r="I1821" s="126"/>
    </row>
    <row r="1822">
      <c r="A1822" s="124"/>
      <c r="E1822" s="146"/>
      <c r="F1822" s="146"/>
      <c r="H1822" s="126"/>
      <c r="I1822" s="126"/>
    </row>
    <row r="1823">
      <c r="A1823" s="124"/>
      <c r="E1823" s="146"/>
      <c r="F1823" s="146"/>
      <c r="H1823" s="126"/>
      <c r="I1823" s="126"/>
    </row>
    <row r="1824">
      <c r="A1824" s="124"/>
      <c r="E1824" s="146"/>
      <c r="F1824" s="146"/>
      <c r="H1824" s="126"/>
      <c r="I1824" s="126"/>
    </row>
    <row r="1825">
      <c r="A1825" s="124"/>
      <c r="E1825" s="146"/>
      <c r="F1825" s="146"/>
      <c r="H1825" s="126"/>
      <c r="I1825" s="126"/>
    </row>
    <row r="1826">
      <c r="A1826" s="124"/>
      <c r="E1826" s="146"/>
      <c r="F1826" s="146"/>
      <c r="H1826" s="126"/>
      <c r="I1826" s="126"/>
    </row>
    <row r="1827">
      <c r="A1827" s="124"/>
      <c r="E1827" s="146"/>
      <c r="F1827" s="146"/>
      <c r="H1827" s="126"/>
      <c r="I1827" s="126"/>
    </row>
    <row r="1828">
      <c r="A1828" s="124"/>
      <c r="E1828" s="146"/>
      <c r="F1828" s="146"/>
      <c r="H1828" s="126"/>
      <c r="I1828" s="126"/>
    </row>
    <row r="1829">
      <c r="A1829" s="124"/>
      <c r="E1829" s="146"/>
      <c r="F1829" s="146"/>
      <c r="H1829" s="126"/>
      <c r="I1829" s="126"/>
    </row>
    <row r="1830">
      <c r="A1830" s="124"/>
      <c r="E1830" s="146"/>
      <c r="F1830" s="146"/>
      <c r="H1830" s="126"/>
      <c r="I1830" s="126"/>
    </row>
    <row r="1831">
      <c r="A1831" s="124"/>
      <c r="E1831" s="146"/>
      <c r="F1831" s="146"/>
      <c r="H1831" s="126"/>
      <c r="I1831" s="126"/>
    </row>
    <row r="1832">
      <c r="A1832" s="124"/>
      <c r="E1832" s="146"/>
      <c r="F1832" s="146"/>
      <c r="H1832" s="126"/>
      <c r="I1832" s="126"/>
    </row>
    <row r="1833">
      <c r="A1833" s="124"/>
      <c r="E1833" s="146"/>
      <c r="F1833" s="146"/>
      <c r="H1833" s="126"/>
      <c r="I1833" s="126"/>
    </row>
    <row r="1834">
      <c r="A1834" s="124"/>
      <c r="E1834" s="146"/>
      <c r="F1834" s="146"/>
      <c r="H1834" s="126"/>
      <c r="I1834" s="126"/>
    </row>
    <row r="1835">
      <c r="A1835" s="124"/>
      <c r="E1835" s="146"/>
      <c r="F1835" s="146"/>
      <c r="H1835" s="126"/>
      <c r="I1835" s="126"/>
    </row>
    <row r="1836">
      <c r="A1836" s="124"/>
      <c r="E1836" s="146"/>
      <c r="F1836" s="146"/>
      <c r="H1836" s="126"/>
      <c r="I1836" s="126"/>
    </row>
    <row r="1837">
      <c r="A1837" s="124"/>
      <c r="E1837" s="146"/>
      <c r="F1837" s="146"/>
      <c r="H1837" s="126"/>
      <c r="I1837" s="126"/>
    </row>
    <row r="1838">
      <c r="A1838" s="124"/>
      <c r="E1838" s="146"/>
      <c r="F1838" s="146"/>
      <c r="H1838" s="126"/>
      <c r="I1838" s="126"/>
    </row>
    <row r="1839">
      <c r="A1839" s="124"/>
      <c r="E1839" s="146"/>
      <c r="F1839" s="146"/>
      <c r="H1839" s="126"/>
      <c r="I1839" s="126"/>
    </row>
    <row r="1840">
      <c r="A1840" s="124"/>
      <c r="E1840" s="146"/>
      <c r="F1840" s="146"/>
      <c r="H1840" s="126"/>
      <c r="I1840" s="126"/>
    </row>
    <row r="1841">
      <c r="A1841" s="124"/>
      <c r="E1841" s="146"/>
      <c r="F1841" s="146"/>
      <c r="H1841" s="126"/>
      <c r="I1841" s="126"/>
    </row>
    <row r="1842">
      <c r="A1842" s="124"/>
      <c r="E1842" s="146"/>
      <c r="F1842" s="146"/>
      <c r="H1842" s="126"/>
      <c r="I1842" s="126"/>
    </row>
    <row r="1843">
      <c r="A1843" s="124"/>
      <c r="E1843" s="146"/>
      <c r="F1843" s="146"/>
      <c r="H1843" s="126"/>
      <c r="I1843" s="126"/>
    </row>
    <row r="1844">
      <c r="A1844" s="124"/>
      <c r="E1844" s="146"/>
      <c r="F1844" s="146"/>
      <c r="H1844" s="126"/>
      <c r="I1844" s="126"/>
    </row>
    <row r="1845">
      <c r="A1845" s="124"/>
      <c r="E1845" s="146"/>
      <c r="F1845" s="146"/>
      <c r="H1845" s="126"/>
      <c r="I1845" s="126"/>
    </row>
    <row r="1846">
      <c r="A1846" s="124"/>
      <c r="E1846" s="146"/>
      <c r="F1846" s="146"/>
      <c r="H1846" s="126"/>
      <c r="I1846" s="126"/>
    </row>
    <row r="1847">
      <c r="A1847" s="124"/>
      <c r="E1847" s="146"/>
      <c r="F1847" s="146"/>
      <c r="H1847" s="126"/>
      <c r="I1847" s="126"/>
    </row>
    <row r="1848">
      <c r="A1848" s="124"/>
      <c r="E1848" s="146"/>
      <c r="F1848" s="146"/>
      <c r="H1848" s="126"/>
      <c r="I1848" s="126"/>
    </row>
    <row r="1849">
      <c r="A1849" s="124"/>
      <c r="E1849" s="146"/>
      <c r="F1849" s="146"/>
      <c r="H1849" s="126"/>
      <c r="I1849" s="126"/>
    </row>
    <row r="1850">
      <c r="A1850" s="124"/>
      <c r="E1850" s="146"/>
      <c r="F1850" s="146"/>
      <c r="H1850" s="126"/>
      <c r="I1850" s="126"/>
    </row>
    <row r="1851">
      <c r="A1851" s="124"/>
      <c r="E1851" s="146"/>
      <c r="F1851" s="146"/>
      <c r="H1851" s="126"/>
      <c r="I1851" s="126"/>
    </row>
    <row r="1852">
      <c r="A1852" s="124"/>
      <c r="E1852" s="146"/>
      <c r="F1852" s="146"/>
      <c r="H1852" s="126"/>
      <c r="I1852" s="126"/>
    </row>
    <row r="1853">
      <c r="A1853" s="124"/>
      <c r="E1853" s="146"/>
      <c r="F1853" s="146"/>
      <c r="H1853" s="126"/>
      <c r="I1853" s="126"/>
    </row>
    <row r="1854">
      <c r="A1854" s="124"/>
      <c r="E1854" s="146"/>
      <c r="F1854" s="146"/>
      <c r="H1854" s="126"/>
      <c r="I1854" s="126"/>
    </row>
    <row r="1855">
      <c r="A1855" s="124"/>
      <c r="E1855" s="146"/>
      <c r="F1855" s="146"/>
      <c r="H1855" s="126"/>
      <c r="I1855" s="126"/>
    </row>
    <row r="1856">
      <c r="A1856" s="124"/>
      <c r="E1856" s="146"/>
      <c r="F1856" s="146"/>
      <c r="H1856" s="126"/>
      <c r="I1856" s="126"/>
    </row>
    <row r="1857">
      <c r="A1857" s="124"/>
      <c r="E1857" s="146"/>
      <c r="F1857" s="146"/>
      <c r="H1857" s="126"/>
      <c r="I1857" s="126"/>
    </row>
    <row r="1858">
      <c r="A1858" s="124"/>
      <c r="E1858" s="146"/>
      <c r="F1858" s="146"/>
      <c r="H1858" s="126"/>
      <c r="I1858" s="126"/>
    </row>
    <row r="1859">
      <c r="A1859" s="124"/>
      <c r="E1859" s="146"/>
      <c r="F1859" s="146"/>
      <c r="H1859" s="126"/>
      <c r="I1859" s="126"/>
    </row>
    <row r="1860">
      <c r="A1860" s="124"/>
      <c r="E1860" s="146"/>
      <c r="F1860" s="146"/>
      <c r="H1860" s="126"/>
      <c r="I1860" s="126"/>
    </row>
    <row r="1861">
      <c r="A1861" s="124"/>
      <c r="E1861" s="146"/>
      <c r="F1861" s="146"/>
      <c r="H1861" s="126"/>
      <c r="I1861" s="126"/>
    </row>
    <row r="1862">
      <c r="A1862" s="124"/>
      <c r="E1862" s="146"/>
      <c r="F1862" s="146"/>
      <c r="H1862" s="126"/>
      <c r="I1862" s="126"/>
    </row>
    <row r="1863">
      <c r="A1863" s="124"/>
      <c r="E1863" s="146"/>
      <c r="F1863" s="146"/>
      <c r="H1863" s="126"/>
      <c r="I1863" s="126"/>
    </row>
    <row r="1864">
      <c r="A1864" s="124"/>
      <c r="E1864" s="146"/>
      <c r="F1864" s="146"/>
      <c r="H1864" s="126"/>
      <c r="I1864" s="126"/>
    </row>
    <row r="1865">
      <c r="A1865" s="124"/>
      <c r="E1865" s="146"/>
      <c r="F1865" s="146"/>
      <c r="H1865" s="126"/>
      <c r="I1865" s="126"/>
    </row>
    <row r="1866">
      <c r="A1866" s="124"/>
      <c r="E1866" s="146"/>
      <c r="F1866" s="146"/>
      <c r="H1866" s="126"/>
      <c r="I1866" s="126"/>
    </row>
    <row r="1867">
      <c r="A1867" s="124"/>
      <c r="E1867" s="146"/>
      <c r="F1867" s="146"/>
      <c r="H1867" s="126"/>
      <c r="I1867" s="126"/>
    </row>
    <row r="1868">
      <c r="A1868" s="124"/>
      <c r="E1868" s="146"/>
      <c r="F1868" s="146"/>
      <c r="H1868" s="126"/>
      <c r="I1868" s="126"/>
    </row>
    <row r="1869">
      <c r="A1869" s="124"/>
      <c r="E1869" s="146"/>
      <c r="F1869" s="146"/>
      <c r="H1869" s="126"/>
      <c r="I1869" s="126"/>
    </row>
    <row r="1870">
      <c r="A1870" s="124"/>
      <c r="E1870" s="146"/>
      <c r="F1870" s="146"/>
      <c r="H1870" s="126"/>
      <c r="I1870" s="126"/>
    </row>
    <row r="1871">
      <c r="A1871" s="124"/>
      <c r="E1871" s="146"/>
      <c r="F1871" s="146"/>
      <c r="H1871" s="126"/>
      <c r="I1871" s="126"/>
    </row>
    <row r="1872">
      <c r="A1872" s="124"/>
      <c r="E1872" s="146"/>
      <c r="F1872" s="146"/>
      <c r="H1872" s="126"/>
      <c r="I1872" s="126"/>
    </row>
    <row r="1873">
      <c r="A1873" s="124"/>
      <c r="E1873" s="146"/>
      <c r="F1873" s="146"/>
      <c r="H1873" s="126"/>
      <c r="I1873" s="126"/>
    </row>
    <row r="1874">
      <c r="A1874" s="124"/>
      <c r="E1874" s="146"/>
      <c r="F1874" s="146"/>
      <c r="H1874" s="126"/>
      <c r="I1874" s="126"/>
    </row>
    <row r="1875">
      <c r="A1875" s="124"/>
      <c r="E1875" s="146"/>
      <c r="F1875" s="146"/>
      <c r="H1875" s="126"/>
      <c r="I1875" s="126"/>
    </row>
    <row r="1876">
      <c r="A1876" s="124"/>
      <c r="E1876" s="146"/>
      <c r="F1876" s="146"/>
      <c r="H1876" s="126"/>
      <c r="I1876" s="126"/>
    </row>
    <row r="1877">
      <c r="A1877" s="124"/>
      <c r="E1877" s="146"/>
      <c r="F1877" s="146"/>
      <c r="H1877" s="126"/>
      <c r="I1877" s="126"/>
    </row>
    <row r="1878">
      <c r="A1878" s="124"/>
      <c r="E1878" s="146"/>
      <c r="F1878" s="146"/>
      <c r="H1878" s="126"/>
      <c r="I1878" s="126"/>
    </row>
    <row r="1879">
      <c r="A1879" s="124"/>
      <c r="E1879" s="146"/>
      <c r="F1879" s="146"/>
      <c r="H1879" s="126"/>
      <c r="I1879" s="126"/>
    </row>
    <row r="1880">
      <c r="A1880" s="124"/>
      <c r="E1880" s="146"/>
      <c r="F1880" s="146"/>
      <c r="H1880" s="126"/>
      <c r="I1880" s="126"/>
    </row>
    <row r="1881">
      <c r="A1881" s="124"/>
      <c r="E1881" s="146"/>
      <c r="F1881" s="146"/>
      <c r="H1881" s="126"/>
      <c r="I1881" s="126"/>
    </row>
    <row r="1882">
      <c r="A1882" s="124"/>
      <c r="E1882" s="146"/>
      <c r="F1882" s="146"/>
      <c r="H1882" s="126"/>
      <c r="I1882" s="126"/>
    </row>
    <row r="1883">
      <c r="A1883" s="124"/>
      <c r="E1883" s="146"/>
      <c r="F1883" s="146"/>
      <c r="H1883" s="126"/>
      <c r="I1883" s="126"/>
    </row>
    <row r="1884">
      <c r="A1884" s="124"/>
      <c r="E1884" s="146"/>
      <c r="F1884" s="146"/>
      <c r="H1884" s="126"/>
      <c r="I1884" s="126"/>
    </row>
    <row r="1885">
      <c r="A1885" s="124"/>
      <c r="E1885" s="146"/>
      <c r="F1885" s="146"/>
      <c r="H1885" s="126"/>
      <c r="I1885" s="126"/>
    </row>
    <row r="1886">
      <c r="A1886" s="124"/>
      <c r="E1886" s="146"/>
      <c r="F1886" s="146"/>
      <c r="H1886" s="126"/>
      <c r="I1886" s="126"/>
    </row>
    <row r="1887">
      <c r="A1887" s="124"/>
      <c r="E1887" s="146"/>
      <c r="F1887" s="146"/>
      <c r="H1887" s="126"/>
      <c r="I1887" s="126"/>
    </row>
    <row r="1888">
      <c r="A1888" s="124"/>
      <c r="E1888" s="146"/>
      <c r="F1888" s="146"/>
      <c r="H1888" s="126"/>
      <c r="I1888" s="126"/>
    </row>
    <row r="1889">
      <c r="A1889" s="124"/>
      <c r="E1889" s="146"/>
      <c r="F1889" s="146"/>
      <c r="H1889" s="126"/>
      <c r="I1889" s="126"/>
    </row>
    <row r="1890">
      <c r="A1890" s="124"/>
      <c r="E1890" s="146"/>
      <c r="F1890" s="146"/>
      <c r="H1890" s="126"/>
      <c r="I1890" s="126"/>
    </row>
    <row r="1891">
      <c r="A1891" s="124"/>
      <c r="E1891" s="146"/>
      <c r="F1891" s="146"/>
      <c r="H1891" s="126"/>
      <c r="I1891" s="126"/>
    </row>
    <row r="1892">
      <c r="A1892" s="124"/>
      <c r="E1892" s="146"/>
      <c r="F1892" s="146"/>
      <c r="H1892" s="126"/>
      <c r="I1892" s="126"/>
    </row>
    <row r="1893">
      <c r="A1893" s="124"/>
      <c r="E1893" s="146"/>
      <c r="F1893" s="146"/>
      <c r="H1893" s="126"/>
      <c r="I1893" s="126"/>
    </row>
    <row r="1894">
      <c r="A1894" s="124"/>
      <c r="E1894" s="146"/>
      <c r="F1894" s="146"/>
      <c r="H1894" s="126"/>
      <c r="I1894" s="126"/>
    </row>
    <row r="1895">
      <c r="A1895" s="124"/>
      <c r="E1895" s="146"/>
      <c r="F1895" s="146"/>
      <c r="H1895" s="126"/>
      <c r="I1895" s="126"/>
    </row>
    <row r="1896">
      <c r="A1896" s="124"/>
      <c r="E1896" s="146"/>
      <c r="F1896" s="146"/>
      <c r="H1896" s="126"/>
      <c r="I1896" s="126"/>
    </row>
    <row r="1897">
      <c r="A1897" s="124"/>
      <c r="E1897" s="146"/>
      <c r="F1897" s="146"/>
      <c r="H1897" s="126"/>
      <c r="I1897" s="126"/>
    </row>
    <row r="1898">
      <c r="A1898" s="124"/>
      <c r="E1898" s="146"/>
      <c r="F1898" s="146"/>
      <c r="H1898" s="126"/>
      <c r="I1898" s="126"/>
    </row>
    <row r="1899">
      <c r="A1899" s="124"/>
      <c r="E1899" s="146"/>
      <c r="F1899" s="146"/>
      <c r="H1899" s="126"/>
      <c r="I1899" s="126"/>
    </row>
    <row r="1900">
      <c r="A1900" s="124"/>
      <c r="E1900" s="146"/>
      <c r="F1900" s="146"/>
      <c r="H1900" s="126"/>
      <c r="I1900" s="126"/>
    </row>
    <row r="1901">
      <c r="A1901" s="124"/>
      <c r="E1901" s="146"/>
      <c r="F1901" s="146"/>
      <c r="H1901" s="126"/>
      <c r="I1901" s="126"/>
    </row>
    <row r="1902">
      <c r="A1902" s="124"/>
      <c r="E1902" s="146"/>
      <c r="F1902" s="146"/>
      <c r="H1902" s="126"/>
      <c r="I1902" s="126"/>
    </row>
    <row r="1903">
      <c r="A1903" s="124"/>
      <c r="E1903" s="146"/>
      <c r="F1903" s="146"/>
      <c r="H1903" s="126"/>
      <c r="I1903" s="126"/>
    </row>
    <row r="1904">
      <c r="A1904" s="124"/>
      <c r="E1904" s="146"/>
      <c r="F1904" s="146"/>
      <c r="H1904" s="126"/>
      <c r="I1904" s="126"/>
    </row>
    <row r="1905">
      <c r="A1905" s="124"/>
      <c r="E1905" s="146"/>
      <c r="F1905" s="146"/>
      <c r="H1905" s="126"/>
      <c r="I1905" s="126"/>
    </row>
    <row r="1906">
      <c r="A1906" s="124"/>
      <c r="E1906" s="146"/>
      <c r="F1906" s="146"/>
      <c r="H1906" s="126"/>
      <c r="I1906" s="126"/>
    </row>
    <row r="1907">
      <c r="A1907" s="124"/>
      <c r="E1907" s="146"/>
      <c r="F1907" s="146"/>
      <c r="H1907" s="126"/>
      <c r="I1907" s="126"/>
    </row>
    <row r="1908">
      <c r="A1908" s="124"/>
      <c r="E1908" s="146"/>
      <c r="F1908" s="146"/>
      <c r="H1908" s="126"/>
      <c r="I1908" s="126"/>
    </row>
    <row r="1909">
      <c r="A1909" s="124"/>
      <c r="E1909" s="146"/>
      <c r="F1909" s="146"/>
      <c r="H1909" s="126"/>
      <c r="I1909" s="126"/>
    </row>
    <row r="1910">
      <c r="A1910" s="124"/>
      <c r="E1910" s="146"/>
      <c r="F1910" s="146"/>
      <c r="H1910" s="126"/>
      <c r="I1910" s="126"/>
    </row>
    <row r="1911">
      <c r="A1911" s="124"/>
      <c r="E1911" s="146"/>
      <c r="F1911" s="146"/>
      <c r="H1911" s="126"/>
      <c r="I1911" s="126"/>
    </row>
    <row r="1912">
      <c r="A1912" s="124"/>
      <c r="E1912" s="146"/>
      <c r="F1912" s="146"/>
      <c r="H1912" s="126"/>
      <c r="I1912" s="126"/>
    </row>
    <row r="1913">
      <c r="A1913" s="124"/>
      <c r="E1913" s="146"/>
      <c r="F1913" s="146"/>
      <c r="H1913" s="126"/>
      <c r="I1913" s="126"/>
    </row>
    <row r="1914">
      <c r="A1914" s="124"/>
      <c r="E1914" s="146"/>
      <c r="F1914" s="146"/>
      <c r="H1914" s="126"/>
      <c r="I1914" s="126"/>
    </row>
    <row r="1915">
      <c r="A1915" s="124"/>
      <c r="E1915" s="146"/>
      <c r="F1915" s="146"/>
      <c r="H1915" s="126"/>
      <c r="I1915" s="126"/>
    </row>
    <row r="1916">
      <c r="A1916" s="124"/>
      <c r="E1916" s="146"/>
      <c r="F1916" s="146"/>
      <c r="H1916" s="126"/>
      <c r="I1916" s="126"/>
    </row>
    <row r="1917">
      <c r="A1917" s="124"/>
      <c r="E1917" s="146"/>
      <c r="F1917" s="146"/>
      <c r="H1917" s="126"/>
      <c r="I1917" s="126"/>
    </row>
    <row r="1918">
      <c r="A1918" s="124"/>
      <c r="E1918" s="146"/>
      <c r="F1918" s="146"/>
      <c r="H1918" s="126"/>
      <c r="I1918" s="126"/>
    </row>
    <row r="1919">
      <c r="A1919" s="124"/>
      <c r="E1919" s="146"/>
      <c r="F1919" s="146"/>
      <c r="H1919" s="126"/>
      <c r="I1919" s="126"/>
    </row>
    <row r="1920">
      <c r="A1920" s="124"/>
      <c r="E1920" s="146"/>
      <c r="F1920" s="146"/>
      <c r="H1920" s="126"/>
      <c r="I1920" s="126"/>
    </row>
    <row r="1921">
      <c r="A1921" s="124"/>
      <c r="E1921" s="146"/>
      <c r="F1921" s="146"/>
      <c r="H1921" s="126"/>
      <c r="I1921" s="126"/>
    </row>
    <row r="1922">
      <c r="A1922" s="124"/>
      <c r="E1922" s="146"/>
      <c r="F1922" s="146"/>
      <c r="H1922" s="126"/>
      <c r="I1922" s="126"/>
    </row>
    <row r="1923">
      <c r="A1923" s="124"/>
      <c r="E1923" s="146"/>
      <c r="F1923" s="146"/>
      <c r="H1923" s="126"/>
      <c r="I1923" s="126"/>
    </row>
    <row r="1924">
      <c r="A1924" s="124"/>
      <c r="E1924" s="146"/>
      <c r="F1924" s="146"/>
      <c r="H1924" s="126"/>
      <c r="I1924" s="126"/>
    </row>
    <row r="1925">
      <c r="A1925" s="124"/>
      <c r="E1925" s="146"/>
      <c r="F1925" s="146"/>
      <c r="H1925" s="126"/>
      <c r="I1925" s="126"/>
    </row>
    <row r="1926">
      <c r="A1926" s="124"/>
      <c r="E1926" s="146"/>
      <c r="F1926" s="146"/>
      <c r="H1926" s="126"/>
      <c r="I1926" s="126"/>
    </row>
    <row r="1927">
      <c r="A1927" s="124"/>
      <c r="E1927" s="146"/>
      <c r="F1927" s="146"/>
      <c r="H1927" s="126"/>
      <c r="I1927" s="126"/>
    </row>
    <row r="1928">
      <c r="A1928" s="124"/>
      <c r="E1928" s="146"/>
      <c r="F1928" s="146"/>
      <c r="H1928" s="126"/>
      <c r="I1928" s="126"/>
    </row>
    <row r="1929">
      <c r="A1929" s="124"/>
      <c r="E1929" s="146"/>
      <c r="F1929" s="146"/>
      <c r="H1929" s="126"/>
      <c r="I1929" s="126"/>
    </row>
    <row r="1930">
      <c r="A1930" s="124"/>
      <c r="E1930" s="146"/>
      <c r="F1930" s="146"/>
      <c r="H1930" s="126"/>
      <c r="I1930" s="126"/>
    </row>
    <row r="1931">
      <c r="A1931" s="124"/>
      <c r="E1931" s="146"/>
      <c r="F1931" s="146"/>
      <c r="H1931" s="126"/>
      <c r="I1931" s="126"/>
    </row>
    <row r="1932">
      <c r="A1932" s="124"/>
      <c r="E1932" s="146"/>
      <c r="F1932" s="146"/>
      <c r="H1932" s="126"/>
      <c r="I1932" s="126"/>
    </row>
    <row r="1933">
      <c r="A1933" s="124"/>
      <c r="E1933" s="146"/>
      <c r="F1933" s="146"/>
      <c r="H1933" s="126"/>
      <c r="I1933" s="126"/>
    </row>
    <row r="1934">
      <c r="A1934" s="124"/>
      <c r="E1934" s="146"/>
      <c r="F1934" s="146"/>
      <c r="H1934" s="126"/>
      <c r="I1934" s="126"/>
    </row>
    <row r="1935">
      <c r="A1935" s="124"/>
      <c r="E1935" s="146"/>
      <c r="F1935" s="146"/>
      <c r="H1935" s="126"/>
      <c r="I1935" s="126"/>
    </row>
    <row r="1936">
      <c r="A1936" s="124"/>
      <c r="E1936" s="146"/>
      <c r="F1936" s="146"/>
      <c r="H1936" s="126"/>
      <c r="I1936" s="126"/>
    </row>
    <row r="1937">
      <c r="A1937" s="124"/>
      <c r="E1937" s="146"/>
      <c r="F1937" s="146"/>
      <c r="H1937" s="126"/>
      <c r="I1937" s="126"/>
    </row>
    <row r="1938">
      <c r="A1938" s="124"/>
      <c r="E1938" s="146"/>
      <c r="F1938" s="146"/>
      <c r="H1938" s="126"/>
      <c r="I1938" s="126"/>
    </row>
    <row r="1939">
      <c r="A1939" s="124"/>
      <c r="E1939" s="146"/>
      <c r="F1939" s="146"/>
      <c r="H1939" s="126"/>
      <c r="I1939" s="126"/>
    </row>
    <row r="1940">
      <c r="A1940" s="124"/>
      <c r="E1940" s="146"/>
      <c r="F1940" s="146"/>
      <c r="H1940" s="126"/>
      <c r="I1940" s="126"/>
    </row>
    <row r="1941">
      <c r="A1941" s="124"/>
      <c r="E1941" s="146"/>
      <c r="F1941" s="146"/>
      <c r="H1941" s="126"/>
      <c r="I1941" s="126"/>
    </row>
    <row r="1942">
      <c r="A1942" s="124"/>
      <c r="E1942" s="146"/>
      <c r="F1942" s="146"/>
      <c r="H1942" s="126"/>
      <c r="I1942" s="126"/>
    </row>
    <row r="1943">
      <c r="A1943" s="124"/>
      <c r="E1943" s="146"/>
      <c r="F1943" s="146"/>
      <c r="H1943" s="126"/>
      <c r="I1943" s="126"/>
    </row>
    <row r="1944">
      <c r="A1944" s="124"/>
      <c r="E1944" s="146"/>
      <c r="F1944" s="146"/>
      <c r="H1944" s="126"/>
      <c r="I1944" s="126"/>
    </row>
    <row r="1945">
      <c r="A1945" s="124"/>
      <c r="E1945" s="146"/>
      <c r="F1945" s="146"/>
      <c r="H1945" s="126"/>
      <c r="I1945" s="126"/>
    </row>
  </sheetData>
  <mergeCells count="15">
    <mergeCell ref="H7:I7"/>
    <mergeCell ref="J7:J8"/>
    <mergeCell ref="L7:M7"/>
    <mergeCell ref="N7:N8"/>
    <mergeCell ref="O7:O8"/>
    <mergeCell ref="P7:P8"/>
    <mergeCell ref="Q7:Q8"/>
    <mergeCell ref="R7:R8"/>
    <mergeCell ref="A7:A8"/>
    <mergeCell ref="B7:B8"/>
    <mergeCell ref="C7:C8"/>
    <mergeCell ref="D7:D8"/>
    <mergeCell ref="E7:E8"/>
    <mergeCell ref="F7:F8"/>
    <mergeCell ref="G7:G8"/>
  </mergeCells>
  <conditionalFormatting sqref="E9:E1945">
    <cfRule type="expression" dxfId="0" priority="1">
      <formula>TODAY()&gt;=D9+7</formula>
    </cfRule>
  </conditionalFormatting>
  <conditionalFormatting sqref="F9:F1945">
    <cfRule type="expression" dxfId="1" priority="2">
      <formula>TODAY()&gt;=D9+28</formula>
    </cfRule>
  </conditionalFormatting>
  <dataValidations>
    <dataValidation type="list" allowBlank="1" showErrorMessage="1" sqref="E2">
      <formula1>"الكل,Y,N"</formula1>
    </dataValidation>
    <dataValidation type="list" allowBlank="1" showErrorMessage="1" sqref="G2">
      <formula1>"الكل,2,3,4,5,6,7,8"</formula1>
    </dataValidation>
    <dataValidation type="list" allowBlank="1" showErrorMessage="1" sqref="F2">
      <formula1>DROPDOWN!$A$2:$A$120</formula1>
    </dataValidation>
  </dataValidations>
  <printOptions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4.0"/>
    <col customWidth="1" min="3" max="3" width="12.71"/>
    <col hidden="1" min="4" max="4" width="14.43"/>
    <col customWidth="1" hidden="1" min="5" max="5" width="15.0"/>
    <col customWidth="1" min="6" max="8" width="15.0"/>
    <col customWidth="1" min="9" max="9" width="12.29"/>
    <col customWidth="1" min="11" max="11" width="14.43"/>
    <col customWidth="1" min="12" max="12" width="12.57"/>
  </cols>
  <sheetData>
    <row r="1">
      <c r="A1" s="149"/>
      <c r="B1" s="4" t="s">
        <v>5</v>
      </c>
      <c r="C1" s="5" t="s">
        <v>302</v>
      </c>
      <c r="E1" s="150"/>
      <c r="F1" s="5" t="s">
        <v>303</v>
      </c>
      <c r="G1" s="150"/>
      <c r="H1" s="4" t="s">
        <v>304</v>
      </c>
      <c r="I1" s="151" t="s">
        <v>305</v>
      </c>
      <c r="K1" s="4" t="s">
        <v>306</v>
      </c>
      <c r="L1" s="151" t="s">
        <v>305</v>
      </c>
    </row>
    <row r="2">
      <c r="A2" s="152">
        <v>1.0</v>
      </c>
      <c r="B2" s="153" t="s">
        <v>217</v>
      </c>
      <c r="C2" s="10">
        <f>(SUMIF('صفحة الفرز'!G$9:G1000, B2, 'صفحة الفرز'!J$9:J1000) + SUMIF('صفحة الفرز'!G$9:G1000, B2, 'صفحة الفرز'!N$9:N1000)) * 3
</f>
        <v>897</v>
      </c>
      <c r="D2" s="154" t="s">
        <v>51</v>
      </c>
      <c r="E2" s="10">
        <f>(SUMIF('صفحة الفرز'!G$9:G1000, D2, 'صفحة الفرز'!J$9:J1000) + SUMIF('صفحة الفرز'!G$9:G1000, D2, 'صفحة الفرز'!N$9:N1000)) * 3
</f>
        <v>900</v>
      </c>
      <c r="F2" s="155">
        <v>925.0</v>
      </c>
      <c r="G2" s="156"/>
      <c r="H2" s="8" t="s">
        <v>8</v>
      </c>
      <c r="I2" s="10">
        <f>(SUMIF('صفحة الفرز'!G$9:G1000, H2, 'صفحة الفرز'!J$9:J1000) + SUMIF('صفحة الفرز'!G$9:G1000, H2, 'صفحة الفرز'!N$9:N1000)) * 3
</f>
        <v>1743</v>
      </c>
      <c r="K2" s="8" t="s">
        <v>16</v>
      </c>
      <c r="L2" s="10">
        <f>(SUMIF('صفحة الفرز'!G$9:G1000, K2, 'صفحة الفرز'!J$9:J1000) + SUMIF('صفحة الفرز'!G$9:G1000, K2, 'صفحة الفرز'!N$9:N1000)) * 3
</f>
        <v>2898</v>
      </c>
      <c r="P2" s="131" t="str">
        <f t="array" ref="P2:P82">UNIQUE('Concrete Orders'!G7:G1000)
</f>
        <v>D34-1L</v>
      </c>
      <c r="Q2" s="10">
        <f>(SUMIF('صفحة الفرز'!G$9:G1000, P2, 'صفحة الفرز'!J$9:J1000) + SUMIF('صفحة الفرز'!G$9:G1000, P2, 'صفحة الفرز'!N$9:N1000)) * 3
</f>
        <v>900</v>
      </c>
    </row>
    <row r="3">
      <c r="A3" s="152">
        <v>2.0</v>
      </c>
      <c r="B3" s="153" t="s">
        <v>222</v>
      </c>
      <c r="C3" s="10">
        <f>(SUMIF('صفحة الفرز'!G$9:G1000, B3, 'صفحة الفرز'!J$9:J1000) + SUMIF('صفحة الفرز'!G$9:G1000, B3, 'صفحة الفرز'!N$9:N1000)) * 3
</f>
        <v>1371</v>
      </c>
      <c r="D3" s="154" t="s">
        <v>53</v>
      </c>
      <c r="E3" s="10">
        <f>(SUMIF('صفحة الفرز'!G$9:G1000, D3, 'صفحة الفرز'!J$9:J1000) + SUMIF('صفحة الفرز'!G$9:G1000, D3, 'صفحة الفرز'!N$9:N1000)) * 3
</f>
        <v>540</v>
      </c>
      <c r="F3" s="155">
        <v>1400.0</v>
      </c>
      <c r="G3" s="156"/>
      <c r="H3" s="8" t="s">
        <v>9</v>
      </c>
      <c r="I3" s="10">
        <f>(SUMIF('صفحة الفرز'!G$9:G1000, H3, 'صفحة الفرز'!J$9:J1000) + SUMIF('صفحة الفرز'!G$9:G1000, H3, 'صفحة الفرز'!N$9:N1000)) * 3
</f>
        <v>564</v>
      </c>
      <c r="K3" s="8" t="s">
        <v>99</v>
      </c>
      <c r="L3" s="10">
        <f>(SUMIF('صفحة الفرز'!G$9:G1000, K3, 'صفحة الفرز'!J$9:J1000) + SUMIF('صفحة الفرز'!G$9:G1000, K3, 'صفحة الفرز'!N$9:N1000)) * 3
-93</f>
        <v>5622</v>
      </c>
      <c r="P3" s="131" t="s">
        <v>53</v>
      </c>
      <c r="Q3" s="10">
        <f>(SUMIF('صفحة الفرز'!G$9:G1000, P3, 'صفحة الفرز'!J$9:J1000) + SUMIF('صفحة الفرز'!G$9:G1000, P3, 'صفحة الفرز'!N$9:N1000)) * 3
</f>
        <v>540</v>
      </c>
    </row>
    <row r="4">
      <c r="A4" s="152">
        <v>3.0</v>
      </c>
      <c r="B4" s="153" t="s">
        <v>282</v>
      </c>
      <c r="C4" s="10">
        <f>(SUMIF('صفحة الفرز'!G$9:G1000, B4, 'صفحة الفرز'!J$9:J1000) + SUMIF('صفحة الفرز'!G$9:G1000, B4, 'صفحة الفرز'!N$9:N1000)) * 3
</f>
        <v>579</v>
      </c>
      <c r="D4" s="154" t="s">
        <v>55</v>
      </c>
      <c r="E4" s="10">
        <f>(SUMIF('صفحة الفرز'!G$9:G1000, D4, 'صفحة الفرز'!J$9:J1000) + SUMIF('صفحة الفرز'!G$9:G1000, D4, 'صفحة الفرز'!N$9:N1000)) * 3
</f>
        <v>906</v>
      </c>
      <c r="F4" s="155">
        <v>775.0</v>
      </c>
      <c r="G4" s="156"/>
      <c r="H4" s="8" t="s">
        <v>10</v>
      </c>
      <c r="I4" s="10">
        <f>(SUMIF('صفحة الفرز'!G$9:G1000, H4, 'صفحة الفرز'!J$9:J1000) + SUMIF('صفحة الفرز'!G$9:G1000, H4, 'صفحة الفرز'!N$9:N1000)) * 3
</f>
        <v>363</v>
      </c>
      <c r="P4" s="131" t="s">
        <v>55</v>
      </c>
      <c r="Q4" s="10">
        <f>(SUMIF('صفحة الفرز'!G$9:G1000, P4, 'صفحة الفرز'!J$9:J1000) + SUMIF('صفحة الفرز'!G$9:G1000, P4, 'صفحة الفرز'!N$9:N1000)) * 3
</f>
        <v>906</v>
      </c>
    </row>
    <row r="5">
      <c r="A5" s="152">
        <v>4.0</v>
      </c>
      <c r="B5" s="153" t="s">
        <v>284</v>
      </c>
      <c r="C5" s="10">
        <f>(SUMIF('صفحة الفرز'!G$9:G1000, B5, 'صفحة الفرز'!J$9:J1000) + SUMIF('صفحة الفرز'!G$9:G1000, B5, 'صفحة الفرز'!N$9:N1000)) * 3
</f>
        <v>726</v>
      </c>
      <c r="D5" s="154" t="s">
        <v>64</v>
      </c>
      <c r="E5" s="10">
        <f>(SUMIF('صفحة الفرز'!G$9:G1000, D5, 'صفحة الفرز'!J$9:J1000) + SUMIF('صفحة الفرز'!G$9:G1000, D5, 'صفحة الفرز'!N$9:N1000)) * 3
</f>
        <v>903</v>
      </c>
      <c r="F5" s="155">
        <v>925.0</v>
      </c>
      <c r="G5" s="156"/>
      <c r="H5" s="8" t="s">
        <v>11</v>
      </c>
      <c r="I5" s="10">
        <f>(SUMIF('صفحة الفرز'!G$9:G1000, H5, 'صفحة الفرز'!J$9:J1000) + SUMIF('صفحة الفرز'!G$9:G1000, H5, 'صفحة الفرز'!N$9:N1000)) * 3
</f>
        <v>1860</v>
      </c>
      <c r="P5" s="131" t="s">
        <v>64</v>
      </c>
      <c r="Q5" s="10">
        <f>(SUMIF('صفحة الفرز'!G$9:G1000, P5, 'صفحة الفرز'!J$9:J1000) + SUMIF('صفحة الفرز'!G$9:G1000, P5, 'صفحة الفرز'!N$9:N1000)) * 3
</f>
        <v>903</v>
      </c>
    </row>
    <row r="6">
      <c r="A6" s="152">
        <v>5.0</v>
      </c>
      <c r="B6" s="153" t="s">
        <v>285</v>
      </c>
      <c r="C6" s="10">
        <f>(SUMIF('صفحة الفرز'!G$9:G1000, B6, 'صفحة الفرز'!J$9:J1000) + SUMIF('صفحة الفرز'!G$9:G1000, B6, 'صفحة الفرز'!N$9:N1000)) * 3
</f>
        <v>762</v>
      </c>
      <c r="D6" s="154" t="s">
        <v>68</v>
      </c>
      <c r="E6" s="10">
        <f>(SUMIF('صفحة الفرز'!G$9:G1000, D6, 'صفحة الفرز'!J$9:J1000) + SUMIF('صفحة الفرز'!G$9:G1000, D6, 'صفحة الفرز'!N$9:N1000)) * 3
</f>
        <v>894</v>
      </c>
      <c r="F6" s="155">
        <v>925.0</v>
      </c>
      <c r="G6" s="156"/>
      <c r="H6" s="8" t="s">
        <v>12</v>
      </c>
      <c r="I6" s="10">
        <f>(SUMIF('صفحة الفرز'!G$9:G1000, H6, 'صفحة الفرز'!J$9:J1000) + SUMIF('صفحة الفرز'!G$9:G1000, H6, 'صفحة الفرز'!N$9:N1000)) * 3
</f>
        <v>795</v>
      </c>
      <c r="P6" s="131" t="s">
        <v>68</v>
      </c>
      <c r="Q6" s="10">
        <f>(SUMIF('صفحة الفرز'!G$9:G1000, P6, 'صفحة الفرز'!J$9:J1000) + SUMIF('صفحة الفرز'!G$9:G1000, P6, 'صفحة الفرز'!N$9:N1000)) * 3
</f>
        <v>894</v>
      </c>
    </row>
    <row r="7">
      <c r="A7" s="152">
        <v>6.0</v>
      </c>
      <c r="B7" s="153" t="s">
        <v>288</v>
      </c>
      <c r="C7" s="10">
        <f>(SUMIF('صفحة الفرز'!G$9:G1000, B7, 'صفحة الفرز'!J$9:J1000) + SUMIF('صفحة الفرز'!G$9:G1000, B7, 'صفحة الفرز'!N$9:N1000)) * 3
</f>
        <v>768</v>
      </c>
      <c r="D7" s="154" t="s">
        <v>71</v>
      </c>
      <c r="E7" s="10">
        <f>(SUMIF('صفحة الفرز'!G$9:G1000, D7, 'صفحة الفرز'!J$9:J1000) + SUMIF('صفحة الفرز'!G$9:G1000, D7, 'صفحة الفرز'!N$9:N1000)) * 3
</f>
        <v>822</v>
      </c>
      <c r="F7" s="155">
        <v>925.0</v>
      </c>
      <c r="G7" s="156"/>
      <c r="H7" s="8" t="s">
        <v>97</v>
      </c>
      <c r="I7" s="10">
        <f>(SUMIF('صفحة الفرز'!G$9:G1000, H7, 'صفحة الفرز'!J$9:J1000) + SUMIF('صفحة الفرز'!G$9:G1000, H7, 'صفحة الفرز'!N$9:N1000)) * 3
</f>
        <v>1875</v>
      </c>
      <c r="P7" s="131" t="s">
        <v>71</v>
      </c>
      <c r="Q7" s="10">
        <f>(SUMIF('صفحة الفرز'!G$9:G1000, P7, 'صفحة الفرز'!J$9:J1000) + SUMIF('صفحة الفرز'!G$9:G1000, P7, 'صفحة الفرز'!N$9:N1000)) * 3
</f>
        <v>822</v>
      </c>
    </row>
    <row r="8">
      <c r="A8" s="152">
        <v>7.0</v>
      </c>
      <c r="B8" s="153" t="s">
        <v>233</v>
      </c>
      <c r="C8" s="10">
        <f>(SUMIF('صفحة الفرز'!G$9:G1000, B8, 'صفحة الفرز'!J$9:J1000) + SUMIF('صفحة الفرز'!G$9:G1000, B8, 'صفحة الفرز'!N$9:N1000)) * 3
</f>
        <v>885</v>
      </c>
      <c r="D8" s="154" t="s">
        <v>76</v>
      </c>
      <c r="E8" s="10">
        <f>(SUMIF('صفحة الفرز'!G$9:G1000, D8, 'صفحة الفرز'!J$9:J1000) + SUMIF('صفحة الفرز'!G$9:G1000, D8, 'صفحة الفرز'!N$9:N1000)) * 3
</f>
        <v>867</v>
      </c>
      <c r="F8" s="155">
        <v>925.0</v>
      </c>
      <c r="G8" s="156"/>
      <c r="H8" s="8" t="s">
        <v>14</v>
      </c>
      <c r="I8" s="10">
        <f>(SUMIF('صفحة الفرز'!G$9:G1000, H8, 'صفحة الفرز'!J$9:J1000) + SUMIF('صفحة الفرز'!G$9:G1000, H8, 'صفحة الفرز'!N$9:N1000)) * 3
</f>
        <v>1122</v>
      </c>
      <c r="P8" s="131" t="s">
        <v>76</v>
      </c>
      <c r="Q8" s="10">
        <f>(SUMIF('صفحة الفرز'!G$9:G1000, P8, 'صفحة الفرز'!J$9:J1000) + SUMIF('صفحة الفرز'!G$9:G1000, P8, 'صفحة الفرز'!N$9:N1000)) * 3
</f>
        <v>867</v>
      </c>
    </row>
    <row r="9">
      <c r="A9" s="152">
        <v>8.0</v>
      </c>
      <c r="B9" s="153" t="s">
        <v>126</v>
      </c>
      <c r="C9" s="10">
        <f>(SUMIF('صفحة الفرز'!G$9:G1000, B9, 'صفحة الفرز'!J$9:J1000) + SUMIF('صفحة الفرز'!G$9:G1000, B9, 'صفحة الفرز'!N$9:N1000)) * 3
</f>
        <v>825</v>
      </c>
      <c r="D9" s="154" t="s">
        <v>80</v>
      </c>
      <c r="E9" s="10">
        <f>(SUMIF('صفحة الفرز'!G$9:G1000, D9, 'صفحة الفرز'!J$9:J1000) + SUMIF('صفحة الفرز'!G$9:G1000, D9, 'صفحة الفرز'!N$9:N1000)) * 3
</f>
        <v>915</v>
      </c>
      <c r="F9" s="155">
        <v>925.0</v>
      </c>
      <c r="G9" s="156"/>
      <c r="H9" s="8" t="s">
        <v>15</v>
      </c>
      <c r="I9" s="10">
        <f>(SUMIF('صفحة الفرز'!G$9:G1000, H9, 'صفحة الفرز'!J$9:J1000) + SUMIF('صفحة الفرز'!G$9:G1000, H9, 'صفحة الفرز'!N$9:N1000)) * 3
</f>
        <v>2667</v>
      </c>
      <c r="P9" s="131" t="s">
        <v>80</v>
      </c>
      <c r="Q9" s="10">
        <f>(SUMIF('صفحة الفرز'!G$9:G1000, P9, 'صفحة الفرز'!J$9:J1000) + SUMIF('صفحة الفرز'!G$9:G1000, P9, 'صفحة الفرز'!N$9:N1000)) * 3
</f>
        <v>915</v>
      </c>
    </row>
    <row r="10">
      <c r="A10" s="152">
        <v>9.0</v>
      </c>
      <c r="B10" s="153" t="s">
        <v>137</v>
      </c>
      <c r="C10" s="10">
        <f>(SUMIF('صفحة الفرز'!G$9:G1000, B10, 'صفحة الفرز'!J$9:J1000) + SUMIF('صفحة الفرز'!G$9:G1000, B10, 'صفحة الفرز'!N$9:N1000)) * 3
</f>
        <v>897</v>
      </c>
      <c r="D10" s="154" t="s">
        <v>83</v>
      </c>
      <c r="E10" s="10">
        <f>(SUMIF('صفحة الفرز'!G$9:G1000, D10, 'صفحة الفرز'!J$9:J1000) + SUMIF('صفحة الفرز'!G$9:G1000, D10, 'صفحة الفرز'!N$9:N1000)) * 3
</f>
        <v>876</v>
      </c>
      <c r="F10" s="155">
        <v>925.0</v>
      </c>
      <c r="G10" s="157"/>
      <c r="H10" s="8" t="s">
        <v>292</v>
      </c>
      <c r="I10" s="10">
        <f>(SUMIF('صفحة الفرز'!G$9:G1000, H10, 'صفحة الفرز'!J$9:J1000) + SUMIF('صفحة الفرز'!G$9:G1000, H10, 'صفحة الفرز'!N$9:N1000)) * 3
</f>
        <v>165</v>
      </c>
      <c r="J10" s="132">
        <v>3.363</v>
      </c>
      <c r="K10" s="131">
        <f t="shared" ref="K10:K14" si="1">J10*I10</f>
        <v>554.895</v>
      </c>
      <c r="P10" s="131" t="s">
        <v>83</v>
      </c>
      <c r="Q10" s="10">
        <f>(SUMIF('صفحة الفرز'!G$9:G1000, P10, 'صفحة الفرز'!J$9:J1000) + SUMIF('صفحة الفرز'!G$9:G1000, P10, 'صفحة الفرز'!N$9:N1000)) * 3
</f>
        <v>876</v>
      </c>
    </row>
    <row r="11">
      <c r="A11" s="152">
        <v>10.0</v>
      </c>
      <c r="B11" s="153" t="s">
        <v>148</v>
      </c>
      <c r="C11" s="10">
        <f>(SUMIF('صفحة الفرز'!G$9:G1000, B11, 'صفحة الفرز'!J$9:J1000) + SUMIF('صفحة الفرز'!G$9:G1000, B11, 'صفحة الفرز'!N$9:N1000)) * 3
</f>
        <v>888</v>
      </c>
      <c r="D11" s="154" t="s">
        <v>86</v>
      </c>
      <c r="E11" s="10">
        <f>(SUMIF('صفحة الفرز'!G$9:G1000, D11, 'صفحة الفرز'!J$9:J1000) + SUMIF('صفحة الفرز'!G$9:G1000, D11, 'صفحة الفرز'!N$9:N1000)) * 3
</f>
        <v>924</v>
      </c>
      <c r="F11" s="155">
        <v>925.0</v>
      </c>
      <c r="G11" s="157"/>
      <c r="H11" s="8" t="s">
        <v>293</v>
      </c>
      <c r="I11" s="10">
        <f>(SUMIF('صفحة الفرز'!G$9:G1000, H11, 'صفحة الفرز'!J$9:J1000) + SUMIF('صفحة الفرز'!G$9:G1000, H11, 'صفحة الفرز'!N$9:N1000)) * 3
</f>
        <v>24</v>
      </c>
      <c r="J11" s="158">
        <v>3.2551920000000045</v>
      </c>
      <c r="K11" s="131">
        <f t="shared" si="1"/>
        <v>78.124608</v>
      </c>
      <c r="P11" s="131" t="s">
        <v>86</v>
      </c>
      <c r="Q11" s="10">
        <f>(SUMIF('صفحة الفرز'!G$9:G1000, P11, 'صفحة الفرز'!J$9:J1000) + SUMIF('صفحة الفرز'!G$9:G1000, P11, 'صفحة الفرز'!N$9:N1000)) * 3
</f>
        <v>924</v>
      </c>
    </row>
    <row r="12">
      <c r="A12" s="152">
        <v>11.0</v>
      </c>
      <c r="B12" s="153" t="s">
        <v>154</v>
      </c>
      <c r="C12" s="10">
        <f>(SUMIF('صفحة الفرز'!G$9:G1000, B12, 'صفحة الفرز'!J$9:J1000) + SUMIF('صفحة الفرز'!G$9:G1000, B12, 'صفحة الفرز'!N$9:N1000)) * 3
</f>
        <v>1335</v>
      </c>
      <c r="D12" s="154" t="s">
        <v>88</v>
      </c>
      <c r="E12" s="10">
        <f>(SUMIF('صفحة الفرز'!G$9:G1000, D12, 'صفحة الفرز'!J$9:J1000) + SUMIF('صفحة الفرز'!G$9:G1000, D12, 'صفحة الفرز'!N$9:N1000)) * 3
</f>
        <v>930</v>
      </c>
      <c r="F12" s="155">
        <v>1460.0</v>
      </c>
      <c r="G12" s="157"/>
      <c r="H12" s="8" t="s">
        <v>295</v>
      </c>
      <c r="I12" s="10">
        <f>(SUMIF('صفحة الفرز'!G$9:G1000, H12, 'صفحة الفرز'!J$9:J1000) + SUMIF('صفحة الفرز'!G$9:G1000, H12, 'صفحة الفرز'!N$9:N1000)) * 3
</f>
        <v>75</v>
      </c>
      <c r="J12" s="158">
        <v>3.3273040000000034</v>
      </c>
      <c r="K12" s="131">
        <f t="shared" si="1"/>
        <v>249.5478</v>
      </c>
      <c r="P12" s="131" t="s">
        <v>88</v>
      </c>
      <c r="Q12" s="10">
        <f>(SUMIF('صفحة الفرز'!G$9:G1000, P12, 'صفحة الفرز'!J$9:J1000) + SUMIF('صفحة الفرز'!G$9:G1000, P12, 'صفحة الفرز'!N$9:N1000)) * 3
</f>
        <v>930</v>
      </c>
    </row>
    <row r="13">
      <c r="A13" s="152">
        <v>12.0</v>
      </c>
      <c r="B13" s="153" t="s">
        <v>51</v>
      </c>
      <c r="C13" s="10">
        <f>(SUMIF('صفحة الفرز'!G$9:G1000, B13, 'صفحة الفرز'!J$9:J1000) + SUMIF('صفحة الفرز'!G$9:G1000, B13, 'صفحة الفرز'!N$9:N1000)) * 3
</f>
        <v>900</v>
      </c>
      <c r="D13" s="154" t="s">
        <v>89</v>
      </c>
      <c r="E13" s="10">
        <f>(SUMIF('صفحة الفرز'!G$9:G1000, D13, 'صفحة الفرز'!J$9:J1000) + SUMIF('صفحة الفرز'!G$9:G1000, D13, 'صفحة الفرز'!N$9:N1000)) * 3
</f>
        <v>561</v>
      </c>
      <c r="F13" s="155">
        <v>925.0</v>
      </c>
      <c r="G13" s="157"/>
      <c r="H13" s="8" t="s">
        <v>296</v>
      </c>
      <c r="I13" s="10">
        <f>(SUMIF('صفحة الفرز'!G$9:G1000, H13, 'صفحة الفرز'!J$9:J1000) + SUMIF('صفحة الفرز'!G$9:G1000, H13, 'صفحة الفرز'!N$9:N1000)) * 3
</f>
        <v>72</v>
      </c>
      <c r="J13" s="158">
        <v>3.2551920000000045</v>
      </c>
      <c r="K13" s="131">
        <f t="shared" si="1"/>
        <v>234.373824</v>
      </c>
      <c r="P13" s="131" t="s">
        <v>89</v>
      </c>
      <c r="Q13" s="10">
        <f>(SUMIF('صفحة الفرز'!G$9:G1000, P13, 'صفحة الفرز'!J$9:J1000) + SUMIF('صفحة الفرز'!G$9:G1000, P13, 'صفحة الفرز'!N$9:N1000)) * 3
</f>
        <v>561</v>
      </c>
    </row>
    <row r="14">
      <c r="A14" s="152">
        <v>13.0</v>
      </c>
      <c r="B14" s="153" t="s">
        <v>71</v>
      </c>
      <c r="C14" s="10">
        <f>(SUMIF('صفحة الفرز'!G$9:G1000, B14, 'صفحة الفرز'!J$9:J1000) + SUMIF('صفحة الفرز'!G$9:G1000, B14, 'صفحة الفرز'!N$9:N1000)) * 3
</f>
        <v>822</v>
      </c>
      <c r="D14" s="154" t="s">
        <v>91</v>
      </c>
      <c r="E14" s="10">
        <f>(SUMIF('صفحة الفرز'!G$9:G1000, D14, 'صفحة الفرز'!J$9:J1000) + SUMIF('صفحة الفرز'!G$9:G1000, D14, 'صفحة الفرز'!N$9:N1000)) * 3
</f>
        <v>927</v>
      </c>
      <c r="F14" s="155">
        <v>925.0</v>
      </c>
      <c r="G14" s="157"/>
      <c r="H14" s="8" t="s">
        <v>297</v>
      </c>
      <c r="I14" s="10">
        <f>(SUMIF('صفحة الفرز'!G$9:G1000, H14, 'صفحة الفرز'!J$9:J1000) + SUMIF('صفحة الفرز'!G$9:G1000, H14, 'صفحة الفرز'!N$9:N1000)) * 3
</f>
        <v>6</v>
      </c>
      <c r="J14" s="158">
        <v>3.127303999999997</v>
      </c>
      <c r="K14" s="131">
        <f t="shared" si="1"/>
        <v>18.763824</v>
      </c>
      <c r="P14" s="131" t="s">
        <v>91</v>
      </c>
      <c r="Q14" s="10">
        <f>(SUMIF('صفحة الفرز'!G$9:G1000, P14, 'صفحة الفرز'!J$9:J1000) + SUMIF('صفحة الفرز'!G$9:G1000, P14, 'صفحة الفرز'!N$9:N1000)) * 3
</f>
        <v>927</v>
      </c>
    </row>
    <row r="15">
      <c r="A15" s="152">
        <v>14.0</v>
      </c>
      <c r="B15" s="153" t="s">
        <v>64</v>
      </c>
      <c r="C15" s="10">
        <f>(SUMIF('صفحة الفرز'!G$9:G1000, B15, 'صفحة الفرز'!J$9:J1000) + SUMIF('صفحة الفرز'!G$9:G1000, B15, 'صفحة الفرز'!N$9:N1000)) * 3
</f>
        <v>903</v>
      </c>
      <c r="D15" s="154" t="s">
        <v>93</v>
      </c>
      <c r="E15" s="10">
        <f>(SUMIF('صفحة الفرز'!G$9:G1000, D15, 'صفحة الفرز'!J$9:J1000) + SUMIF('صفحة الفرز'!G$9:G1000, D15, 'صفحة الفرز'!N$9:N1000)) * 3
</f>
        <v>912</v>
      </c>
      <c r="F15" s="155">
        <v>925.0</v>
      </c>
      <c r="G15" s="157"/>
      <c r="K15" s="131">
        <f>SUM(K10:K14)</f>
        <v>1135.705056</v>
      </c>
      <c r="P15" s="131" t="s">
        <v>93</v>
      </c>
      <c r="Q15" s="10">
        <f>(SUMIF('صفحة الفرز'!G$9:G1000, P15, 'صفحة الفرز'!J$9:J1000) + SUMIF('صفحة الفرز'!G$9:G1000, P15, 'صفحة الفرز'!N$9:N1000)) * 3
</f>
        <v>912</v>
      </c>
    </row>
    <row r="16">
      <c r="A16" s="152">
        <v>15.0</v>
      </c>
      <c r="B16" s="153" t="s">
        <v>68</v>
      </c>
      <c r="C16" s="10">
        <f>(SUMIF('صفحة الفرز'!G$9:G1000, B16, 'صفحة الفرز'!J$9:J1000) + SUMIF('صفحة الفرز'!G$9:G1000, B16, 'صفحة الفرز'!N$9:N1000)) * 3
</f>
        <v>894</v>
      </c>
      <c r="D16" s="154" t="s">
        <v>95</v>
      </c>
      <c r="E16" s="10">
        <f>(SUMIF('صفحة الفرز'!G$9:G1000, D16, 'صفحة الفرز'!J$9:J1000) + SUMIF('صفحة الفرز'!G$9:G1000, D16, 'صفحة الفرز'!N$9:N1000)) * 3
</f>
        <v>897</v>
      </c>
      <c r="F16" s="155">
        <v>925.0</v>
      </c>
      <c r="G16" s="157"/>
      <c r="P16" s="131" t="s">
        <v>95</v>
      </c>
      <c r="Q16" s="10">
        <f>(SUMIF('صفحة الفرز'!G$9:G1000, P16, 'صفحة الفرز'!J$9:J1000) + SUMIF('صفحة الفرز'!G$9:G1000, P16, 'صفحة الفرز'!N$9:N1000)) * 3
</f>
        <v>897</v>
      </c>
    </row>
    <row r="17">
      <c r="A17" s="152">
        <v>16.0</v>
      </c>
      <c r="B17" s="153" t="s">
        <v>80</v>
      </c>
      <c r="C17" s="10">
        <f>(SUMIF('صفحة الفرز'!G$9:G1000, B17, 'صفحة الفرز'!J$9:J1000) + SUMIF('صفحة الفرز'!G$9:G1000, B17, 'صفحة الفرز'!N$9:N1000)) * 3
</f>
        <v>915</v>
      </c>
      <c r="D17" s="154" t="s">
        <v>96</v>
      </c>
      <c r="E17" s="10">
        <f>(SUMIF('صفحة الفرز'!G$9:G1000, D17, 'صفحة الفرز'!J$9:J1000) + SUMIF('صفحة الفرز'!G$9:G1000, D17, 'صفحة الفرز'!N$9:N1000)) * 3
</f>
        <v>1395</v>
      </c>
      <c r="F17" s="155">
        <v>925.0</v>
      </c>
      <c r="G17" s="157"/>
      <c r="P17" s="131" t="s">
        <v>96</v>
      </c>
      <c r="Q17" s="10">
        <f>(SUMIF('صفحة الفرز'!G$9:G1000, P17, 'صفحة الفرز'!J$9:J1000) + SUMIF('صفحة الفرز'!G$9:G1000, P17, 'صفحة الفرز'!N$9:N1000)) * 3
</f>
        <v>1395</v>
      </c>
    </row>
    <row r="18">
      <c r="A18" s="152">
        <v>17.0</v>
      </c>
      <c r="B18" s="153" t="s">
        <v>76</v>
      </c>
      <c r="C18" s="10">
        <f>(SUMIF('صفحة الفرز'!G$9:G1000, B18, 'صفحة الفرز'!J$9:J1000) + SUMIF('صفحة الفرز'!G$9:G1000, B18, 'صفحة الفرز'!N$9:N1000)) * 3
</f>
        <v>867</v>
      </c>
      <c r="D18" s="154" t="s">
        <v>98</v>
      </c>
      <c r="E18" s="10">
        <f>(SUMIF('صفحة الفرز'!G$9:G1000, D18, 'صفحة الفرز'!J$9:J1000) + SUMIF('صفحة الفرز'!G$9:G1000, D18, 'صفحة الفرز'!N$9:N1000)) * 3
</f>
        <v>981</v>
      </c>
      <c r="F18" s="155">
        <v>925.0</v>
      </c>
      <c r="G18" s="157"/>
      <c r="P18" s="131" t="s">
        <v>97</v>
      </c>
      <c r="Q18" s="10">
        <f>(SUMIF('صفحة الفرز'!G$9:G1000, P18, 'صفحة الفرز'!J$9:J1000) + SUMIF('صفحة الفرز'!G$9:G1000, P18, 'صفحة الفرز'!N$9:N1000)) * 3
</f>
        <v>1875</v>
      </c>
    </row>
    <row r="19">
      <c r="A19" s="152">
        <v>18.0</v>
      </c>
      <c r="B19" s="153" t="s">
        <v>89</v>
      </c>
      <c r="C19" s="10">
        <f>(SUMIF('صفحة الفرز'!G$9:G1000, B19, 'صفحة الفرز'!J$9:J1000) + SUMIF('صفحة الفرز'!G$9:G1000, B19, 'صفحة الفرز'!N$9:N1000)) * 3
</f>
        <v>561</v>
      </c>
      <c r="D19" s="154" t="s">
        <v>101</v>
      </c>
      <c r="E19" s="10">
        <f>(SUMIF('صفحة الفرز'!G$9:G1000, D19, 'صفحة الفرز'!J$9:J1000) + SUMIF('صفحة الفرز'!G$9:G1000, D19, 'صفحة الفرز'!N$9:N1000)) * 3
</f>
        <v>909</v>
      </c>
      <c r="F19" s="155">
        <v>560.0</v>
      </c>
      <c r="G19" s="157"/>
      <c r="P19" s="131" t="s">
        <v>98</v>
      </c>
      <c r="Q19" s="10">
        <f>(SUMIF('صفحة الفرز'!G$9:G1000, P19, 'صفحة الفرز'!J$9:J1000) + SUMIF('صفحة الفرز'!G$9:G1000, P19, 'صفحة الفرز'!N$9:N1000)) * 3
</f>
        <v>981</v>
      </c>
    </row>
    <row r="20">
      <c r="A20" s="152">
        <v>19.0</v>
      </c>
      <c r="B20" s="153" t="s">
        <v>83</v>
      </c>
      <c r="C20" s="10">
        <f>(SUMIF('صفحة الفرز'!G$9:G1000, B20, 'صفحة الفرز'!J$9:J1000) + SUMIF('صفحة الفرز'!G$9:G1000, B20, 'صفحة الفرز'!N$9:N1000)) * 3
</f>
        <v>876</v>
      </c>
      <c r="D20" s="154" t="s">
        <v>102</v>
      </c>
      <c r="E20" s="10">
        <f>(SUMIF('صفحة الفرز'!G$9:G1000, D20, 'صفحة الفرز'!J$9:J1000) + SUMIF('صفحة الفرز'!G$9:G1000, D20, 'صفحة الفرز'!N$9:N1000)) * 3
</f>
        <v>1149</v>
      </c>
      <c r="F20" s="155">
        <v>925.0</v>
      </c>
      <c r="G20" s="157"/>
      <c r="P20" s="131" t="s">
        <v>99</v>
      </c>
      <c r="Q20" s="10">
        <f>(SUMIF('صفحة الفرز'!G$9:G1000, P20, 'صفحة الفرز'!J$9:J1000) + SUMIF('صفحة الفرز'!G$9:G1000, P20, 'صفحة الفرز'!N$9:N1000)) * 3
</f>
        <v>5715</v>
      </c>
    </row>
    <row r="21">
      <c r="A21" s="152">
        <v>20.0</v>
      </c>
      <c r="B21" s="153" t="s">
        <v>212</v>
      </c>
      <c r="C21" s="10">
        <f>(SUMIF('صفحة الفرز'!G$9:G1000, B21, 'صفحة الفرز'!J$9:J1000) + SUMIF('صفحة الفرز'!G$9:G1000, B21, 'صفحة الفرز'!N$9:N1000)) * 3
</f>
        <v>987</v>
      </c>
      <c r="D21" s="154" t="s">
        <v>110</v>
      </c>
      <c r="E21" s="10">
        <f>(SUMIF('صفحة الفرز'!G$9:G1000, D21, 'صفحة الفرز'!J$9:J1000) + SUMIF('صفحة الفرز'!G$9:G1000, D21, 'صفحة الفرز'!N$9:N1000)) * 3
</f>
        <v>1152</v>
      </c>
      <c r="F21" s="155">
        <v>1050.0</v>
      </c>
      <c r="G21" s="157"/>
      <c r="P21" s="131" t="s">
        <v>101</v>
      </c>
      <c r="Q21" s="10">
        <f>(SUMIF('صفحة الفرز'!G$9:G1000, P21, 'صفحة الفرز'!J$9:J1000) + SUMIF('صفحة الفرز'!G$9:G1000, P21, 'صفحة الفرز'!N$9:N1000)) * 3
</f>
        <v>909</v>
      </c>
    </row>
    <row r="22">
      <c r="A22" s="152">
        <v>21.0</v>
      </c>
      <c r="B22" s="153" t="s">
        <v>131</v>
      </c>
      <c r="C22" s="10">
        <f>(SUMIF('صفحة الفرز'!G$9:G1000, B22, 'صفحة الفرز'!J$9:J1000) + SUMIF('صفحة الفرز'!G$9:G1000, B22, 'صفحة الفرز'!N$9:N1000)) * 3
</f>
        <v>783</v>
      </c>
      <c r="D22" s="154" t="s">
        <v>111</v>
      </c>
      <c r="E22" s="10">
        <f>(SUMIF('صفحة الفرز'!G$9:G1000, D22, 'صفحة الفرز'!J$9:J1000) + SUMIF('صفحة الفرز'!G$9:G1000, D22, 'صفحة الفرز'!N$9:N1000)) * 3
</f>
        <v>885</v>
      </c>
      <c r="F22" s="155">
        <v>925.0</v>
      </c>
      <c r="G22" s="157"/>
      <c r="P22" s="131" t="s">
        <v>102</v>
      </c>
      <c r="Q22" s="10">
        <f>(SUMIF('صفحة الفرز'!G$9:G1000, P22, 'صفحة الفرز'!J$9:J1000) + SUMIF('صفحة الفرز'!G$9:G1000, P22, 'صفحة الفرز'!N$9:N1000)) * 3
</f>
        <v>1149</v>
      </c>
    </row>
    <row r="23">
      <c r="A23" s="152">
        <v>22.0</v>
      </c>
      <c r="B23" s="153" t="s">
        <v>111</v>
      </c>
      <c r="C23" s="10">
        <f>(SUMIF('صفحة الفرز'!G$9:G1000, B23, 'صفحة الفرز'!J$9:J1000) + SUMIF('صفحة الفرز'!G$9:G1000, B23, 'صفحة الفرز'!N$9:N1000)) * 3
</f>
        <v>885</v>
      </c>
      <c r="D23" s="154" t="s">
        <v>114</v>
      </c>
      <c r="E23" s="10">
        <f>(SUMIF('صفحة الفرز'!G$9:G1000, D23, 'صفحة الفرز'!J$9:J1000) + SUMIF('صفحة الفرز'!G$9:G1000, D23, 'صفحة الفرز'!N$9:N1000)) * 3
</f>
        <v>924</v>
      </c>
      <c r="F23" s="155">
        <v>925.0</v>
      </c>
      <c r="G23" s="157"/>
      <c r="P23" s="131" t="s">
        <v>110</v>
      </c>
      <c r="Q23" s="10">
        <f>(SUMIF('صفحة الفرز'!G$9:G1000, P23, 'صفحة الفرز'!J$9:J1000) + SUMIF('صفحة الفرز'!G$9:G1000, P23, 'صفحة الفرز'!N$9:N1000)) * 3
</f>
        <v>1152</v>
      </c>
    </row>
    <row r="24">
      <c r="A24" s="152">
        <v>23.0</v>
      </c>
      <c r="B24" s="153" t="s">
        <v>110</v>
      </c>
      <c r="C24" s="10">
        <f>(SUMIF('صفحة الفرز'!G$9:G1000, B24, 'صفحة الفرز'!J$9:J1000) + SUMIF('صفحة الفرز'!G$9:G1000, B24, 'صفحة الفرز'!N$9:N1000)) * 3
</f>
        <v>1152</v>
      </c>
      <c r="D24" s="154" t="s">
        <v>126</v>
      </c>
      <c r="E24" s="10">
        <f>(SUMIF('صفحة الفرز'!G$9:G1000, D24, 'صفحة الفرز'!J$9:J1000) + SUMIF('صفحة الفرز'!G$9:G1000, D24, 'صفحة الفرز'!N$9:N1000)) * 3
</f>
        <v>825</v>
      </c>
      <c r="F24" s="155">
        <v>1200.0</v>
      </c>
      <c r="G24" s="157"/>
      <c r="P24" s="131" t="s">
        <v>111</v>
      </c>
      <c r="Q24" s="10">
        <f>(SUMIF('صفحة الفرز'!G$9:G1000, P24, 'صفحة الفرز'!J$9:J1000) + SUMIF('صفحة الفرز'!G$9:G1000, P24, 'صفحة الفرز'!N$9:N1000)) * 3
</f>
        <v>885</v>
      </c>
    </row>
    <row r="25">
      <c r="A25" s="152">
        <v>24.0</v>
      </c>
      <c r="B25" s="153" t="s">
        <v>53</v>
      </c>
      <c r="C25" s="10">
        <f>(SUMIF('صفحة الفرز'!G$9:G1000, B25, 'صفحة الفرز'!J$9:J1000) + SUMIF('صفحة الفرز'!G$9:G1000, B25, 'صفحة الفرز'!N$9:N1000)) * 3
</f>
        <v>540</v>
      </c>
      <c r="D25" s="154" t="s">
        <v>127</v>
      </c>
      <c r="E25" s="10">
        <f>(SUMIF('صفحة الفرز'!G$9:G1000, D25, 'صفحة الفرز'!J$9:J1000) + SUMIF('صفحة الفرز'!G$9:G1000, D25, 'صفحة الفرز'!N$9:N1000)) * 3
</f>
        <v>933</v>
      </c>
      <c r="F25" s="155">
        <v>550.0</v>
      </c>
      <c r="G25" s="157"/>
      <c r="P25" s="131" t="s">
        <v>8</v>
      </c>
      <c r="Q25" s="10">
        <f>(SUMIF('صفحة الفرز'!G$9:G1000, P25, 'صفحة الفرز'!J$9:J1000) + SUMIF('صفحة الفرز'!G$9:G1000, P25, 'صفحة الفرز'!N$9:N1000)) * 3
</f>
        <v>1743</v>
      </c>
    </row>
    <row r="26">
      <c r="A26" s="152">
        <v>25.0</v>
      </c>
      <c r="B26" s="153" t="s">
        <v>55</v>
      </c>
      <c r="C26" s="10">
        <f>(SUMIF('صفحة الفرز'!G$9:G1000, B26, 'صفحة الفرز'!J$9:J1000) + SUMIF('صفحة الفرز'!G$9:G1000, B26, 'صفحة الفرز'!N$9:N1000)) * 3
</f>
        <v>906</v>
      </c>
      <c r="D26" s="154" t="s">
        <v>128</v>
      </c>
      <c r="E26" s="10">
        <f>(SUMIF('صفحة الفرز'!G$9:G1000, D26, 'صفحة الفرز'!J$9:J1000) + SUMIF('صفحة الفرز'!G$9:G1000, D26, 'صفحة الفرز'!N$9:N1000)) * 3
</f>
        <v>909</v>
      </c>
      <c r="F26" s="155">
        <v>1030.0</v>
      </c>
      <c r="G26" s="157"/>
      <c r="P26" s="131" t="s">
        <v>114</v>
      </c>
      <c r="Q26" s="10">
        <f>(SUMIF('صفحة الفرز'!G$9:G1000, P26, 'صفحة الفرز'!J$9:J1000) + SUMIF('صفحة الفرز'!G$9:G1000, P26, 'صفحة الفرز'!N$9:N1000)) * 3
</f>
        <v>924</v>
      </c>
    </row>
    <row r="27">
      <c r="A27" s="152">
        <v>26.0</v>
      </c>
      <c r="B27" s="153" t="s">
        <v>91</v>
      </c>
      <c r="C27" s="10">
        <f>(SUMIF('صفحة الفرز'!G$9:G1000, B27, 'صفحة الفرز'!J$9:J1000) + SUMIF('صفحة الفرز'!G$9:G1000, B27, 'صفحة الفرز'!N$9:N1000)) * 3
</f>
        <v>927</v>
      </c>
      <c r="D27" s="154" t="s">
        <v>129</v>
      </c>
      <c r="E27" s="10">
        <f>(SUMIF('صفحة الفرز'!G$9:G1000, D27, 'صفحة الفرز'!J$9:J1000) + SUMIF('صفحة الفرز'!G$9:G1000, D27, 'صفحة الفرز'!N$9:N1000)) * 3
</f>
        <v>918</v>
      </c>
      <c r="F27" s="155">
        <v>925.0</v>
      </c>
      <c r="G27" s="157"/>
      <c r="P27" s="131" t="s">
        <v>14</v>
      </c>
      <c r="Q27" s="10">
        <f>(SUMIF('صفحة الفرز'!G$9:G1000, P27, 'صفحة الفرز'!J$9:J1000) + SUMIF('صفحة الفرز'!G$9:G1000, P27, 'صفحة الفرز'!N$9:N1000)) * 3
</f>
        <v>1122</v>
      </c>
    </row>
    <row r="28">
      <c r="A28" s="152">
        <v>27.0</v>
      </c>
      <c r="B28" s="153" t="s">
        <v>95</v>
      </c>
      <c r="C28" s="10">
        <f>(SUMIF('صفحة الفرز'!G$9:G1000, B28, 'صفحة الفرز'!J$9:J1000) + SUMIF('صفحة الفرز'!G$9:G1000, B28, 'صفحة الفرز'!N$9:N1000)) * 3
</f>
        <v>897</v>
      </c>
      <c r="D28" s="154" t="s">
        <v>131</v>
      </c>
      <c r="E28" s="10">
        <f>(SUMIF('صفحة الفرز'!G$9:G1000, D28, 'صفحة الفرز'!J$9:J1000) + SUMIF('صفحة الفرز'!G$9:G1000, D28, 'صفحة الفرز'!N$9:N1000)) * 3
</f>
        <v>783</v>
      </c>
      <c r="F28" s="155">
        <v>925.0</v>
      </c>
      <c r="G28" s="157"/>
      <c r="P28" s="131" t="s">
        <v>16</v>
      </c>
      <c r="Q28" s="10">
        <f>(SUMIF('صفحة الفرز'!G$9:G1000, P28, 'صفحة الفرز'!J$9:J1000) + SUMIF('صفحة الفرز'!G$9:G1000, P28, 'صفحة الفرز'!N$9:N1000)) * 3
</f>
        <v>2898</v>
      </c>
    </row>
    <row r="29">
      <c r="A29" s="152">
        <v>28.0</v>
      </c>
      <c r="B29" s="153" t="s">
        <v>88</v>
      </c>
      <c r="C29" s="10">
        <f>(SUMIF('صفحة الفرز'!G$9:G1000, B29, 'صفحة الفرز'!J$9:J1000) + SUMIF('صفحة الفرز'!G$9:G1000, B29, 'صفحة الفرز'!N$9:N1000)) * 3
</f>
        <v>930</v>
      </c>
      <c r="D29" s="154" t="s">
        <v>135</v>
      </c>
      <c r="E29" s="10">
        <f>(SUMIF('صفحة الفرز'!G$9:G1000, D29, 'صفحة الفرز'!J$9:J1000) + SUMIF('صفحة الفرز'!G$9:G1000, D29, 'صفحة الفرز'!N$9:N1000)) * 3
</f>
        <v>924</v>
      </c>
      <c r="F29" s="155">
        <v>925.0</v>
      </c>
      <c r="G29" s="157"/>
      <c r="P29" s="131" t="s">
        <v>12</v>
      </c>
      <c r="Q29" s="10">
        <f>(SUMIF('صفحة الفرز'!G$9:G1000, P29, 'صفحة الفرز'!J$9:J1000) + SUMIF('صفحة الفرز'!G$9:G1000, P29, 'صفحة الفرز'!N$9:N1000)) * 3
</f>
        <v>795</v>
      </c>
    </row>
    <row r="30">
      <c r="A30" s="152">
        <v>29.0</v>
      </c>
      <c r="B30" s="153" t="s">
        <v>86</v>
      </c>
      <c r="C30" s="10">
        <f>(SUMIF('صفحة الفرز'!G$9:G1000, B30, 'صفحة الفرز'!J$9:J1000) + SUMIF('صفحة الفرز'!G$9:G1000, B30, 'صفحة الفرز'!N$9:N1000)) * 3
</f>
        <v>924</v>
      </c>
      <c r="D30" s="154" t="s">
        <v>137</v>
      </c>
      <c r="E30" s="10">
        <f>(SUMIF('صفحة الفرز'!G$9:G1000, D30, 'صفحة الفرز'!J$9:J1000) + SUMIF('صفحة الفرز'!G$9:G1000, D30, 'صفحة الفرز'!N$9:N1000)) * 3
</f>
        <v>897</v>
      </c>
      <c r="F30" s="155">
        <v>925.0</v>
      </c>
      <c r="G30" s="157"/>
      <c r="I30" s="157"/>
      <c r="P30" s="131" t="s">
        <v>126</v>
      </c>
      <c r="Q30" s="10">
        <f>(SUMIF('صفحة الفرز'!G$9:G1000, P30, 'صفحة الفرز'!J$9:J1000) + SUMIF('صفحة الفرز'!G$9:G1000, P30, 'صفحة الفرز'!N$9:N1000)) * 3
</f>
        <v>825</v>
      </c>
    </row>
    <row r="31">
      <c r="A31" s="152">
        <v>30.0</v>
      </c>
      <c r="B31" s="153" t="s">
        <v>93</v>
      </c>
      <c r="C31" s="10">
        <f>(SUMIF('صفحة الفرز'!G$9:G1000, B31, 'صفحة الفرز'!J$9:J1000) + SUMIF('صفحة الفرز'!G$9:G1000, B31, 'صفحة الفرز'!N$9:N1000)) * 3
</f>
        <v>912</v>
      </c>
      <c r="D31" s="154" t="s">
        <v>140</v>
      </c>
      <c r="E31" s="10">
        <f>(SUMIF('صفحة الفرز'!G$9:G1000, D31, 'صفحة الفرز'!J$9:J1000) + SUMIF('صفحة الفرز'!G$9:G1000, D31, 'صفحة الفرز'!N$9:N1000)) * 3
</f>
        <v>645</v>
      </c>
      <c r="F31" s="155">
        <v>925.0</v>
      </c>
      <c r="G31" s="157"/>
      <c r="P31" s="131" t="s">
        <v>9</v>
      </c>
      <c r="Q31" s="10">
        <f>(SUMIF('صفحة الفرز'!G$9:G1000, P31, 'صفحة الفرز'!J$9:J1000) + SUMIF('صفحة الفرز'!G$9:G1000, P31, 'صفحة الفرز'!N$9:N1000)) * 3
</f>
        <v>564</v>
      </c>
    </row>
    <row r="32">
      <c r="A32" s="152">
        <v>31.0</v>
      </c>
      <c r="B32" s="153" t="s">
        <v>101</v>
      </c>
      <c r="C32" s="10">
        <f>(SUMIF('صفحة الفرز'!G$9:G1000, B32, 'صفحة الفرز'!J$9:J1000) + SUMIF('صفحة الفرز'!G$9:G1000, B32, 'صفحة الفرز'!N$9:N1000)) * 3
</f>
        <v>909</v>
      </c>
      <c r="D32" s="154" t="s">
        <v>141</v>
      </c>
      <c r="E32" s="10">
        <f>(SUMIF('صفحة الفرز'!G$9:G1000, D32, 'صفحة الفرز'!J$9:J1000) + SUMIF('صفحة الفرز'!G$9:G1000, D32, 'صفحة الفرز'!N$9:N1000)) * 3
</f>
        <v>924</v>
      </c>
      <c r="F32" s="155">
        <v>1000.0</v>
      </c>
      <c r="G32" s="157"/>
      <c r="P32" s="131" t="s">
        <v>127</v>
      </c>
      <c r="Q32" s="10">
        <f>(SUMIF('صفحة الفرز'!G$9:G1000, P32, 'صفحة الفرز'!J$9:J1000) + SUMIF('صفحة الفرز'!G$9:G1000, P32, 'صفحة الفرز'!N$9:N1000)) * 3
</f>
        <v>933</v>
      </c>
    </row>
    <row r="33">
      <c r="A33" s="152">
        <v>32.0</v>
      </c>
      <c r="B33" s="153" t="s">
        <v>96</v>
      </c>
      <c r="C33" s="10">
        <f>(SUMIF('صفحة الفرز'!G$9:G1000, B33, 'صفحة الفرز'!J$9:J1000) + SUMIF('صفحة الفرز'!G$9:G1000, B33, 'صفحة الفرز'!N$9:N1000)) * 3
</f>
        <v>1395</v>
      </c>
      <c r="D33" s="154" t="s">
        <v>142</v>
      </c>
      <c r="E33" s="10">
        <f>(SUMIF('صفحة الفرز'!G$9:G1000, D33, 'صفحة الفرز'!J$9:J1000) + SUMIF('صفحة الفرز'!G$9:G1000, D33, 'صفحة الفرز'!N$9:N1000)) * 3
</f>
        <v>867</v>
      </c>
      <c r="F33" s="155">
        <v>1460.0</v>
      </c>
      <c r="G33" s="157"/>
      <c r="P33" s="131" t="s">
        <v>128</v>
      </c>
      <c r="Q33" s="10">
        <f>(SUMIF('صفحة الفرز'!G$9:G1000, P33, 'صفحة الفرز'!J$9:J1000) + SUMIF('صفحة الفرز'!G$9:G1000, P33, 'صفحة الفرز'!N$9:N1000)) * 3
</f>
        <v>909</v>
      </c>
    </row>
    <row r="34">
      <c r="A34" s="152">
        <v>33.0</v>
      </c>
      <c r="B34" s="153" t="s">
        <v>196</v>
      </c>
      <c r="C34" s="10">
        <f>(SUMIF('صفحة الفرز'!G$9:G1000, B34, 'صفحة الفرز'!J$9:J1000) + SUMIF('صفحة الفرز'!G$9:G1000, B34, 'صفحة الفرز'!N$9:N1000)) * 3
</f>
        <v>822</v>
      </c>
      <c r="D34" s="154" t="s">
        <v>144</v>
      </c>
      <c r="E34" s="10">
        <f>(SUMIF('صفحة الفرز'!G$9:G1000, D34, 'صفحة الفرز'!J$9:J1000) + SUMIF('صفحة الفرز'!G$9:G1000, D34, 'صفحة الفرز'!N$9:N1000)) * 3
</f>
        <v>744</v>
      </c>
      <c r="F34" s="155">
        <v>925.0</v>
      </c>
      <c r="G34" s="157"/>
      <c r="P34" s="131" t="s">
        <v>11</v>
      </c>
      <c r="Q34" s="10">
        <f>(SUMIF('صفحة الفرز'!G$9:G1000, P34, 'صفحة الفرز'!J$9:J1000) + SUMIF('صفحة الفرز'!G$9:G1000, P34, 'صفحة الفرز'!N$9:N1000)) * 3
</f>
        <v>1860</v>
      </c>
    </row>
    <row r="35">
      <c r="A35" s="152">
        <v>34.0</v>
      </c>
      <c r="B35" s="153" t="s">
        <v>177</v>
      </c>
      <c r="C35" s="10">
        <f>(SUMIF('صفحة الفرز'!G$9:G1000, B35, 'صفحة الفرز'!J$9:J1000) + SUMIF('صفحة الفرز'!G$9:G1000, B35, 'صفحة الفرز'!N$9:N1000)) * 3
</f>
        <v>825</v>
      </c>
      <c r="D35" s="154" t="s">
        <v>145</v>
      </c>
      <c r="E35" s="10">
        <f>(SUMIF('صفحة الفرز'!G$9:G1000, D35, 'صفحة الفرز'!J$9:J1000) + SUMIF('صفحة الفرز'!G$9:G1000, D35, 'صفحة الفرز'!N$9:N1000)) * 3
</f>
        <v>831</v>
      </c>
      <c r="F35" s="155">
        <v>925.0</v>
      </c>
      <c r="G35" s="157"/>
      <c r="P35" s="131" t="s">
        <v>129</v>
      </c>
      <c r="Q35" s="10">
        <f>(SUMIF('صفحة الفرز'!G$9:G1000, P35, 'صفحة الفرز'!J$9:J1000) + SUMIF('صفحة الفرز'!G$9:G1000, P35, 'صفحة الفرز'!N$9:N1000)) * 3
</f>
        <v>918</v>
      </c>
    </row>
    <row r="36">
      <c r="A36" s="152">
        <v>35.0</v>
      </c>
      <c r="B36" s="153" t="s">
        <v>174</v>
      </c>
      <c r="C36" s="10">
        <f>(SUMIF('صفحة الفرز'!G$9:G1000, B36, 'صفحة الفرز'!J$9:J1000) + SUMIF('صفحة الفرز'!G$9:G1000, B36, 'صفحة الفرز'!N$9:N1000)) * 3
</f>
        <v>1413</v>
      </c>
      <c r="D36" s="154" t="s">
        <v>148</v>
      </c>
      <c r="E36" s="10">
        <f>(SUMIF('صفحة الفرز'!G$9:G1000, D36, 'صفحة الفرز'!J$9:J1000) + SUMIF('صفحة الفرز'!G$9:G1000, D36, 'صفحة الفرز'!N$9:N1000)) * 3
</f>
        <v>888</v>
      </c>
      <c r="F36" s="155">
        <v>1465.0</v>
      </c>
      <c r="G36" s="157"/>
      <c r="P36" s="131" t="s">
        <v>131</v>
      </c>
      <c r="Q36" s="10">
        <f>(SUMIF('صفحة الفرز'!G$9:G1000, P36, 'صفحة الفرز'!J$9:J1000) + SUMIF('صفحة الفرز'!G$9:G1000, P36, 'صفحة الفرز'!N$9:N1000)) * 3
</f>
        <v>783</v>
      </c>
    </row>
    <row r="37">
      <c r="A37" s="152">
        <v>36.0</v>
      </c>
      <c r="B37" s="153" t="s">
        <v>140</v>
      </c>
      <c r="C37" s="10">
        <f>(SUMIF('صفحة الفرز'!G$9:G1000, B37, 'صفحة الفرز'!J$9:J1000) + SUMIF('صفحة الفرز'!G$9:G1000, B37, 'صفحة الفرز'!N$9:N1000)) * 3
</f>
        <v>645</v>
      </c>
      <c r="D37" s="154" t="s">
        <v>154</v>
      </c>
      <c r="E37" s="10">
        <f>(SUMIF('صفحة الفرز'!G$9:G1000, D37, 'صفحة الفرز'!J$9:J1000) + SUMIF('صفحة الفرز'!G$9:G1000, D37, 'صفحة الفرز'!N$9:N1000)) * 3
</f>
        <v>1335</v>
      </c>
      <c r="F37" s="155">
        <v>775.0</v>
      </c>
      <c r="G37" s="157"/>
      <c r="P37" s="131" t="s">
        <v>135</v>
      </c>
      <c r="Q37" s="10">
        <f>(SUMIF('صفحة الفرز'!G$9:G1000, P37, 'صفحة الفرز'!J$9:J1000) + SUMIF('صفحة الفرز'!G$9:G1000, P37, 'صفحة الفرز'!N$9:N1000)) * 3
</f>
        <v>924</v>
      </c>
    </row>
    <row r="38">
      <c r="A38" s="152">
        <v>37.0</v>
      </c>
      <c r="B38" s="153" t="s">
        <v>181</v>
      </c>
      <c r="C38" s="10">
        <f>(SUMIF('صفحة الفرز'!G$9:G1000, B38, 'صفحة الفرز'!J$9:J1000) + SUMIF('صفحة الفرز'!G$9:G1000, B38, 'صفحة الفرز'!N$9:N1000)) * 3
</f>
        <v>663</v>
      </c>
      <c r="D38" s="154" t="s">
        <v>156</v>
      </c>
      <c r="E38" s="10">
        <f>(SUMIF('صفحة الفرز'!G$9:G1000, D38, 'صفحة الفرز'!J$9:J1000) + SUMIF('صفحة الفرز'!G$9:G1000, D38, 'صفحة الفرز'!N$9:N1000)) * 3
</f>
        <v>318</v>
      </c>
      <c r="F38" s="155">
        <v>975.0</v>
      </c>
      <c r="G38" s="157"/>
      <c r="P38" s="131" t="s">
        <v>137</v>
      </c>
      <c r="Q38" s="10">
        <f>(SUMIF('صفحة الفرز'!G$9:G1000, P38, 'صفحة الفرز'!J$9:J1000) + SUMIF('صفحة الفرز'!G$9:G1000, P38, 'صفحة الفرز'!N$9:N1000)) * 3
</f>
        <v>897</v>
      </c>
    </row>
    <row r="39">
      <c r="A39" s="152">
        <v>38.0</v>
      </c>
      <c r="B39" s="153" t="s">
        <v>145</v>
      </c>
      <c r="C39" s="10">
        <f>(SUMIF('صفحة الفرز'!G$9:G1000, B39, 'صفحة الفرز'!J$9:J1000) + SUMIF('صفحة الفرز'!G$9:G1000, B39, 'صفحة الفرز'!N$9:N1000)) * 3
</f>
        <v>831</v>
      </c>
      <c r="D39" s="154" t="s">
        <v>157</v>
      </c>
      <c r="E39" s="10">
        <f>(SUMIF('صفحة الفرز'!G$9:G1000, D39, 'صفحة الفرز'!J$9:J1000) + SUMIF('صفحة الفرز'!G$9:G1000, D39, 'صفحة الفرز'!N$9:N1000)) * 3
</f>
        <v>765</v>
      </c>
      <c r="F39" s="155">
        <v>875.0</v>
      </c>
      <c r="G39" s="157"/>
      <c r="P39" s="131" t="s">
        <v>140</v>
      </c>
      <c r="Q39" s="10">
        <f>(SUMIF('صفحة الفرز'!G$9:G1000, P39, 'صفحة الفرز'!J$9:J1000) + SUMIF('صفحة الفرز'!G$9:G1000, P39, 'صفحة الفرز'!N$9:N1000)) * 3
</f>
        <v>645</v>
      </c>
    </row>
    <row r="40">
      <c r="A40" s="152">
        <v>39.0</v>
      </c>
      <c r="B40" s="153" t="s">
        <v>98</v>
      </c>
      <c r="C40" s="10">
        <f>(SUMIF('صفحة الفرز'!G$9:G1000, B40, 'صفحة الفرز'!J$9:J1000) + SUMIF('صفحة الفرز'!G$9:G1000, B40, 'صفحة الفرز'!N$9:N1000)) * 3
</f>
        <v>981</v>
      </c>
      <c r="D40" s="154" t="s">
        <v>165</v>
      </c>
      <c r="E40" s="10">
        <f>(SUMIF('صفحة الفرز'!G$9:G1000, D40, 'صفحة الفرز'!J$9:J1000) + SUMIF('صفحة الفرز'!G$9:G1000, D40, 'صفحة الفرز'!N$9:N1000)) * 3
</f>
        <v>924</v>
      </c>
      <c r="F40" s="155">
        <v>1050.0</v>
      </c>
      <c r="G40" s="157"/>
      <c r="P40" s="131" t="s">
        <v>141</v>
      </c>
      <c r="Q40" s="10">
        <f>(SUMIF('صفحة الفرز'!G$9:G1000, P40, 'صفحة الفرز'!J$9:J1000) + SUMIF('صفحة الفرز'!G$9:G1000, P40, 'صفحة الفرز'!N$9:N1000)) * 3
</f>
        <v>924</v>
      </c>
    </row>
    <row r="41">
      <c r="A41" s="152">
        <v>40.0</v>
      </c>
      <c r="B41" s="153" t="s">
        <v>144</v>
      </c>
      <c r="C41" s="10">
        <f>(SUMIF('صفحة الفرز'!G$9:G1000, B41, 'صفحة الفرز'!J$9:J1000) + SUMIF('صفحة الفرز'!G$9:G1000, B41, 'صفحة الفرز'!N$9:N1000)) * 3
</f>
        <v>744</v>
      </c>
      <c r="D41" s="154" t="s">
        <v>174</v>
      </c>
      <c r="E41" s="10">
        <f>(SUMIF('صفحة الفرز'!G$9:G1000, D41, 'صفحة الفرز'!J$9:J1000) + SUMIF('صفحة الفرز'!G$9:G1000, D41, 'صفحة الفرز'!N$9:N1000)) * 3
</f>
        <v>1413</v>
      </c>
      <c r="F41" s="155">
        <v>925.0</v>
      </c>
      <c r="G41" s="157"/>
      <c r="P41" s="131" t="s">
        <v>142</v>
      </c>
      <c r="Q41" s="10">
        <f>(SUMIF('صفحة الفرز'!G$9:G1000, P41, 'صفحة الفرز'!J$9:J1000) + SUMIF('صفحة الفرز'!G$9:G1000, P41, 'صفحة الفرز'!N$9:N1000)) * 3
</f>
        <v>867</v>
      </c>
    </row>
    <row r="42">
      <c r="A42" s="152">
        <v>41.0</v>
      </c>
      <c r="B42" s="153" t="s">
        <v>156</v>
      </c>
      <c r="C42" s="10">
        <f>(SUMIF('صفحة الفرز'!G$9:G1000, B42, 'صفحة الفرز'!J$9:J1000) + SUMIF('صفحة الفرز'!G$9:G1000, B42, 'صفحة الفرز'!N$9:N1000)) * 3
</f>
        <v>318</v>
      </c>
      <c r="D42" s="154" t="s">
        <v>177</v>
      </c>
      <c r="E42" s="10">
        <f>(SUMIF('صفحة الفرز'!G$9:G1000, D42, 'صفحة الفرز'!J$9:J1000) + SUMIF('صفحة الفرز'!G$9:G1000, D42, 'صفحة الفرز'!N$9:N1000)) * 3
</f>
        <v>825</v>
      </c>
      <c r="F42" s="155">
        <v>325.0</v>
      </c>
      <c r="G42" s="157"/>
      <c r="P42" s="131" t="s">
        <v>144</v>
      </c>
      <c r="Q42" s="10">
        <f>(SUMIF('صفحة الفرز'!G$9:G1000, P42, 'صفحة الفرز'!J$9:J1000) + SUMIF('صفحة الفرز'!G$9:G1000, P42, 'صفحة الفرز'!N$9:N1000)) * 3
</f>
        <v>744</v>
      </c>
    </row>
    <row r="43">
      <c r="A43" s="152">
        <v>42.0</v>
      </c>
      <c r="B43" s="153" t="s">
        <v>157</v>
      </c>
      <c r="C43" s="10">
        <f>(SUMIF('صفحة الفرز'!G$9:G1000, B43, 'صفحة الفرز'!J$9:J1000) + SUMIF('صفحة الفرز'!G$9:G1000, B43, 'صفحة الفرز'!N$9:N1000)) * 3
</f>
        <v>765</v>
      </c>
      <c r="D43" s="154" t="s">
        <v>181</v>
      </c>
      <c r="E43" s="10">
        <f>(SUMIF('صفحة الفرز'!G$9:G1000, D43, 'صفحة الفرز'!J$9:J1000) + SUMIF('صفحة الفرز'!G$9:G1000, D43, 'صفحة الفرز'!N$9:N1000)) * 3
</f>
        <v>663</v>
      </c>
      <c r="F43" s="155">
        <v>925.0</v>
      </c>
      <c r="G43" s="157"/>
      <c r="P43" s="131" t="s">
        <v>15</v>
      </c>
      <c r="Q43" s="10">
        <f>(SUMIF('صفحة الفرز'!G$9:G1000, P43, 'صفحة الفرز'!J$9:J1000) + SUMIF('صفحة الفرز'!G$9:G1000, P43, 'صفحة الفرز'!N$9:N1000)) * 3
</f>
        <v>2667</v>
      </c>
    </row>
    <row r="44">
      <c r="A44" s="152">
        <v>43.0</v>
      </c>
      <c r="B44" s="153" t="s">
        <v>200</v>
      </c>
      <c r="C44" s="10">
        <f>(SUMIF('صفحة الفرز'!G$9:G1000, B44, 'صفحة الفرز'!J$9:J1000) + SUMIF('صفحة الفرز'!G$9:G1000, B44, 'صفحة الفرز'!N$9:N1000)) * 3
</f>
        <v>786</v>
      </c>
      <c r="D44" s="154" t="s">
        <v>191</v>
      </c>
      <c r="E44" s="10">
        <f>(SUMIF('صفحة الفرز'!G$9:G1000, D44, 'صفحة الفرز'!J$9:J1000) + SUMIF('صفحة الفرز'!G$9:G1000, D44, 'صفحة الفرز'!N$9:N1000)) * 3
</f>
        <v>675</v>
      </c>
      <c r="F44" s="155">
        <v>875.0</v>
      </c>
      <c r="G44" s="157"/>
      <c r="P44" s="131" t="s">
        <v>145</v>
      </c>
      <c r="Q44" s="10">
        <f>(SUMIF('صفحة الفرز'!G$9:G1000, P44, 'صفحة الفرز'!J$9:J1000) + SUMIF('صفحة الفرز'!G$9:G1000, P44, 'صفحة الفرز'!N$9:N1000)) * 3
</f>
        <v>831</v>
      </c>
    </row>
    <row r="45">
      <c r="A45" s="152">
        <v>44.0</v>
      </c>
      <c r="B45" s="153" t="s">
        <v>102</v>
      </c>
      <c r="C45" s="10">
        <f>(SUMIF('صفحة الفرز'!G$9:G1000, B45, 'صفحة الفرز'!J$9:J1000) + SUMIF('صفحة الفرز'!G$9:G1000, B45, 'صفحة الفرز'!N$9:N1000)) * 3
</f>
        <v>1149</v>
      </c>
      <c r="D45" s="154" t="s">
        <v>196</v>
      </c>
      <c r="E45" s="10">
        <f>(SUMIF('صفحة الفرز'!G$9:G1000, D45, 'صفحة الفرز'!J$9:J1000) + SUMIF('صفحة الفرز'!G$9:G1000, D45, 'صفحة الفرز'!N$9:N1000)) * 3
</f>
        <v>822</v>
      </c>
      <c r="F45" s="155">
        <v>1270.0</v>
      </c>
      <c r="G45" s="157"/>
      <c r="P45" s="131" t="s">
        <v>148</v>
      </c>
      <c r="Q45" s="10">
        <f>(SUMIF('صفحة الفرز'!G$9:G1000, P45, 'صفحة الفرز'!J$9:J1000) + SUMIF('صفحة الفرز'!G$9:G1000, P45, 'صفحة الفرز'!N$9:N1000)) * 3
</f>
        <v>888</v>
      </c>
    </row>
    <row r="46">
      <c r="A46" s="152">
        <v>45.0</v>
      </c>
      <c r="B46" s="153" t="s">
        <v>191</v>
      </c>
      <c r="C46" s="10">
        <f>(SUMIF('صفحة الفرز'!G$9:G1000, B46, 'صفحة الفرز'!J$9:J1000) + SUMIF('صفحة الفرز'!G$9:G1000, B46, 'صفحة الفرز'!N$9:N1000)) * 3
</f>
        <v>675</v>
      </c>
      <c r="D46" s="154" t="s">
        <v>200</v>
      </c>
      <c r="E46" s="10">
        <f>(SUMIF('صفحة الفرز'!G$9:G1000, D46, 'صفحة الفرز'!J$9:J1000) + SUMIF('صفحة الفرز'!G$9:G1000, D46, 'صفحة الفرز'!N$9:N1000)) * 3
</f>
        <v>786</v>
      </c>
      <c r="F46" s="155">
        <v>775.0</v>
      </c>
      <c r="G46" s="157"/>
      <c r="P46" s="131" t="s">
        <v>154</v>
      </c>
      <c r="Q46" s="10">
        <f>(SUMIF('صفحة الفرز'!G$9:G1000, P46, 'صفحة الفرز'!J$9:J1000) + SUMIF('صفحة الفرز'!G$9:G1000, P46, 'صفحة الفرز'!N$9:N1000)) * 3
</f>
        <v>1335</v>
      </c>
    </row>
    <row r="47">
      <c r="A47" s="152">
        <v>46.0</v>
      </c>
      <c r="B47" s="153" t="s">
        <v>142</v>
      </c>
      <c r="C47" s="10">
        <f>(SUMIF('صفحة الفرز'!G$9:G1000, B47, 'صفحة الفرز'!J$9:J1000) + SUMIF('صفحة الفرز'!G$9:G1000, B47, 'صفحة الفرز'!N$9:N1000)) * 3
</f>
        <v>867</v>
      </c>
      <c r="D47" s="154" t="s">
        <v>204</v>
      </c>
      <c r="E47" s="10">
        <f>(SUMIF('صفحة الفرز'!G$9:G1000, D47, 'صفحة الفرز'!J$9:J1000) + SUMIF('صفحة الفرز'!G$9:G1000, D47, 'صفحة الفرز'!N$9:N1000)) * 3
</f>
        <v>909</v>
      </c>
      <c r="F47" s="155">
        <v>925.0</v>
      </c>
      <c r="G47" s="157"/>
      <c r="P47" s="131" t="s">
        <v>156</v>
      </c>
      <c r="Q47" s="10">
        <f>(SUMIF('صفحة الفرز'!G$9:G1000, P47, 'صفحة الفرز'!J$9:J1000) + SUMIF('صفحة الفرز'!G$9:G1000, P47, 'صفحة الفرز'!N$9:N1000)) * 3
</f>
        <v>318</v>
      </c>
    </row>
    <row r="48">
      <c r="A48" s="152">
        <v>47.0</v>
      </c>
      <c r="B48" s="153" t="s">
        <v>289</v>
      </c>
      <c r="C48" s="10">
        <f>(SUMIF('صفحة الفرز'!G$9:G1000, B48, 'صفحة الفرز'!J$9:J1000) + SUMIF('صفحة الفرز'!G$9:G1000, B48, 'صفحة الفرز'!N$9:N1000)) * 3
</f>
        <v>516</v>
      </c>
      <c r="D48" s="154" t="s">
        <v>207</v>
      </c>
      <c r="E48" s="10">
        <f>(SUMIF('صفحة الفرز'!G$9:G1000, D48, 'صفحة الفرز'!J$9:J1000) + SUMIF('صفحة الفرز'!G$9:G1000, D48, 'صفحة الفرز'!N$9:N1000)) * 3
</f>
        <v>918</v>
      </c>
      <c r="F48" s="155">
        <v>1075.0</v>
      </c>
      <c r="G48" s="157"/>
      <c r="P48" s="131" t="s">
        <v>157</v>
      </c>
      <c r="Q48" s="10">
        <f>(SUMIF('صفحة الفرز'!G$9:G1000, P48, 'صفحة الفرز'!J$9:J1000) + SUMIF('صفحة الفرز'!G$9:G1000, P48, 'صفحة الفرز'!N$9:N1000)) * 3
</f>
        <v>765</v>
      </c>
    </row>
    <row r="49">
      <c r="A49" s="152">
        <v>48.0</v>
      </c>
      <c r="B49" s="153" t="s">
        <v>165</v>
      </c>
      <c r="C49" s="10">
        <f>(SUMIF('صفحة الفرز'!G$9:G1000, B49, 'صفحة الفرز'!J$9:J1000) + SUMIF('صفحة الفرز'!G$9:G1000, B49, 'صفحة الفرز'!N$9:N1000)) * 3
</f>
        <v>924</v>
      </c>
      <c r="D49" s="154" t="s">
        <v>210</v>
      </c>
      <c r="E49" s="10">
        <f>(SUMIF('صفحة الفرز'!G$9:G1000, D49, 'صفحة الفرز'!J$9:J1000) + SUMIF('صفحة الفرز'!G$9:G1000, D49, 'صفحة الفرز'!N$9:N1000)) * 3
</f>
        <v>927</v>
      </c>
      <c r="F49" s="155">
        <v>925.0</v>
      </c>
      <c r="G49" s="157"/>
      <c r="P49" s="131" t="s">
        <v>165</v>
      </c>
      <c r="Q49" s="10">
        <f>(SUMIF('صفحة الفرز'!G$9:G1000, P49, 'صفحة الفرز'!J$9:J1000) + SUMIF('صفحة الفرز'!G$9:G1000, P49, 'صفحة الفرز'!N$9:N1000)) * 3
</f>
        <v>924</v>
      </c>
    </row>
    <row r="50">
      <c r="A50" s="152">
        <v>49.0</v>
      </c>
      <c r="B50" s="153" t="s">
        <v>290</v>
      </c>
      <c r="C50" s="10">
        <f>(SUMIF('صفحة الفرز'!G$9:G1000, B50, 'صفحة الفرز'!J$9:J1000) + SUMIF('صفحة الفرز'!G$9:G1000, B50, 'صفحة الفرز'!N$9:N1000)) * 3
</f>
        <v>858</v>
      </c>
      <c r="D50" s="154" t="s">
        <v>212</v>
      </c>
      <c r="E50" s="10">
        <f>(SUMIF('صفحة الفرز'!G$9:G1000, D50, 'صفحة الفرز'!J$9:J1000) + SUMIF('صفحة الفرز'!G$9:G1000, D50, 'صفحة الفرز'!N$9:N1000)) * 3
</f>
        <v>987</v>
      </c>
      <c r="F50" s="155">
        <v>925.0</v>
      </c>
      <c r="G50" s="157"/>
      <c r="P50" s="131" t="s">
        <v>174</v>
      </c>
      <c r="Q50" s="10">
        <f>(SUMIF('صفحة الفرز'!G$9:G1000, P50, 'صفحة الفرز'!J$9:J1000) + SUMIF('صفحة الفرز'!G$9:G1000, P50, 'صفحة الفرز'!N$9:N1000)) * 3
</f>
        <v>1413</v>
      </c>
    </row>
    <row r="51">
      <c r="A51" s="152">
        <v>50.0</v>
      </c>
      <c r="B51" s="153" t="s">
        <v>141</v>
      </c>
      <c r="C51" s="10">
        <f>(SUMIF('صفحة الفرز'!G$9:G1000, B51, 'صفحة الفرز'!J$9:J1000) + SUMIF('صفحة الفرز'!G$9:G1000, B51, 'صفحة الفرز'!N$9:N1000)) * 3
</f>
        <v>924</v>
      </c>
      <c r="D51" s="154" t="s">
        <v>215</v>
      </c>
      <c r="E51" s="10">
        <f>(SUMIF('صفحة الفرز'!G$9:G1000, D51, 'صفحة الفرز'!J$9:J1000) + SUMIF('صفحة الفرز'!G$9:G1000, D51, 'صفحة الفرز'!N$9:N1000)) * 3
</f>
        <v>903</v>
      </c>
      <c r="F51" s="155">
        <v>925.0</v>
      </c>
      <c r="G51" s="157"/>
      <c r="P51" s="131" t="s">
        <v>177</v>
      </c>
      <c r="Q51" s="10">
        <f>(SUMIF('صفحة الفرز'!G$9:G1000, P51, 'صفحة الفرز'!J$9:J1000) + SUMIF('صفحة الفرز'!G$9:G1000, P51, 'صفحة الفرز'!N$9:N1000)) * 3
</f>
        <v>825</v>
      </c>
    </row>
    <row r="52">
      <c r="A52" s="152">
        <v>51.0</v>
      </c>
      <c r="B52" s="153" t="s">
        <v>135</v>
      </c>
      <c r="C52" s="10">
        <f>(SUMIF('صفحة الفرز'!G$9:G1000, B52, 'صفحة الفرز'!J$9:J1000) + SUMIF('صفحة الفرز'!G$9:G1000, B52, 'صفحة الفرز'!N$9:N1000)) * 3
</f>
        <v>924</v>
      </c>
      <c r="D52" s="154" t="s">
        <v>217</v>
      </c>
      <c r="E52" s="10">
        <f>(SUMIF('صفحة الفرز'!G$9:G1000, D52, 'صفحة الفرز'!J$9:J1000) + SUMIF('صفحة الفرز'!G$9:G1000, D52, 'صفحة الفرز'!N$9:N1000)) * 3
</f>
        <v>897</v>
      </c>
      <c r="F52" s="155">
        <v>925.0</v>
      </c>
      <c r="G52" s="157"/>
      <c r="H52" s="157"/>
      <c r="P52" s="131" t="s">
        <v>181</v>
      </c>
      <c r="Q52" s="10">
        <f>(SUMIF('صفحة الفرز'!G$9:G1000, P52, 'صفحة الفرز'!J$9:J1000) + SUMIF('صفحة الفرز'!G$9:G1000, P52, 'صفحة الفرز'!N$9:N1000)) * 3
</f>
        <v>663</v>
      </c>
    </row>
    <row r="53">
      <c r="A53" s="152">
        <v>52.0</v>
      </c>
      <c r="B53" s="153" t="s">
        <v>128</v>
      </c>
      <c r="C53" s="10">
        <f>(SUMIF('صفحة الفرز'!G$9:G1000, B53, 'صفحة الفرز'!J$9:J1000) + SUMIF('صفحة الفرز'!G$9:G1000, B53, 'صفحة الفرز'!N$9:N1000)) * 3
</f>
        <v>909</v>
      </c>
      <c r="D53" s="154" t="s">
        <v>222</v>
      </c>
      <c r="E53" s="10">
        <f>(SUMIF('صفحة الفرز'!G$9:G1000, D53, 'صفحة الفرز'!J$9:J1000) + SUMIF('صفحة الفرز'!G$9:G1000, D53, 'صفحة الفرز'!N$9:N1000)) * 3
</f>
        <v>1371</v>
      </c>
      <c r="F53" s="155">
        <v>925.0</v>
      </c>
      <c r="G53" s="157"/>
      <c r="H53" s="157"/>
      <c r="P53" s="131" t="s">
        <v>191</v>
      </c>
      <c r="Q53" s="10">
        <f>(SUMIF('صفحة الفرز'!G$9:G1000, P53, 'صفحة الفرز'!J$9:J1000) + SUMIF('صفحة الفرز'!G$9:G1000, P53, 'صفحة الفرز'!N$9:N1000)) * 3
</f>
        <v>675</v>
      </c>
    </row>
    <row r="54">
      <c r="A54" s="152">
        <v>53.0</v>
      </c>
      <c r="B54" s="153" t="s">
        <v>127</v>
      </c>
      <c r="C54" s="10">
        <f>(SUMIF('صفحة الفرز'!G$9:G1000, B54, 'صفحة الفرز'!J$9:J1000) + SUMIF('صفحة الفرز'!G$9:G1000, B54, 'صفحة الفرز'!N$9:N1000)) * 3
</f>
        <v>933</v>
      </c>
      <c r="D54" s="157"/>
      <c r="E54" s="157"/>
      <c r="F54" s="155">
        <v>925.0</v>
      </c>
      <c r="G54" s="157"/>
      <c r="H54" s="157"/>
      <c r="P54" s="131" t="s">
        <v>196</v>
      </c>
      <c r="Q54" s="10">
        <f>(SUMIF('صفحة الفرز'!G$9:G1000, P54, 'صفحة الفرز'!J$9:J1000) + SUMIF('صفحة الفرز'!G$9:G1000, P54, 'صفحة الفرز'!N$9:N1000)) * 3
</f>
        <v>822</v>
      </c>
    </row>
    <row r="55">
      <c r="A55" s="152">
        <v>54.0</v>
      </c>
      <c r="B55" s="153" t="s">
        <v>114</v>
      </c>
      <c r="C55" s="10">
        <f>(SUMIF('صفحة الفرز'!G$9:G1000, B55, 'صفحة الفرز'!J$9:J1000) + SUMIF('صفحة الفرز'!G$9:G1000, B55, 'صفحة الفرز'!N$9:N1000)) * 3
</f>
        <v>924</v>
      </c>
      <c r="D55" s="157"/>
      <c r="E55" s="157"/>
      <c r="F55" s="155">
        <v>925.0</v>
      </c>
      <c r="G55" s="157"/>
      <c r="H55" s="157"/>
      <c r="P55" s="131" t="s">
        <v>200</v>
      </c>
      <c r="Q55" s="10">
        <f>(SUMIF('صفحة الفرز'!G$9:G1000, P55, 'صفحة الفرز'!J$9:J1000) + SUMIF('صفحة الفرز'!G$9:G1000, P55, 'صفحة الفرز'!N$9:N1000)) * 3
</f>
        <v>786</v>
      </c>
    </row>
    <row r="56">
      <c r="A56" s="152">
        <v>55.0</v>
      </c>
      <c r="B56" s="153" t="s">
        <v>129</v>
      </c>
      <c r="C56" s="10">
        <f>(SUMIF('صفحة الفرز'!G$9:G1000, B56, 'صفحة الفرز'!J$9:J1000) + SUMIF('صفحة الفرز'!G$9:G1000, B56, 'صفحة الفرز'!N$9:N1000)) * 3
</f>
        <v>918</v>
      </c>
      <c r="D56" s="157"/>
      <c r="E56" s="157"/>
      <c r="F56" s="155">
        <v>925.0</v>
      </c>
      <c r="G56" s="157"/>
      <c r="H56" s="157"/>
      <c r="P56" s="131" t="s">
        <v>204</v>
      </c>
      <c r="Q56" s="10">
        <f>(SUMIF('صفحة الفرز'!G$9:G1000, P56, 'صفحة الفرز'!J$9:J1000) + SUMIF('صفحة الفرز'!G$9:G1000, P56, 'صفحة الفرز'!N$9:N1000)) * 3
</f>
        <v>909</v>
      </c>
    </row>
    <row r="57">
      <c r="A57" s="152">
        <v>56.0</v>
      </c>
      <c r="B57" s="153" t="s">
        <v>245</v>
      </c>
      <c r="C57" s="10">
        <f>(SUMIF('صفحة الفرز'!G$9:G1000, B57, 'صفحة الفرز'!J$9:J1000) + SUMIF('صفحة الفرز'!G$9:G1000, B57, 'صفحة الفرز'!N$9:N1000)) * 3
</f>
        <v>810</v>
      </c>
      <c r="D57" s="157"/>
      <c r="E57" s="157"/>
      <c r="F57" s="155">
        <v>925.0</v>
      </c>
      <c r="G57" s="157"/>
      <c r="H57" s="157"/>
      <c r="P57" s="131" t="s">
        <v>207</v>
      </c>
      <c r="Q57" s="10">
        <f>(SUMIF('صفحة الفرز'!G$9:G1000, P57, 'صفحة الفرز'!J$9:J1000) + SUMIF('صفحة الفرز'!G$9:G1000, P57, 'صفحة الفرز'!N$9:N1000)) * 3
</f>
        <v>918</v>
      </c>
    </row>
    <row r="58">
      <c r="A58" s="152">
        <v>57.0</v>
      </c>
      <c r="B58" s="153" t="s">
        <v>204</v>
      </c>
      <c r="C58" s="10">
        <f>(SUMIF('صفحة الفرز'!G$9:G1000, B58, 'صفحة الفرز'!J$9:J1000) + SUMIF('صفحة الفرز'!G$9:G1000, B58, 'صفحة الفرز'!N$9:N1000)) * 3
</f>
        <v>909</v>
      </c>
      <c r="D58" s="157"/>
      <c r="E58" s="157"/>
      <c r="F58" s="155">
        <v>925.0</v>
      </c>
      <c r="G58" s="157"/>
      <c r="H58" s="157"/>
      <c r="P58" s="131" t="s">
        <v>210</v>
      </c>
      <c r="Q58" s="10">
        <f>(SUMIF('صفحة الفرز'!G$9:G1000, P58, 'صفحة الفرز'!J$9:J1000) + SUMIF('صفحة الفرز'!G$9:G1000, P58, 'صفحة الفرز'!N$9:N1000)) * 3
</f>
        <v>927</v>
      </c>
    </row>
    <row r="59">
      <c r="A59" s="152">
        <v>58.0</v>
      </c>
      <c r="B59" s="153" t="s">
        <v>210</v>
      </c>
      <c r="C59" s="10">
        <f>(SUMIF('صفحة الفرز'!G$9:G1000, B59, 'صفحة الفرز'!J$9:J1000) + SUMIF('صفحة الفرز'!G$9:G1000, B59, 'صفحة الفرز'!N$9:N1000)) * 3
</f>
        <v>927</v>
      </c>
      <c r="D59" s="157"/>
      <c r="E59" s="157"/>
      <c r="F59" s="155">
        <v>925.0</v>
      </c>
      <c r="G59" s="157"/>
      <c r="H59" s="157"/>
      <c r="P59" s="131" t="s">
        <v>212</v>
      </c>
      <c r="Q59" s="10">
        <f>(SUMIF('صفحة الفرز'!G$9:G1000, P59, 'صفحة الفرز'!J$9:J1000) + SUMIF('صفحة الفرز'!G$9:G1000, P59, 'صفحة الفرز'!N$9:N1000)) * 3
</f>
        <v>987</v>
      </c>
    </row>
    <row r="60">
      <c r="A60" s="152">
        <v>59.0</v>
      </c>
      <c r="B60" s="153" t="s">
        <v>207</v>
      </c>
      <c r="C60" s="10">
        <f>(SUMIF('صفحة الفرز'!G$9:G1000, B60, 'صفحة الفرز'!J$9:J1000) + SUMIF('صفحة الفرز'!G$9:G1000, B60, 'صفحة الفرز'!N$9:N1000)) * 3
</f>
        <v>918</v>
      </c>
      <c r="D60" s="157"/>
      <c r="E60" s="157"/>
      <c r="F60" s="155">
        <v>925.0</v>
      </c>
      <c r="G60" s="157"/>
      <c r="H60" s="157"/>
      <c r="P60" s="131" t="s">
        <v>215</v>
      </c>
      <c r="Q60" s="10">
        <f>(SUMIF('صفحة الفرز'!G$9:G1000, P60, 'صفحة الفرز'!J$9:J1000) + SUMIF('صفحة الفرز'!G$9:G1000, P60, 'صفحة الفرز'!N$9:N1000)) * 3
</f>
        <v>903</v>
      </c>
    </row>
    <row r="61">
      <c r="A61" s="152">
        <v>60.0</v>
      </c>
      <c r="B61" s="153" t="s">
        <v>272</v>
      </c>
      <c r="C61" s="10">
        <f>(SUMIF('صفحة الفرز'!G$9:G1000, B61, 'صفحة الفرز'!J$9:J1000) + SUMIF('صفحة الفرز'!G$9:G1000, B61, 'صفحة الفرز'!N$9:N1000)) * 3
</f>
        <v>921</v>
      </c>
      <c r="D61" s="157"/>
      <c r="E61" s="157"/>
      <c r="F61" s="155">
        <v>925.0</v>
      </c>
      <c r="G61" s="157"/>
      <c r="H61" s="157"/>
      <c r="P61" s="131" t="s">
        <v>217</v>
      </c>
      <c r="Q61" s="10">
        <f>(SUMIF('صفحة الفرز'!G$9:G1000, P61, 'صفحة الفرز'!J$9:J1000) + SUMIF('صفحة الفرز'!G$9:G1000, P61, 'صفحة الفرز'!N$9:N1000)) * 3
</f>
        <v>897</v>
      </c>
    </row>
    <row r="62">
      <c r="A62" s="152">
        <v>61.0</v>
      </c>
      <c r="B62" s="153" t="s">
        <v>256</v>
      </c>
      <c r="C62" s="10">
        <f>(SUMIF('صفحة الفرز'!G$9:G1000, B62, 'صفحة الفرز'!J$9:J1000) + SUMIF('صفحة الفرز'!G$9:G1000, B62, 'صفحة الفرز'!N$9:N1000)) * 3
</f>
        <v>918</v>
      </c>
      <c r="D62" s="157"/>
      <c r="E62" s="157"/>
      <c r="F62" s="155">
        <v>925.0</v>
      </c>
      <c r="G62" s="157"/>
      <c r="H62" s="157"/>
      <c r="P62" s="131" t="s">
        <v>222</v>
      </c>
      <c r="Q62" s="10">
        <f>(SUMIF('صفحة الفرز'!G$9:G1000, P62, 'صفحة الفرز'!J$9:J1000) + SUMIF('صفحة الفرز'!G$9:G1000, P62, 'صفحة الفرز'!N$9:N1000)) * 3
</f>
        <v>1371</v>
      </c>
    </row>
    <row r="63">
      <c r="A63" s="152">
        <v>62.0</v>
      </c>
      <c r="B63" s="153" t="s">
        <v>278</v>
      </c>
      <c r="C63" s="10">
        <f>(SUMIF('صفحة الفرز'!G$9:G1000, B63, 'صفحة الفرز'!J$9:J1000) + SUMIF('صفحة الفرز'!G$9:G1000, B63, 'صفحة الفرز'!N$9:N1000)) * 3
</f>
        <v>933</v>
      </c>
      <c r="D63" s="157"/>
      <c r="E63" s="157"/>
      <c r="F63" s="155">
        <v>925.0</v>
      </c>
      <c r="G63" s="157"/>
      <c r="H63" s="157"/>
      <c r="P63" s="131" t="s">
        <v>10</v>
      </c>
      <c r="Q63" s="10">
        <f>(SUMIF('صفحة الفرز'!G$9:G1000, P63, 'صفحة الفرز'!J$9:J1000) + SUMIF('صفحة الفرز'!G$9:G1000, P63, 'صفحة الفرز'!N$9:N1000)) * 3
</f>
        <v>363</v>
      </c>
    </row>
    <row r="64">
      <c r="A64" s="152">
        <v>63.0</v>
      </c>
      <c r="B64" s="153" t="s">
        <v>215</v>
      </c>
      <c r="C64" s="10">
        <f>(SUMIF('صفحة الفرز'!G$9:G1000, B64, 'صفحة الفرز'!J$9:J1000) + SUMIF('صفحة الفرز'!G$9:G1000, B64, 'صفحة الفرز'!N$9:N1000)) * 3
</f>
        <v>903</v>
      </c>
      <c r="D64" s="157"/>
      <c r="E64" s="157"/>
      <c r="F64" s="155">
        <v>925.0</v>
      </c>
      <c r="G64" s="157"/>
      <c r="H64" s="157"/>
      <c r="P64" s="131" t="s">
        <v>233</v>
      </c>
      <c r="Q64" s="10">
        <f>(SUMIF('صفحة الفرز'!G$9:G1000, P64, 'صفحة الفرز'!J$9:J1000) + SUMIF('صفحة الفرز'!G$9:G1000, P64, 'صفحة الفرز'!N$9:N1000)) * 3
</f>
        <v>885</v>
      </c>
    </row>
    <row r="65">
      <c r="A65" s="152">
        <v>64.0</v>
      </c>
      <c r="B65" s="153" t="s">
        <v>265</v>
      </c>
      <c r="C65" s="10">
        <f>(SUMIF('صفحة الفرز'!G$9:G1000, B65, 'صفحة الفرز'!J$9:J1000) + SUMIF('صفحة الفرز'!G$9:G1000, B65, 'صفحة الفرز'!N$9:N1000)) * 3
</f>
        <v>927</v>
      </c>
      <c r="D65" s="157"/>
      <c r="E65" s="157"/>
      <c r="F65" s="155">
        <v>925.0</v>
      </c>
      <c r="G65" s="157"/>
      <c r="H65" s="157"/>
      <c r="P65" s="131" t="s">
        <v>245</v>
      </c>
      <c r="Q65" s="10">
        <f>(SUMIF('صفحة الفرز'!G$9:G1000, P65, 'صفحة الفرز'!J$9:J1000) + SUMIF('صفحة الفرز'!G$9:G1000, P65, 'صفحة الفرز'!N$9:N1000)) * 3
</f>
        <v>810</v>
      </c>
    </row>
    <row r="66">
      <c r="A66" s="152"/>
      <c r="B66" s="153" t="s">
        <v>294</v>
      </c>
      <c r="C66" s="10">
        <f>(SUMIF('صفحة الفرز'!G$9:G1000, B66, 'صفحة الفرز'!J$9:J1000) + SUMIF('صفحة الفرز'!G$9:G1000, B66, 'صفحة الفرز'!N$9:N1000)) * 3
</f>
        <v>1029</v>
      </c>
      <c r="D66" s="157"/>
      <c r="E66" s="157"/>
      <c r="F66" s="155"/>
      <c r="G66" s="157"/>
      <c r="H66" s="157"/>
      <c r="I66" s="157"/>
      <c r="J66" s="157"/>
      <c r="K66" s="157"/>
      <c r="L66" s="157"/>
      <c r="P66" s="131" t="s">
        <v>256</v>
      </c>
      <c r="Q66" s="10">
        <f>(SUMIF('صفحة الفرز'!G$9:G1000, P66, 'صفحة الفرز'!J$9:J1000) + SUMIF('صفحة الفرز'!G$9:G1000, P66, 'صفحة الفرز'!N$9:N1000)) * 3
</f>
        <v>918</v>
      </c>
    </row>
    <row r="67">
      <c r="A67" s="157"/>
      <c r="B67" s="157"/>
      <c r="C67" s="157">
        <f>SUM(C2:C66)</f>
        <v>57327</v>
      </c>
      <c r="D67" s="157"/>
      <c r="E67" s="157"/>
      <c r="F67" s="157"/>
      <c r="G67" s="157"/>
      <c r="H67" s="157"/>
      <c r="I67" s="157"/>
      <c r="J67" s="157"/>
      <c r="K67" s="157"/>
      <c r="L67" s="157"/>
      <c r="P67" s="131" t="s">
        <v>265</v>
      </c>
      <c r="Q67" s="10">
        <f>(SUMIF('صفحة الفرز'!G$9:G1000, P67, 'صفحة الفرز'!J$9:J1000) + SUMIF('صفحة الفرز'!G$9:G1000, P67, 'صفحة الفرز'!N$9:N1000)) * 3
</f>
        <v>927</v>
      </c>
    </row>
    <row r="68">
      <c r="A68" s="157"/>
      <c r="B68" s="157"/>
      <c r="C68" s="157">
        <f>C67*2.014</f>
        <v>115456.578</v>
      </c>
      <c r="D68" s="157"/>
      <c r="E68" s="157"/>
      <c r="F68" s="157"/>
      <c r="G68" s="157"/>
      <c r="H68" s="157"/>
      <c r="I68" s="157"/>
      <c r="J68" s="157"/>
      <c r="K68" s="157"/>
      <c r="L68" s="157"/>
      <c r="P68" s="131" t="s">
        <v>272</v>
      </c>
      <c r="Q68" s="10">
        <f>(SUMIF('صفحة الفرز'!G$9:G1000, P68, 'صفحة الفرز'!J$9:J1000) + SUMIF('صفحة الفرز'!G$9:G1000, P68, 'صفحة الفرز'!N$9:N1000)) * 3
</f>
        <v>921</v>
      </c>
    </row>
    <row r="69">
      <c r="A69" s="157"/>
      <c r="I69" s="157"/>
      <c r="J69" s="157"/>
      <c r="K69" s="157"/>
      <c r="L69" s="157"/>
      <c r="P69" s="131" t="s">
        <v>278</v>
      </c>
      <c r="Q69" s="10">
        <f>(SUMIF('صفحة الفرز'!G$9:G1000, P69, 'صفحة الفرز'!J$9:J1000) + SUMIF('صفحة الفرز'!G$9:G1000, P69, 'صفحة الفرز'!N$9:N1000)) * 3
</f>
        <v>933</v>
      </c>
    </row>
    <row r="70">
      <c r="A70" s="157"/>
      <c r="I70" s="157"/>
      <c r="J70" s="157"/>
      <c r="K70" s="157"/>
      <c r="L70" s="157"/>
      <c r="P70" s="131" t="s">
        <v>282</v>
      </c>
      <c r="Q70" s="10">
        <f>(SUMIF('صفحة الفرز'!G$9:G1000, P70, 'صفحة الفرز'!J$9:J1000) + SUMIF('صفحة الفرز'!G$9:G1000, P70, 'صفحة الفرز'!N$9:N1000)) * 3
</f>
        <v>579</v>
      </c>
    </row>
    <row r="71">
      <c r="A71" s="157"/>
      <c r="I71" s="157"/>
      <c r="J71" s="157"/>
      <c r="K71" s="157"/>
      <c r="L71" s="157"/>
      <c r="P71" s="131" t="s">
        <v>284</v>
      </c>
      <c r="Q71" s="10">
        <f>(SUMIF('صفحة الفرز'!G$9:G1000, P71, 'صفحة الفرز'!J$9:J1000) + SUMIF('صفحة الفرز'!G$9:G1000, P71, 'صفحة الفرز'!N$9:N1000)) * 3
</f>
        <v>726</v>
      </c>
    </row>
    <row r="72">
      <c r="A72" s="157"/>
      <c r="I72" s="157"/>
      <c r="J72" s="157"/>
      <c r="K72" s="157"/>
      <c r="L72" s="157"/>
      <c r="P72" s="131" t="s">
        <v>285</v>
      </c>
      <c r="Q72" s="10">
        <f>(SUMIF('صفحة الفرز'!G$9:G1000, P72, 'صفحة الفرز'!J$9:J1000) + SUMIF('صفحة الفرز'!G$9:G1000, P72, 'صفحة الفرز'!N$9:N1000)) * 3
</f>
        <v>762</v>
      </c>
    </row>
    <row r="73">
      <c r="A73" s="157"/>
      <c r="I73" s="157"/>
      <c r="J73" s="157"/>
      <c r="K73" s="157"/>
      <c r="L73" s="157"/>
      <c r="P73" s="131"/>
      <c r="Q73" s="10">
        <f>(SUMIF('صفحة الفرز'!G$9:G1000, P73, 'صفحة الفرز'!J$9:J1000) + SUMIF('صفحة الفرز'!G$9:G1000, P73, 'صفحة الفرز'!N$9:N1000)) * 3
</f>
        <v>0</v>
      </c>
    </row>
    <row r="74">
      <c r="A74" s="157"/>
      <c r="I74" s="157"/>
      <c r="J74" s="157"/>
      <c r="K74" s="157"/>
      <c r="L74" s="157"/>
      <c r="P74" s="131" t="s">
        <v>288</v>
      </c>
      <c r="Q74" s="10">
        <f>(SUMIF('صفحة الفرز'!G$9:G1000, P74, 'صفحة الفرز'!J$9:J1000) + SUMIF('صفحة الفرز'!G$9:G1000, P74, 'صفحة الفرز'!N$9:N1000)) * 3
</f>
        <v>768</v>
      </c>
    </row>
    <row r="75">
      <c r="A75" s="157"/>
      <c r="I75" s="157"/>
      <c r="J75" s="157"/>
      <c r="K75" s="157"/>
      <c r="L75" s="157"/>
      <c r="P75" s="131" t="s">
        <v>289</v>
      </c>
      <c r="Q75" s="10">
        <f>(SUMIF('صفحة الفرز'!G$9:G1000, P75, 'صفحة الفرز'!J$9:J1000) + SUMIF('صفحة الفرز'!G$9:G1000, P75, 'صفحة الفرز'!N$9:N1000)) * 3
</f>
        <v>516</v>
      </c>
    </row>
    <row r="76">
      <c r="A76" s="157"/>
      <c r="I76" s="157"/>
      <c r="J76" s="157"/>
      <c r="K76" s="157"/>
      <c r="L76" s="157"/>
      <c r="P76" s="131" t="s">
        <v>290</v>
      </c>
      <c r="Q76" s="10">
        <f>(SUMIF('صفحة الفرز'!G$9:G1000, P76, 'صفحة الفرز'!J$9:J1000) + SUMIF('صفحة الفرز'!G$9:G1000, P76, 'صفحة الفرز'!N$9:N1000)) * 3
</f>
        <v>858</v>
      </c>
    </row>
    <row r="77">
      <c r="A77" s="157"/>
      <c r="I77" s="157"/>
      <c r="J77" s="157"/>
      <c r="K77" s="157"/>
      <c r="L77" s="157"/>
      <c r="P77" s="131" t="s">
        <v>292</v>
      </c>
    </row>
    <row r="78">
      <c r="A78" s="157"/>
      <c r="I78" s="157"/>
      <c r="J78" s="157"/>
      <c r="K78" s="157"/>
      <c r="L78" s="157"/>
      <c r="P78" s="131" t="s">
        <v>293</v>
      </c>
    </row>
    <row r="79">
      <c r="A79" s="157"/>
      <c r="I79" s="157"/>
      <c r="J79" s="157"/>
      <c r="K79" s="157"/>
      <c r="L79" s="157"/>
      <c r="P79" s="131" t="s">
        <v>294</v>
      </c>
    </row>
    <row r="80">
      <c r="A80" s="157"/>
      <c r="I80" s="157"/>
      <c r="J80" s="157"/>
      <c r="K80" s="157"/>
      <c r="L80" s="157"/>
      <c r="P80" s="131" t="s">
        <v>295</v>
      </c>
    </row>
    <row r="81">
      <c r="A81" s="157"/>
      <c r="J81" s="157"/>
      <c r="K81" s="157"/>
      <c r="L81" s="157"/>
      <c r="P81" s="131" t="s">
        <v>296</v>
      </c>
    </row>
    <row r="82">
      <c r="A82" s="157"/>
      <c r="K82" s="157"/>
      <c r="L82" s="157"/>
      <c r="P82" s="131" t="s">
        <v>297</v>
      </c>
    </row>
    <row r="83">
      <c r="A83" s="157"/>
      <c r="K83" s="157"/>
      <c r="L83" s="157"/>
    </row>
    <row r="84">
      <c r="A84" s="157"/>
      <c r="K84" s="157"/>
      <c r="L84" s="157"/>
    </row>
    <row r="85">
      <c r="A85" s="157"/>
      <c r="K85" s="157"/>
      <c r="L85" s="157"/>
    </row>
    <row r="86">
      <c r="A86" s="157"/>
      <c r="K86" s="157"/>
      <c r="L86" s="157"/>
      <c r="N86" s="157"/>
      <c r="O86" s="157"/>
      <c r="P86" s="157"/>
      <c r="Q86" s="157"/>
    </row>
    <row r="87">
      <c r="A87" s="157"/>
      <c r="K87" s="157"/>
      <c r="L87" s="157"/>
      <c r="N87" s="157"/>
      <c r="O87" s="157"/>
      <c r="P87" s="157"/>
      <c r="Q87" s="157"/>
    </row>
    <row r="88">
      <c r="A88" s="157"/>
      <c r="K88" s="157"/>
      <c r="L88" s="157"/>
      <c r="N88" s="157"/>
      <c r="O88" s="157"/>
      <c r="P88" s="157"/>
      <c r="Q88" s="157"/>
    </row>
    <row r="89">
      <c r="A89" s="157"/>
      <c r="K89" s="157"/>
      <c r="L89" s="157"/>
      <c r="N89" s="157"/>
      <c r="O89" s="157"/>
      <c r="P89" s="157"/>
      <c r="Q89" s="157"/>
    </row>
    <row r="90">
      <c r="A90" s="157"/>
      <c r="K90" s="157"/>
      <c r="L90" s="157"/>
      <c r="N90" s="157"/>
      <c r="O90" s="157"/>
      <c r="P90" s="157"/>
      <c r="Q90" s="157"/>
    </row>
    <row r="91">
      <c r="A91" s="157"/>
      <c r="K91" s="157"/>
      <c r="L91" s="157"/>
      <c r="N91" s="157"/>
      <c r="O91" s="157"/>
      <c r="P91" s="157"/>
      <c r="Q91" s="157"/>
    </row>
    <row r="92">
      <c r="A92" s="157"/>
      <c r="K92" s="157"/>
      <c r="L92" s="157"/>
      <c r="N92" s="157"/>
      <c r="O92" s="157"/>
      <c r="P92" s="157"/>
      <c r="Q92" s="157"/>
      <c r="T92" s="131" t="s">
        <v>217</v>
      </c>
    </row>
    <row r="93">
      <c r="A93" s="157"/>
      <c r="K93" s="157"/>
      <c r="L93" s="157"/>
      <c r="N93" s="157"/>
      <c r="O93" s="157"/>
      <c r="P93" s="157"/>
      <c r="Q93" s="157"/>
      <c r="T93" s="131" t="s">
        <v>222</v>
      </c>
    </row>
    <row r="94">
      <c r="A94" s="157"/>
      <c r="K94" s="157"/>
      <c r="L94" s="157"/>
      <c r="N94" s="157"/>
      <c r="O94" s="157"/>
      <c r="P94" s="157"/>
      <c r="Q94" s="157"/>
      <c r="T94" s="131" t="s">
        <v>282</v>
      </c>
    </row>
    <row r="95">
      <c r="A95" s="157"/>
      <c r="K95" s="157"/>
      <c r="L95" s="157"/>
      <c r="N95" s="157"/>
      <c r="O95" s="157"/>
      <c r="P95" s="157"/>
      <c r="Q95" s="157"/>
      <c r="T95" s="131" t="s">
        <v>284</v>
      </c>
    </row>
    <row r="96">
      <c r="A96" s="157"/>
      <c r="K96" s="157"/>
      <c r="L96" s="157"/>
      <c r="N96" s="157"/>
      <c r="O96" s="157"/>
      <c r="P96" s="157"/>
      <c r="Q96" s="157"/>
      <c r="T96" s="131" t="s">
        <v>285</v>
      </c>
    </row>
    <row r="97">
      <c r="A97" s="157"/>
      <c r="K97" s="157"/>
      <c r="L97" s="157"/>
      <c r="N97" s="157"/>
      <c r="O97" s="157"/>
      <c r="P97" s="157"/>
      <c r="Q97" s="157"/>
      <c r="T97" s="131" t="s">
        <v>288</v>
      </c>
    </row>
    <row r="98">
      <c r="A98" s="157"/>
      <c r="B98" s="153" t="s">
        <v>217</v>
      </c>
      <c r="C98" s="155">
        <v>916.0</v>
      </c>
      <c r="D98" s="157"/>
      <c r="E98" s="157"/>
      <c r="F98" s="153" t="s">
        <v>307</v>
      </c>
      <c r="G98" s="155">
        <v>925.0</v>
      </c>
      <c r="H98" s="155">
        <f t="shared" ref="H98:H161" si="2">G98-C98</f>
        <v>9</v>
      </c>
      <c r="K98" s="157"/>
      <c r="L98" s="157"/>
      <c r="N98" s="157"/>
      <c r="O98" s="157"/>
      <c r="P98" s="157"/>
      <c r="Q98" s="157"/>
      <c r="T98" s="131" t="s">
        <v>233</v>
      </c>
    </row>
    <row r="99">
      <c r="A99" s="157"/>
      <c r="B99" s="153" t="s">
        <v>222</v>
      </c>
      <c r="C99" s="155">
        <v>1404.0</v>
      </c>
      <c r="D99" s="157"/>
      <c r="E99" s="157"/>
      <c r="F99" s="153" t="s">
        <v>308</v>
      </c>
      <c r="G99" s="155">
        <v>1400.0</v>
      </c>
      <c r="H99" s="155">
        <f t="shared" si="2"/>
        <v>-4</v>
      </c>
      <c r="K99" s="157"/>
      <c r="L99" s="157"/>
      <c r="N99" s="157"/>
      <c r="O99" s="157"/>
      <c r="P99" s="157"/>
      <c r="Q99" s="157"/>
      <c r="T99" s="131" t="s">
        <v>126</v>
      </c>
    </row>
    <row r="100">
      <c r="A100" s="157"/>
      <c r="B100" s="153" t="s">
        <v>282</v>
      </c>
      <c r="C100" s="155">
        <f>(SUMIF('صفحة الفرز'!G$9:G1000, B100, 'صفحة الفرز'!J$9:J1000) + SUMIF('صفحة الفرز'!G$9:G1000, B100, 'صفحة الفرز'!N$9:N1000)) * 3
</f>
        <v>579</v>
      </c>
      <c r="D100" s="157"/>
      <c r="E100" s="157"/>
      <c r="F100" s="153" t="s">
        <v>309</v>
      </c>
      <c r="G100" s="155">
        <v>775.0</v>
      </c>
      <c r="H100" s="155">
        <f t="shared" si="2"/>
        <v>196</v>
      </c>
      <c r="K100" s="157"/>
      <c r="L100" s="157"/>
      <c r="N100" s="157"/>
      <c r="O100" s="157"/>
      <c r="P100" s="157"/>
      <c r="Q100" s="157"/>
      <c r="T100" s="131" t="s">
        <v>137</v>
      </c>
    </row>
    <row r="101">
      <c r="A101" s="157"/>
      <c r="B101" s="153" t="s">
        <v>284</v>
      </c>
      <c r="C101" s="155">
        <f>(SUMIF('صفحة الفرز'!G$9:G1000, B101, 'صفحة الفرز'!J$9:J1000) + SUMIF('صفحة الفرز'!G$9:G1000, B101, 'صفحة الفرز'!N$9:N1000)) * 3
</f>
        <v>726</v>
      </c>
      <c r="D101" s="157"/>
      <c r="E101" s="157"/>
      <c r="F101" s="153" t="s">
        <v>310</v>
      </c>
      <c r="G101" s="155">
        <v>925.0</v>
      </c>
      <c r="H101" s="155">
        <f t="shared" si="2"/>
        <v>199</v>
      </c>
      <c r="K101" s="157"/>
      <c r="L101" s="157"/>
      <c r="N101" s="157"/>
      <c r="O101" s="157"/>
      <c r="P101" s="157"/>
      <c r="Q101" s="157"/>
      <c r="T101" s="131" t="s">
        <v>148</v>
      </c>
    </row>
    <row r="102">
      <c r="A102" s="157"/>
      <c r="B102" s="153" t="s">
        <v>285</v>
      </c>
      <c r="C102" s="155">
        <v>776.935</v>
      </c>
      <c r="D102" s="157"/>
      <c r="E102" s="157"/>
      <c r="F102" s="153" t="s">
        <v>311</v>
      </c>
      <c r="G102" s="155">
        <v>925.0</v>
      </c>
      <c r="H102" s="155">
        <f t="shared" si="2"/>
        <v>148.065</v>
      </c>
      <c r="K102" s="157"/>
      <c r="L102" s="157"/>
      <c r="N102" s="157"/>
      <c r="O102" s="157"/>
      <c r="P102" s="157"/>
      <c r="Q102" s="157"/>
      <c r="T102" s="131" t="s">
        <v>154</v>
      </c>
    </row>
    <row r="103">
      <c r="A103" s="157"/>
      <c r="B103" s="153" t="s">
        <v>288</v>
      </c>
      <c r="C103" s="155">
        <v>790.154</v>
      </c>
      <c r="D103" s="157"/>
      <c r="E103" s="157"/>
      <c r="F103" s="153" t="s">
        <v>312</v>
      </c>
      <c r="G103" s="155">
        <v>925.0</v>
      </c>
      <c r="H103" s="155">
        <f t="shared" si="2"/>
        <v>134.846</v>
      </c>
      <c r="K103" s="157"/>
      <c r="L103" s="157"/>
      <c r="N103" s="157"/>
      <c r="O103" s="157"/>
      <c r="P103" s="157"/>
      <c r="Q103" s="157"/>
      <c r="T103" s="131" t="s">
        <v>51</v>
      </c>
    </row>
    <row r="104">
      <c r="A104" s="157"/>
      <c r="B104" s="153" t="s">
        <v>233</v>
      </c>
      <c r="C104" s="155">
        <f>(SUMIF('صفحة الفرز'!G$9:G1000, B104, 'صفحة الفرز'!J$9:J1000) + SUMIF('صفحة الفرز'!G$9:G1000, B104, 'صفحة الفرز'!N$9:N1000)) * 3
</f>
        <v>885</v>
      </c>
      <c r="D104" s="157"/>
      <c r="E104" s="157"/>
      <c r="F104" s="153" t="s">
        <v>313</v>
      </c>
      <c r="G104" s="155">
        <v>925.0</v>
      </c>
      <c r="H104" s="155">
        <f t="shared" si="2"/>
        <v>40</v>
      </c>
      <c r="K104" s="157"/>
      <c r="L104" s="157"/>
      <c r="N104" s="157"/>
      <c r="O104" s="157"/>
      <c r="P104" s="157"/>
      <c r="Q104" s="157"/>
      <c r="T104" s="131" t="s">
        <v>71</v>
      </c>
    </row>
    <row r="105">
      <c r="A105" s="157"/>
      <c r="B105" s="153" t="s">
        <v>126</v>
      </c>
      <c r="C105" s="155">
        <f>(SUMIF('صفحة الفرز'!G$9:G1000, B105, 'صفحة الفرز'!J$9:J1000) + SUMIF('صفحة الفرز'!G$9:G1000, B105, 'صفحة الفرز'!N$9:N1000)) * 3
</f>
        <v>825</v>
      </c>
      <c r="D105" s="157"/>
      <c r="E105" s="157"/>
      <c r="F105" s="153" t="s">
        <v>314</v>
      </c>
      <c r="G105" s="155">
        <v>925.0</v>
      </c>
      <c r="H105" s="155">
        <f t="shared" si="2"/>
        <v>100</v>
      </c>
      <c r="K105" s="157"/>
      <c r="L105" s="157"/>
      <c r="N105" s="157"/>
      <c r="O105" s="157"/>
      <c r="P105" s="157"/>
      <c r="Q105" s="157"/>
      <c r="T105" s="131" t="s">
        <v>64</v>
      </c>
    </row>
    <row r="106">
      <c r="A106" s="157"/>
      <c r="B106" s="153" t="s">
        <v>137</v>
      </c>
      <c r="C106" s="155">
        <f>(SUMIF('صفحة الفرز'!G$9:G1000, B106, 'صفحة الفرز'!J$9:J1000) + SUMIF('صفحة الفرز'!G$9:G1000, B106, 'صفحة الفرز'!N$9:N1000)) * 3
</f>
        <v>897</v>
      </c>
      <c r="D106" s="157"/>
      <c r="E106" s="157"/>
      <c r="F106" s="153" t="s">
        <v>315</v>
      </c>
      <c r="G106" s="155">
        <v>925.0</v>
      </c>
      <c r="H106" s="155">
        <f t="shared" si="2"/>
        <v>28</v>
      </c>
      <c r="K106" s="157"/>
      <c r="L106" s="157"/>
      <c r="N106" s="157"/>
      <c r="O106" s="157"/>
      <c r="P106" s="157"/>
      <c r="Q106" s="157"/>
      <c r="T106" s="131" t="s">
        <v>68</v>
      </c>
    </row>
    <row r="107">
      <c r="A107" s="157"/>
      <c r="B107" s="153" t="s">
        <v>148</v>
      </c>
      <c r="C107" s="155">
        <f>(SUMIF('صفحة الفرز'!G$9:G1000, B107, 'صفحة الفرز'!J$9:J1000) + SUMIF('صفحة الفرز'!G$9:G1000, B107, 'صفحة الفرز'!N$9:N1000)) * 3
</f>
        <v>888</v>
      </c>
      <c r="D107" s="157"/>
      <c r="E107" s="157"/>
      <c r="F107" s="153" t="s">
        <v>316</v>
      </c>
      <c r="G107" s="155">
        <v>925.0</v>
      </c>
      <c r="H107" s="155">
        <f t="shared" si="2"/>
        <v>37</v>
      </c>
      <c r="K107" s="157"/>
      <c r="L107" s="157"/>
      <c r="N107" s="157"/>
      <c r="O107" s="157"/>
      <c r="P107" s="157"/>
      <c r="Q107" s="157"/>
      <c r="T107" s="131" t="s">
        <v>80</v>
      </c>
    </row>
    <row r="108">
      <c r="A108" s="157"/>
      <c r="B108" s="153" t="s">
        <v>154</v>
      </c>
      <c r="C108" s="155">
        <f>(SUMIF('صفحة الفرز'!G$9:G1000, B108, 'صفحة الفرز'!J$9:J1000) + SUMIF('صفحة الفرز'!G$9:G1000, B108, 'صفحة الفرز'!N$9:N1000)) * 3
</f>
        <v>1335</v>
      </c>
      <c r="D108" s="157"/>
      <c r="E108" s="157"/>
      <c r="F108" s="153" t="s">
        <v>317</v>
      </c>
      <c r="G108" s="155">
        <v>1460.0</v>
      </c>
      <c r="H108" s="155">
        <f t="shared" si="2"/>
        <v>125</v>
      </c>
      <c r="K108" s="157"/>
      <c r="L108" s="157"/>
      <c r="N108" s="157"/>
      <c r="O108" s="157"/>
      <c r="P108" s="157"/>
      <c r="Q108" s="157"/>
      <c r="T108" s="131" t="s">
        <v>76</v>
      </c>
    </row>
    <row r="109">
      <c r="A109" s="157"/>
      <c r="B109" s="153" t="s">
        <v>51</v>
      </c>
      <c r="C109" s="155">
        <f>(SUMIF('صفحة الفرز'!G$9:G1000, B109, 'صفحة الفرز'!J$9:J1000) + SUMIF('صفحة الفرز'!G$9:G1000, B109, 'صفحة الفرز'!N$9:N1000)) * 3
</f>
        <v>900</v>
      </c>
      <c r="D109" s="157"/>
      <c r="E109" s="157"/>
      <c r="F109" s="153" t="s">
        <v>318</v>
      </c>
      <c r="G109" s="155">
        <v>925.0</v>
      </c>
      <c r="H109" s="155">
        <f t="shared" si="2"/>
        <v>25</v>
      </c>
      <c r="K109" s="157"/>
      <c r="L109" s="157"/>
      <c r="N109" s="157"/>
      <c r="O109" s="157"/>
      <c r="P109" s="157"/>
      <c r="Q109" s="157"/>
      <c r="T109" s="131" t="s">
        <v>89</v>
      </c>
    </row>
    <row r="110">
      <c r="A110" s="157"/>
      <c r="B110" s="153" t="s">
        <v>71</v>
      </c>
      <c r="C110" s="155">
        <f>(SUMIF('صفحة الفرز'!G$9:G1000, B110, 'صفحة الفرز'!J$9:J1000) + SUMIF('صفحة الفرز'!G$9:G1000, B110, 'صفحة الفرز'!N$9:N1000)) * 3
</f>
        <v>822</v>
      </c>
      <c r="D110" s="157"/>
      <c r="E110" s="157"/>
      <c r="F110" s="153" t="s">
        <v>319</v>
      </c>
      <c r="G110" s="155">
        <v>925.0</v>
      </c>
      <c r="H110" s="155">
        <f t="shared" si="2"/>
        <v>103</v>
      </c>
      <c r="K110" s="157"/>
      <c r="L110" s="157"/>
      <c r="N110" s="157"/>
      <c r="O110" s="157"/>
      <c r="P110" s="157"/>
      <c r="Q110" s="157"/>
      <c r="T110" s="131" t="s">
        <v>83</v>
      </c>
    </row>
    <row r="111">
      <c r="A111" s="157"/>
      <c r="B111" s="153" t="s">
        <v>64</v>
      </c>
      <c r="C111" s="155">
        <f>(SUMIF('صفحة الفرز'!G$9:G1000, B111, 'صفحة الفرز'!J$9:J1000) + SUMIF('صفحة الفرز'!G$9:G1000, B111, 'صفحة الفرز'!N$9:N1000)) * 3
</f>
        <v>903</v>
      </c>
      <c r="D111" s="157"/>
      <c r="E111" s="157"/>
      <c r="F111" s="153" t="s">
        <v>320</v>
      </c>
      <c r="G111" s="155">
        <v>925.0</v>
      </c>
      <c r="H111" s="155">
        <f t="shared" si="2"/>
        <v>22</v>
      </c>
      <c r="K111" s="157"/>
      <c r="L111" s="157"/>
      <c r="N111" s="157"/>
      <c r="O111" s="157"/>
      <c r="P111" s="157"/>
      <c r="Q111" s="157"/>
      <c r="T111" s="131" t="s">
        <v>212</v>
      </c>
    </row>
    <row r="112">
      <c r="A112" s="157"/>
      <c r="B112" s="153" t="s">
        <v>68</v>
      </c>
      <c r="C112" s="155">
        <f>(SUMIF('صفحة الفرز'!G$9:G1000, B112, 'صفحة الفرز'!J$9:J1000) + SUMIF('صفحة الفرز'!G$9:G1000, B112, 'صفحة الفرز'!N$9:N1000)) * 3
</f>
        <v>894</v>
      </c>
      <c r="D112" s="157"/>
      <c r="E112" s="157"/>
      <c r="F112" s="153" t="s">
        <v>321</v>
      </c>
      <c r="G112" s="155">
        <v>925.0</v>
      </c>
      <c r="H112" s="155">
        <f t="shared" si="2"/>
        <v>31</v>
      </c>
      <c r="K112" s="157"/>
      <c r="L112" s="157"/>
      <c r="N112" s="157"/>
      <c r="O112" s="157"/>
      <c r="P112" s="157"/>
      <c r="Q112" s="157"/>
      <c r="T112" s="131" t="s">
        <v>131</v>
      </c>
    </row>
    <row r="113">
      <c r="A113" s="157"/>
      <c r="B113" s="153" t="s">
        <v>80</v>
      </c>
      <c r="C113" s="155">
        <f>(SUMIF('صفحة الفرز'!G$9:G1000, B113, 'صفحة الفرز'!J$9:J1000) + SUMIF('صفحة الفرز'!G$9:G1000, B113, 'صفحة الفرز'!N$9:N1000)) * 3
</f>
        <v>915</v>
      </c>
      <c r="D113" s="157"/>
      <c r="E113" s="157"/>
      <c r="F113" s="153" t="s">
        <v>322</v>
      </c>
      <c r="G113" s="155">
        <v>925.0</v>
      </c>
      <c r="H113" s="155">
        <f t="shared" si="2"/>
        <v>10</v>
      </c>
      <c r="K113" s="157"/>
      <c r="L113" s="157"/>
      <c r="N113" s="157"/>
      <c r="O113" s="157"/>
      <c r="P113" s="157"/>
      <c r="Q113" s="157"/>
      <c r="T113" s="131" t="s">
        <v>111</v>
      </c>
    </row>
    <row r="114">
      <c r="A114" s="157"/>
      <c r="B114" s="153" t="s">
        <v>76</v>
      </c>
      <c r="C114" s="155">
        <f>(SUMIF('صفحة الفرز'!G$9:G1000, B114, 'صفحة الفرز'!J$9:J1000) + SUMIF('صفحة الفرز'!G$9:G1000, B114, 'صفحة الفرز'!N$9:N1000)) * 3
</f>
        <v>867</v>
      </c>
      <c r="D114" s="157"/>
      <c r="E114" s="157"/>
      <c r="F114" s="153" t="s">
        <v>323</v>
      </c>
      <c r="G114" s="155">
        <v>925.0</v>
      </c>
      <c r="H114" s="155">
        <f t="shared" si="2"/>
        <v>58</v>
      </c>
      <c r="K114" s="157"/>
      <c r="L114" s="157"/>
      <c r="N114" s="157"/>
      <c r="O114" s="157"/>
      <c r="P114" s="157"/>
      <c r="Q114" s="157"/>
      <c r="T114" s="131" t="s">
        <v>110</v>
      </c>
    </row>
    <row r="115">
      <c r="A115" s="157"/>
      <c r="B115" s="153" t="s">
        <v>89</v>
      </c>
      <c r="C115" s="155">
        <f>(SUMIF('صفحة الفرز'!G$9:G1000, B115, 'صفحة الفرز'!J$9:J1000) + SUMIF('صفحة الفرز'!G$9:G1000, B115, 'صفحة الفرز'!N$9:N1000)) * 3
</f>
        <v>561</v>
      </c>
      <c r="D115" s="157"/>
      <c r="E115" s="157"/>
      <c r="F115" s="153" t="s">
        <v>324</v>
      </c>
      <c r="G115" s="155">
        <v>560.0</v>
      </c>
      <c r="H115" s="155">
        <f t="shared" si="2"/>
        <v>-1</v>
      </c>
      <c r="K115" s="157"/>
      <c r="L115" s="157"/>
      <c r="N115" s="157"/>
      <c r="O115" s="157"/>
      <c r="P115" s="157"/>
      <c r="Q115" s="157"/>
      <c r="T115" s="131" t="s">
        <v>53</v>
      </c>
    </row>
    <row r="116">
      <c r="A116" s="157"/>
      <c r="B116" s="153" t="s">
        <v>83</v>
      </c>
      <c r="C116" s="155">
        <f>(SUMIF('صفحة الفرز'!G$9:G1000, B116, 'صفحة الفرز'!J$9:J1000) + SUMIF('صفحة الفرز'!G$9:G1000, B116, 'صفحة الفرز'!N$9:N1000)) * 3
</f>
        <v>876</v>
      </c>
      <c r="D116" s="157"/>
      <c r="E116" s="157"/>
      <c r="F116" s="153" t="s">
        <v>325</v>
      </c>
      <c r="G116" s="155">
        <v>925.0</v>
      </c>
      <c r="H116" s="155">
        <f t="shared" si="2"/>
        <v>49</v>
      </c>
      <c r="K116" s="157"/>
      <c r="N116" s="157"/>
      <c r="O116" s="157"/>
      <c r="P116" s="157"/>
      <c r="Q116" s="157"/>
      <c r="T116" s="131" t="s">
        <v>55</v>
      </c>
    </row>
    <row r="117">
      <c r="A117" s="157"/>
      <c r="B117" s="153" t="s">
        <v>212</v>
      </c>
      <c r="C117" s="155">
        <f>(SUMIF('صفحة الفرز'!G$9:G1000, B117, 'صفحة الفرز'!J$9:J1000) + SUMIF('صفحة الفرز'!G$9:G1000, B117, 'صفحة الفرز'!N$9:N1000)) * 3
</f>
        <v>987</v>
      </c>
      <c r="D117" s="157"/>
      <c r="E117" s="157"/>
      <c r="F117" s="153" t="s">
        <v>326</v>
      </c>
      <c r="G117" s="155">
        <v>1050.0</v>
      </c>
      <c r="H117" s="155">
        <f t="shared" si="2"/>
        <v>63</v>
      </c>
      <c r="K117" s="157"/>
      <c r="N117" s="157"/>
      <c r="O117" s="157"/>
      <c r="P117" s="157"/>
      <c r="Q117" s="157"/>
      <c r="T117" s="131" t="s">
        <v>91</v>
      </c>
    </row>
    <row r="118">
      <c r="A118" s="157"/>
      <c r="B118" s="153" t="s">
        <v>131</v>
      </c>
      <c r="C118" s="155">
        <f>(SUMIF('صفحة الفرز'!G$9:G1000, B118, 'صفحة الفرز'!J$9:J1000) + SUMIF('صفحة الفرز'!G$9:G1000, B118, 'صفحة الفرز'!N$9:N1000)) * 3
</f>
        <v>783</v>
      </c>
      <c r="D118" s="157"/>
      <c r="E118" s="157"/>
      <c r="F118" s="153" t="s">
        <v>327</v>
      </c>
      <c r="G118" s="155">
        <v>925.0</v>
      </c>
      <c r="H118" s="155">
        <f t="shared" si="2"/>
        <v>142</v>
      </c>
      <c r="K118" s="157"/>
      <c r="N118" s="157"/>
      <c r="O118" s="157"/>
      <c r="P118" s="157"/>
      <c r="Q118" s="157"/>
      <c r="T118" s="131" t="s">
        <v>95</v>
      </c>
    </row>
    <row r="119">
      <c r="A119" s="157"/>
      <c r="B119" s="153" t="s">
        <v>111</v>
      </c>
      <c r="C119" s="155">
        <f>(SUMIF('صفحة الفرز'!G$9:G1000, B119, 'صفحة الفرز'!J$9:J1000) + SUMIF('صفحة الفرز'!G$9:G1000, B119, 'صفحة الفرز'!N$9:N1000)) * 3
</f>
        <v>885</v>
      </c>
      <c r="D119" s="157"/>
      <c r="E119" s="157"/>
      <c r="F119" s="153" t="s">
        <v>328</v>
      </c>
      <c r="G119" s="155">
        <v>925.0</v>
      </c>
      <c r="H119" s="155">
        <f t="shared" si="2"/>
        <v>40</v>
      </c>
      <c r="K119" s="157"/>
      <c r="N119" s="157"/>
      <c r="O119" s="157"/>
      <c r="P119" s="157"/>
      <c r="Q119" s="157"/>
      <c r="T119" s="131" t="s">
        <v>88</v>
      </c>
    </row>
    <row r="120">
      <c r="A120" s="157"/>
      <c r="B120" s="153" t="s">
        <v>110</v>
      </c>
      <c r="C120" s="155">
        <f>(SUMIF('صفحة الفرز'!G$9:G1000, B120, 'صفحة الفرز'!J$9:J1000) + SUMIF('صفحة الفرز'!G$9:G1000, B120, 'صفحة الفرز'!N$9:N1000)) * 3
</f>
        <v>1152</v>
      </c>
      <c r="D120" s="157"/>
      <c r="E120" s="157"/>
      <c r="F120" s="153" t="s">
        <v>329</v>
      </c>
      <c r="G120" s="155">
        <v>1200.0</v>
      </c>
      <c r="H120" s="155">
        <f t="shared" si="2"/>
        <v>48</v>
      </c>
      <c r="K120" s="157"/>
      <c r="N120" s="157"/>
      <c r="O120" s="157"/>
      <c r="P120" s="157"/>
      <c r="Q120" s="157"/>
      <c r="T120" s="131" t="s">
        <v>86</v>
      </c>
    </row>
    <row r="121">
      <c r="A121" s="157"/>
      <c r="B121" s="153" t="s">
        <v>53</v>
      </c>
      <c r="C121" s="155">
        <f>(SUMIF('صفحة الفرز'!G$9:G1000, B121, 'صفحة الفرز'!J$9:J1000) + SUMIF('صفحة الفرز'!G$9:G1000, B121, 'صفحة الفرز'!N$9:N1000)) * 3
</f>
        <v>540</v>
      </c>
      <c r="D121" s="157"/>
      <c r="E121" s="157"/>
      <c r="F121" s="153" t="s">
        <v>330</v>
      </c>
      <c r="G121" s="155">
        <v>550.0</v>
      </c>
      <c r="H121" s="155">
        <f t="shared" si="2"/>
        <v>10</v>
      </c>
      <c r="K121" s="157"/>
      <c r="N121" s="157"/>
      <c r="O121" s="157"/>
      <c r="P121" s="157"/>
      <c r="Q121" s="157"/>
      <c r="T121" s="131" t="s">
        <v>93</v>
      </c>
    </row>
    <row r="122">
      <c r="A122" s="157"/>
      <c r="B122" s="153" t="s">
        <v>55</v>
      </c>
      <c r="C122" s="155">
        <f>(SUMIF('صفحة الفرز'!G$9:G1000, B122, 'صفحة الفرز'!J$9:J1000) + SUMIF('صفحة الفرز'!G$9:G1000, B122, 'صفحة الفرز'!N$9:N1000)) * 3
</f>
        <v>906</v>
      </c>
      <c r="D122" s="157"/>
      <c r="E122" s="157"/>
      <c r="F122" s="153" t="s">
        <v>331</v>
      </c>
      <c r="G122" s="155">
        <v>1030.0</v>
      </c>
      <c r="H122" s="155">
        <f t="shared" si="2"/>
        <v>124</v>
      </c>
      <c r="K122" s="157"/>
      <c r="N122" s="157"/>
      <c r="O122" s="157"/>
      <c r="P122" s="157"/>
      <c r="Q122" s="157"/>
      <c r="T122" s="131" t="s">
        <v>101</v>
      </c>
    </row>
    <row r="123">
      <c r="A123" s="157"/>
      <c r="B123" s="153" t="s">
        <v>91</v>
      </c>
      <c r="C123" s="155">
        <f>(SUMIF('صفحة الفرز'!G$9:G1000, B123, 'صفحة الفرز'!J$9:J1000) + SUMIF('صفحة الفرز'!G$9:G1000, B123, 'صفحة الفرز'!N$9:N1000)) * 3
</f>
        <v>927</v>
      </c>
      <c r="D123" s="157"/>
      <c r="E123" s="157"/>
      <c r="F123" s="153" t="s">
        <v>332</v>
      </c>
      <c r="G123" s="155">
        <v>925.0</v>
      </c>
      <c r="H123" s="155">
        <f t="shared" si="2"/>
        <v>-2</v>
      </c>
      <c r="K123" s="157"/>
      <c r="N123" s="157"/>
      <c r="O123" s="157"/>
      <c r="P123" s="157"/>
      <c r="Q123" s="157"/>
      <c r="T123" s="131" t="s">
        <v>96</v>
      </c>
    </row>
    <row r="124">
      <c r="A124" s="157"/>
      <c r="B124" s="153" t="s">
        <v>95</v>
      </c>
      <c r="C124" s="155">
        <f>(SUMIF('صفحة الفرز'!G$9:G1000, B124, 'صفحة الفرز'!J$9:J1000) + SUMIF('صفحة الفرز'!G$9:G1000, B124, 'صفحة الفرز'!N$9:N1000)) * 3
</f>
        <v>897</v>
      </c>
      <c r="D124" s="157"/>
      <c r="E124" s="157"/>
      <c r="F124" s="153" t="s">
        <v>95</v>
      </c>
      <c r="G124" s="155">
        <v>925.0</v>
      </c>
      <c r="H124" s="155">
        <f t="shared" si="2"/>
        <v>28</v>
      </c>
      <c r="K124" s="157"/>
      <c r="N124" s="157"/>
      <c r="O124" s="157"/>
      <c r="P124" s="157"/>
      <c r="Q124" s="157"/>
      <c r="T124" s="131" t="s">
        <v>196</v>
      </c>
    </row>
    <row r="125">
      <c r="A125" s="157"/>
      <c r="B125" s="153" t="s">
        <v>88</v>
      </c>
      <c r="C125" s="155">
        <f>(SUMIF('صفحة الفرز'!G$9:G1000, B125, 'صفحة الفرز'!J$9:J1000) + SUMIF('صفحة الفرز'!G$9:G1000, B125, 'صفحة الفرز'!N$9:N1000)) * 3
</f>
        <v>930</v>
      </c>
      <c r="D125" s="157"/>
      <c r="E125" s="157"/>
      <c r="F125" s="153" t="s">
        <v>333</v>
      </c>
      <c r="G125" s="155">
        <v>925.0</v>
      </c>
      <c r="H125" s="155">
        <f t="shared" si="2"/>
        <v>-5</v>
      </c>
      <c r="K125" s="157"/>
      <c r="N125" s="157"/>
      <c r="O125" s="157"/>
      <c r="P125" s="157"/>
      <c r="Q125" s="157"/>
      <c r="T125" s="131" t="s">
        <v>177</v>
      </c>
    </row>
    <row r="126">
      <c r="A126" s="157"/>
      <c r="B126" s="153" t="s">
        <v>86</v>
      </c>
      <c r="C126" s="155">
        <f>(SUMIF('صفحة الفرز'!G$9:G1000, B126, 'صفحة الفرز'!J$9:J1000) + SUMIF('صفحة الفرز'!G$9:G1000, B126, 'صفحة الفرز'!N$9:N1000)) * 3
</f>
        <v>924</v>
      </c>
      <c r="D126" s="157"/>
      <c r="E126" s="157"/>
      <c r="F126" s="153" t="s">
        <v>86</v>
      </c>
      <c r="G126" s="155">
        <v>925.0</v>
      </c>
      <c r="H126" s="155">
        <f t="shared" si="2"/>
        <v>1</v>
      </c>
      <c r="K126" s="157"/>
      <c r="N126" s="157"/>
      <c r="O126" s="157"/>
      <c r="P126" s="157"/>
      <c r="Q126" s="157"/>
      <c r="T126" s="131" t="s">
        <v>174</v>
      </c>
    </row>
    <row r="127">
      <c r="A127" s="157"/>
      <c r="B127" s="153" t="s">
        <v>93</v>
      </c>
      <c r="C127" s="155">
        <f>(SUMIF('صفحة الفرز'!G$9:G1000, B127, 'صفحة الفرز'!J$9:J1000) + SUMIF('صفحة الفرز'!G$9:G1000, B127, 'صفحة الفرز'!N$9:N1000)) * 3
</f>
        <v>912</v>
      </c>
      <c r="D127" s="157"/>
      <c r="E127" s="157"/>
      <c r="F127" s="153" t="s">
        <v>334</v>
      </c>
      <c r="G127" s="155">
        <v>925.0</v>
      </c>
      <c r="H127" s="155">
        <f t="shared" si="2"/>
        <v>13</v>
      </c>
      <c r="K127" s="153" t="s">
        <v>294</v>
      </c>
      <c r="L127" s="155">
        <v>925.0</v>
      </c>
      <c r="N127" s="157"/>
      <c r="O127" s="157"/>
      <c r="P127" s="157"/>
      <c r="Q127" s="157"/>
      <c r="T127" s="131" t="s">
        <v>140</v>
      </c>
    </row>
    <row r="128">
      <c r="A128" s="157"/>
      <c r="B128" s="153" t="s">
        <v>101</v>
      </c>
      <c r="C128" s="155">
        <f>(SUMIF('صفحة الفرز'!G$9:G1000, B128, 'صفحة الفرز'!J$9:J1000) + SUMIF('صفحة الفرز'!G$9:G1000, B128, 'صفحة الفرز'!N$9:N1000)) * 3
</f>
        <v>909</v>
      </c>
      <c r="D128" s="157"/>
      <c r="E128" s="157"/>
      <c r="F128" s="153" t="s">
        <v>335</v>
      </c>
      <c r="G128" s="155">
        <v>1000.0</v>
      </c>
      <c r="H128" s="155">
        <f t="shared" si="2"/>
        <v>91</v>
      </c>
      <c r="K128" s="157"/>
      <c r="N128" s="157"/>
      <c r="O128" s="157"/>
      <c r="P128" s="157"/>
      <c r="Q128" s="157"/>
      <c r="T128" s="131" t="s">
        <v>181</v>
      </c>
    </row>
    <row r="129">
      <c r="A129" s="157"/>
      <c r="B129" s="153" t="s">
        <v>96</v>
      </c>
      <c r="C129" s="155">
        <f>(SUMIF('صفحة الفرز'!G$9:G1000, B129, 'صفحة الفرز'!J$9:J1000) + SUMIF('صفحة الفرز'!G$9:G1000, B129, 'صفحة الفرز'!N$9:N1000)) * 3
</f>
        <v>1395</v>
      </c>
      <c r="D129" s="157"/>
      <c r="E129" s="157"/>
      <c r="F129" s="153" t="s">
        <v>336</v>
      </c>
      <c r="G129" s="155">
        <v>1460.0</v>
      </c>
      <c r="H129" s="155">
        <f t="shared" si="2"/>
        <v>65</v>
      </c>
      <c r="K129" s="157"/>
      <c r="N129" s="157"/>
      <c r="O129" s="157"/>
      <c r="P129" s="157"/>
      <c r="Q129" s="157"/>
      <c r="T129" s="131" t="s">
        <v>145</v>
      </c>
    </row>
    <row r="130">
      <c r="A130" s="157"/>
      <c r="B130" s="153" t="s">
        <v>196</v>
      </c>
      <c r="C130" s="155">
        <f>(SUMIF('صفحة الفرز'!G$9:G1000, B130, 'صفحة الفرز'!J$9:J1000) + SUMIF('صفحة الفرز'!G$9:G1000, B130, 'صفحة الفرز'!N$9:N1000)) * 3
</f>
        <v>822</v>
      </c>
      <c r="D130" s="157"/>
      <c r="E130" s="157"/>
      <c r="F130" s="153" t="s">
        <v>337</v>
      </c>
      <c r="G130" s="155">
        <v>925.0</v>
      </c>
      <c r="H130" s="155">
        <f t="shared" si="2"/>
        <v>103</v>
      </c>
      <c r="K130" s="157"/>
      <c r="N130" s="157"/>
      <c r="O130" s="157"/>
      <c r="P130" s="157"/>
      <c r="Q130" s="157"/>
      <c r="T130" s="131" t="s">
        <v>98</v>
      </c>
    </row>
    <row r="131">
      <c r="A131" s="157"/>
      <c r="B131" s="153" t="s">
        <v>177</v>
      </c>
      <c r="C131" s="155">
        <f>(SUMIF('صفحة الفرز'!G$9:G1000, B131, 'صفحة الفرز'!J$9:J1000) + SUMIF('صفحة الفرز'!G$9:G1000, B131, 'صفحة الفرز'!N$9:N1000)) * 3
</f>
        <v>825</v>
      </c>
      <c r="D131" s="157"/>
      <c r="E131" s="157"/>
      <c r="F131" s="153" t="s">
        <v>338</v>
      </c>
      <c r="G131" s="155">
        <v>925.0</v>
      </c>
      <c r="H131" s="155">
        <f t="shared" si="2"/>
        <v>100</v>
      </c>
      <c r="K131" s="157"/>
      <c r="N131" s="157"/>
      <c r="O131" s="157"/>
      <c r="P131" s="157"/>
      <c r="Q131" s="157"/>
      <c r="T131" s="131" t="s">
        <v>144</v>
      </c>
    </row>
    <row r="132">
      <c r="A132" s="157"/>
      <c r="B132" s="153" t="s">
        <v>174</v>
      </c>
      <c r="C132" s="155">
        <f>(SUMIF('صفحة الفرز'!G$9:G1000, B132, 'صفحة الفرز'!J$9:J1000) + SUMIF('صفحة الفرز'!G$9:G1000, B132, 'صفحة الفرز'!N$9:N1000)) * 3
</f>
        <v>1413</v>
      </c>
      <c r="D132" s="157"/>
      <c r="E132" s="157"/>
      <c r="F132" s="153" t="s">
        <v>339</v>
      </c>
      <c r="G132" s="155">
        <v>1465.0</v>
      </c>
      <c r="H132" s="155">
        <f t="shared" si="2"/>
        <v>52</v>
      </c>
      <c r="K132" s="157"/>
      <c r="N132" s="157"/>
      <c r="O132" s="157"/>
      <c r="P132" s="157"/>
      <c r="Q132" s="157"/>
      <c r="T132" s="131" t="s">
        <v>156</v>
      </c>
    </row>
    <row r="133">
      <c r="A133" s="157"/>
      <c r="B133" s="153" t="s">
        <v>140</v>
      </c>
      <c r="C133" s="155">
        <f>(SUMIF('صفحة الفرز'!G$9:G1000, B133, 'صفحة الفرز'!J$9:J1000) + SUMIF('صفحة الفرز'!G$9:G1000, B133, 'صفحة الفرز'!N$9:N1000)) * 3
</f>
        <v>645</v>
      </c>
      <c r="D133" s="157"/>
      <c r="E133" s="157"/>
      <c r="F133" s="153" t="s">
        <v>140</v>
      </c>
      <c r="G133" s="155">
        <v>775.0</v>
      </c>
      <c r="H133" s="155">
        <f t="shared" si="2"/>
        <v>130</v>
      </c>
      <c r="K133" s="157"/>
      <c r="N133" s="157"/>
      <c r="O133" s="157"/>
      <c r="P133" s="157"/>
      <c r="Q133" s="157"/>
      <c r="T133" s="131" t="s">
        <v>157</v>
      </c>
    </row>
    <row r="134">
      <c r="A134" s="157"/>
      <c r="B134" s="153" t="s">
        <v>181</v>
      </c>
      <c r="C134" s="155">
        <f>(SUMIF('صفحة الفرز'!G$9:G1000, B134, 'صفحة الفرز'!J$9:J1000) + SUMIF('صفحة الفرز'!G$9:G1000, B134, 'صفحة الفرز'!N$9:N1000)) * 3
</f>
        <v>663</v>
      </c>
      <c r="D134" s="157"/>
      <c r="E134" s="157"/>
      <c r="F134" s="153" t="s">
        <v>181</v>
      </c>
      <c r="G134" s="155">
        <v>975.0</v>
      </c>
      <c r="H134" s="155">
        <f t="shared" si="2"/>
        <v>312</v>
      </c>
      <c r="K134" s="157">
        <f>C162*2.014</f>
        <v>113648.1852</v>
      </c>
      <c r="N134" s="157"/>
      <c r="O134" s="157"/>
      <c r="P134" s="157"/>
      <c r="Q134" s="157"/>
      <c r="T134" s="131" t="s">
        <v>200</v>
      </c>
    </row>
    <row r="135">
      <c r="A135" s="157"/>
      <c r="B135" s="153" t="s">
        <v>145</v>
      </c>
      <c r="C135" s="155">
        <f>(SUMIF('صفحة الفرز'!G$9:G1000, B135, 'صفحة الفرز'!J$9:J1000) + SUMIF('صفحة الفرز'!G$9:G1000, B135, 'صفحة الفرز'!N$9:N1000)) * 3
</f>
        <v>831</v>
      </c>
      <c r="D135" s="157"/>
      <c r="E135" s="157"/>
      <c r="F135" s="153" t="s">
        <v>145</v>
      </c>
      <c r="G135" s="155">
        <v>875.0</v>
      </c>
      <c r="H135" s="155">
        <f t="shared" si="2"/>
        <v>44</v>
      </c>
      <c r="N135" s="157"/>
      <c r="O135" s="157"/>
      <c r="P135" s="157"/>
      <c r="Q135" s="157"/>
      <c r="T135" s="131" t="s">
        <v>102</v>
      </c>
    </row>
    <row r="136">
      <c r="A136" s="157"/>
      <c r="B136" s="153" t="s">
        <v>98</v>
      </c>
      <c r="C136" s="155">
        <f>(SUMIF('صفحة الفرز'!G$9:G1000, B136, 'صفحة الفرز'!J$9:J1000) + SUMIF('صفحة الفرز'!G$9:G1000, B136, 'صفحة الفرز'!N$9:N1000)) * 3
</f>
        <v>981</v>
      </c>
      <c r="D136" s="157"/>
      <c r="E136" s="157"/>
      <c r="F136" s="153" t="s">
        <v>340</v>
      </c>
      <c r="G136" s="155">
        <v>1050.0</v>
      </c>
      <c r="H136" s="155">
        <f t="shared" si="2"/>
        <v>69</v>
      </c>
      <c r="N136" s="157"/>
      <c r="O136" s="157"/>
      <c r="P136" s="157"/>
      <c r="Q136" s="157"/>
      <c r="T136" s="131" t="s">
        <v>191</v>
      </c>
    </row>
    <row r="137">
      <c r="A137" s="157"/>
      <c r="B137" s="153" t="s">
        <v>144</v>
      </c>
      <c r="C137" s="155">
        <f>(SUMIF('صفحة الفرز'!G$9:G1000, B137, 'صفحة الفرز'!J$9:J1000) + SUMIF('صفحة الفرز'!G$9:G1000, B137, 'صفحة الفرز'!N$9:N1000)) * 3
</f>
        <v>744</v>
      </c>
      <c r="D137" s="157"/>
      <c r="E137" s="157"/>
      <c r="F137" s="153" t="s">
        <v>144</v>
      </c>
      <c r="G137" s="155">
        <v>925.0</v>
      </c>
      <c r="H137" s="155">
        <f t="shared" si="2"/>
        <v>181</v>
      </c>
      <c r="N137" s="157"/>
      <c r="O137" s="157"/>
      <c r="P137" s="157"/>
      <c r="Q137" s="157"/>
      <c r="T137" s="131" t="s">
        <v>142</v>
      </c>
    </row>
    <row r="138">
      <c r="B138" s="153" t="s">
        <v>156</v>
      </c>
      <c r="C138" s="155">
        <f>(SUMIF('صفحة الفرز'!G$9:G1000, B138, 'صفحة الفرز'!J$9:J1000) + SUMIF('صفحة الفرز'!G$9:G1000, B138, 'صفحة الفرز'!N$9:N1000)) * 3
</f>
        <v>318</v>
      </c>
      <c r="D138" s="157"/>
      <c r="E138" s="157"/>
      <c r="F138" s="153" t="s">
        <v>156</v>
      </c>
      <c r="G138" s="155">
        <v>325.0</v>
      </c>
      <c r="H138" s="155">
        <f t="shared" si="2"/>
        <v>7</v>
      </c>
      <c r="N138" s="157"/>
      <c r="O138" s="157"/>
      <c r="P138" s="157"/>
      <c r="Q138" s="157"/>
      <c r="T138" s="131" t="s">
        <v>289</v>
      </c>
    </row>
    <row r="139">
      <c r="B139" s="153" t="s">
        <v>157</v>
      </c>
      <c r="C139" s="155">
        <f>(SUMIF('صفحة الفرز'!G$9:G1000, B139, 'صفحة الفرز'!J$9:J1000) + SUMIF('صفحة الفرز'!G$9:G1000, B139, 'صفحة الفرز'!N$9:N1000)) * 3
</f>
        <v>765</v>
      </c>
      <c r="D139" s="157"/>
      <c r="E139" s="157"/>
      <c r="F139" s="153" t="s">
        <v>157</v>
      </c>
      <c r="G139" s="155">
        <v>925.0</v>
      </c>
      <c r="H139" s="155">
        <f t="shared" si="2"/>
        <v>160</v>
      </c>
      <c r="N139" s="157"/>
      <c r="O139" s="157"/>
      <c r="P139" s="157"/>
      <c r="Q139" s="157"/>
      <c r="T139" s="131" t="s">
        <v>165</v>
      </c>
    </row>
    <row r="140">
      <c r="B140" s="153" t="s">
        <v>200</v>
      </c>
      <c r="C140" s="155">
        <f>(SUMIF('صفحة الفرز'!G$9:G1000, B140, 'صفحة الفرز'!J$9:J1000) + SUMIF('صفحة الفرز'!G$9:G1000, B140, 'صفحة الفرز'!N$9:N1000)) * 3
</f>
        <v>786</v>
      </c>
      <c r="D140" s="157"/>
      <c r="E140" s="157"/>
      <c r="F140" s="153" t="s">
        <v>200</v>
      </c>
      <c r="G140" s="155">
        <v>875.0</v>
      </c>
      <c r="H140" s="155">
        <f t="shared" si="2"/>
        <v>89</v>
      </c>
      <c r="N140" s="157"/>
      <c r="O140" s="157"/>
      <c r="P140" s="157"/>
      <c r="Q140" s="157"/>
      <c r="T140" s="131" t="s">
        <v>290</v>
      </c>
    </row>
    <row r="141">
      <c r="B141" s="153" t="s">
        <v>102</v>
      </c>
      <c r="C141" s="155">
        <f>(SUMIF('صفحة الفرز'!G$9:G1000, B141, 'صفحة الفرز'!J$9:J1000) + SUMIF('صفحة الفرز'!G$9:G1000, B141, 'صفحة الفرز'!N$9:N1000)) * 3
</f>
        <v>1149</v>
      </c>
      <c r="D141" s="157"/>
      <c r="E141" s="157"/>
      <c r="F141" s="153" t="s">
        <v>341</v>
      </c>
      <c r="G141" s="155">
        <v>1270.0</v>
      </c>
      <c r="H141" s="155">
        <f t="shared" si="2"/>
        <v>121</v>
      </c>
      <c r="N141" s="157"/>
      <c r="O141" s="157"/>
      <c r="P141" s="157"/>
      <c r="Q141" s="157"/>
      <c r="T141" s="131" t="s">
        <v>141</v>
      </c>
    </row>
    <row r="142">
      <c r="B142" s="153" t="s">
        <v>191</v>
      </c>
      <c r="C142" s="155">
        <f>(SUMIF('صفحة الفرز'!G$9:G1000, B142, 'صفحة الفرز'!J$9:J1000) + SUMIF('صفحة الفرز'!G$9:G1000, B142, 'صفحة الفرز'!N$9:N1000)) * 3
</f>
        <v>675</v>
      </c>
      <c r="D142" s="157"/>
      <c r="E142" s="157"/>
      <c r="F142" s="153" t="s">
        <v>191</v>
      </c>
      <c r="G142" s="155">
        <v>775.0</v>
      </c>
      <c r="H142" s="155">
        <f t="shared" si="2"/>
        <v>100</v>
      </c>
      <c r="N142" s="157"/>
      <c r="O142" s="157"/>
      <c r="P142" s="157"/>
      <c r="Q142" s="157"/>
      <c r="T142" s="131" t="s">
        <v>135</v>
      </c>
    </row>
    <row r="143">
      <c r="B143" s="153" t="s">
        <v>142</v>
      </c>
      <c r="C143" s="155">
        <f>(SUMIF('صفحة الفرز'!G$9:G1000, B143, 'صفحة الفرز'!J$9:J1000) + SUMIF('صفحة الفرز'!G$9:G1000, B143, 'صفحة الفرز'!N$9:N1000)) * 3
</f>
        <v>867</v>
      </c>
      <c r="D143" s="157"/>
      <c r="E143" s="157"/>
      <c r="F143" s="153" t="s">
        <v>342</v>
      </c>
      <c r="G143" s="155">
        <v>925.0</v>
      </c>
      <c r="H143" s="155">
        <f t="shared" si="2"/>
        <v>58</v>
      </c>
      <c r="N143" s="157"/>
      <c r="O143" s="157"/>
      <c r="P143" s="157"/>
      <c r="Q143" s="157"/>
      <c r="T143" s="131" t="s">
        <v>128</v>
      </c>
    </row>
    <row r="144">
      <c r="B144" s="153" t="s">
        <v>289</v>
      </c>
      <c r="C144" s="155">
        <f>(SUMIF('صفحة الفرز'!G$9:G1000, B144, 'صفحة الفرز'!J$9:J1000) + SUMIF('صفحة الفرز'!G$9:G1000, B144, 'صفحة الفرز'!N$9:N1000)) * 3
</f>
        <v>516</v>
      </c>
      <c r="D144" s="157"/>
      <c r="E144" s="157"/>
      <c r="F144" s="153" t="s">
        <v>343</v>
      </c>
      <c r="G144" s="155">
        <v>1075.0</v>
      </c>
      <c r="H144" s="155">
        <f t="shared" si="2"/>
        <v>559</v>
      </c>
      <c r="N144" s="157"/>
      <c r="O144" s="157"/>
      <c r="P144" s="157"/>
      <c r="Q144" s="157"/>
      <c r="T144" s="131" t="s">
        <v>127</v>
      </c>
    </row>
    <row r="145">
      <c r="B145" s="153" t="s">
        <v>165</v>
      </c>
      <c r="C145" s="155">
        <f>(SUMIF('صفحة الفرز'!G$9:G1000, B145, 'صفحة الفرز'!J$9:J1000) + SUMIF('صفحة الفرز'!G$9:G1000, B145, 'صفحة الفرز'!N$9:N1000)) * 3
</f>
        <v>924</v>
      </c>
      <c r="E145" s="157"/>
      <c r="F145" s="153" t="s">
        <v>344</v>
      </c>
      <c r="G145" s="155">
        <v>925.0</v>
      </c>
      <c r="H145" s="155">
        <f t="shared" si="2"/>
        <v>1</v>
      </c>
      <c r="N145" s="157"/>
      <c r="O145" s="157"/>
      <c r="P145" s="157"/>
      <c r="Q145" s="157"/>
      <c r="T145" s="131" t="s">
        <v>114</v>
      </c>
    </row>
    <row r="146">
      <c r="B146" s="153" t="s">
        <v>290</v>
      </c>
      <c r="C146" s="159">
        <v>900.0</v>
      </c>
      <c r="E146" s="157"/>
      <c r="F146" s="153" t="s">
        <v>345</v>
      </c>
      <c r="G146" s="155">
        <v>925.0</v>
      </c>
      <c r="H146" s="155">
        <f t="shared" si="2"/>
        <v>25</v>
      </c>
      <c r="N146" s="157"/>
      <c r="O146" s="157"/>
      <c r="P146" s="157"/>
      <c r="Q146" s="157"/>
      <c r="T146" s="131" t="s">
        <v>129</v>
      </c>
    </row>
    <row r="147">
      <c r="B147" s="153" t="s">
        <v>141</v>
      </c>
      <c r="C147" s="155">
        <f>(SUMIF('صفحة الفرز'!G$9:G1000, B147, 'صفحة الفرز'!J$9:J1000) + SUMIF('صفحة الفرز'!G$9:G1000, B147, 'صفحة الفرز'!N$9:N1000)) * 3
</f>
        <v>924</v>
      </c>
      <c r="E147" s="157"/>
      <c r="F147" s="153" t="s">
        <v>346</v>
      </c>
      <c r="G147" s="155">
        <v>925.0</v>
      </c>
      <c r="H147" s="155">
        <f t="shared" si="2"/>
        <v>1</v>
      </c>
      <c r="N147" s="157"/>
      <c r="O147" s="157"/>
      <c r="P147" s="157"/>
      <c r="Q147" s="157"/>
      <c r="T147" s="131" t="s">
        <v>245</v>
      </c>
    </row>
    <row r="148">
      <c r="B148" s="153" t="s">
        <v>135</v>
      </c>
      <c r="C148" s="155">
        <f>(SUMIF('صفحة الفرز'!G$9:G1000, B148, 'صفحة الفرز'!J$9:J1000) + SUMIF('صفحة الفرز'!G$9:G1000, B148, 'صفحة الفرز'!N$9:N1000)) * 3
</f>
        <v>924</v>
      </c>
      <c r="E148" s="157"/>
      <c r="F148" s="153" t="s">
        <v>347</v>
      </c>
      <c r="G148" s="155">
        <v>925.0</v>
      </c>
      <c r="H148" s="155">
        <f t="shared" si="2"/>
        <v>1</v>
      </c>
      <c r="N148" s="157"/>
      <c r="O148" s="157"/>
      <c r="P148" s="157"/>
      <c r="Q148" s="157"/>
      <c r="T148" s="131" t="s">
        <v>204</v>
      </c>
    </row>
    <row r="149">
      <c r="B149" s="153" t="s">
        <v>128</v>
      </c>
      <c r="C149" s="155">
        <f>(SUMIF('صفحة الفرز'!G$9:G1000, B149, 'صفحة الفرز'!J$9:J1000) + SUMIF('صفحة الفرز'!G$9:G1000, B149, 'صفحة الفرز'!N$9:N1000)) * 3
</f>
        <v>909</v>
      </c>
      <c r="E149" s="157"/>
      <c r="F149" s="153" t="s">
        <v>348</v>
      </c>
      <c r="G149" s="155">
        <v>925.0</v>
      </c>
      <c r="H149" s="155">
        <f t="shared" si="2"/>
        <v>16</v>
      </c>
      <c r="N149" s="157"/>
      <c r="O149" s="157"/>
      <c r="P149" s="157"/>
      <c r="Q149" s="157"/>
      <c r="T149" s="131" t="s">
        <v>210</v>
      </c>
    </row>
    <row r="150">
      <c r="B150" s="153" t="s">
        <v>127</v>
      </c>
      <c r="C150" s="155">
        <f>(SUMIF('صفحة الفرز'!G$9:G1000, B150, 'صفحة الفرز'!J$9:J1000) + SUMIF('صفحة الفرز'!G$9:G1000, B150, 'صفحة الفرز'!N$9:N1000)) * 3
</f>
        <v>933</v>
      </c>
      <c r="E150" s="157"/>
      <c r="F150" s="153" t="s">
        <v>349</v>
      </c>
      <c r="G150" s="155">
        <v>925.0</v>
      </c>
      <c r="H150" s="155">
        <f t="shared" si="2"/>
        <v>-8</v>
      </c>
      <c r="N150" s="157"/>
      <c r="O150" s="157"/>
      <c r="P150" s="157"/>
      <c r="Q150" s="157"/>
      <c r="T150" s="131" t="s">
        <v>207</v>
      </c>
    </row>
    <row r="151">
      <c r="B151" s="153" t="s">
        <v>114</v>
      </c>
      <c r="C151" s="155">
        <f>(SUMIF('صفحة الفرز'!G$9:G1000, B151, 'صفحة الفرز'!J$9:J1000) + SUMIF('صفحة الفرز'!G$9:G1000, B151, 'صفحة الفرز'!N$9:N1000)) * 3
</f>
        <v>924</v>
      </c>
      <c r="E151" s="157"/>
      <c r="F151" s="153" t="s">
        <v>350</v>
      </c>
      <c r="G151" s="155">
        <v>925.0</v>
      </c>
      <c r="H151" s="155">
        <f t="shared" si="2"/>
        <v>1</v>
      </c>
      <c r="N151" s="157"/>
      <c r="O151" s="157"/>
      <c r="P151" s="157"/>
      <c r="Q151" s="157"/>
      <c r="T151" s="131" t="s">
        <v>272</v>
      </c>
    </row>
    <row r="152">
      <c r="B152" s="153" t="s">
        <v>129</v>
      </c>
      <c r="C152" s="155">
        <f>(SUMIF('صفحة الفرز'!G$9:G1000, B152, 'صفحة الفرز'!J$9:J1000) + SUMIF('صفحة الفرز'!G$9:G1000, B152, 'صفحة الفرز'!N$9:N1000)) * 3
</f>
        <v>918</v>
      </c>
      <c r="E152" s="157"/>
      <c r="F152" s="153" t="s">
        <v>351</v>
      </c>
      <c r="G152" s="155">
        <v>925.0</v>
      </c>
      <c r="H152" s="155">
        <f t="shared" si="2"/>
        <v>7</v>
      </c>
      <c r="T152" s="131" t="s">
        <v>256</v>
      </c>
    </row>
    <row r="153">
      <c r="B153" s="153" t="s">
        <v>245</v>
      </c>
      <c r="C153" s="155">
        <f>(SUMIF('صفحة الفرز'!G$9:G1000, B153, 'صفحة الفرز'!J$9:J1000) + SUMIF('صفحة الفرز'!G$9:G1000, B153, 'صفحة الفرز'!N$9:N1000)) * 3
</f>
        <v>810</v>
      </c>
      <c r="E153" s="157"/>
      <c r="F153" s="153" t="s">
        <v>245</v>
      </c>
      <c r="G153" s="155">
        <v>925.0</v>
      </c>
      <c r="H153" s="155">
        <f t="shared" si="2"/>
        <v>115</v>
      </c>
      <c r="T153" s="131" t="s">
        <v>278</v>
      </c>
    </row>
    <row r="154">
      <c r="B154" s="153" t="s">
        <v>204</v>
      </c>
      <c r="C154" s="155">
        <f>(SUMIF('صفحة الفرز'!G$9:G1000, B154, 'صفحة الفرز'!J$9:J1000) + SUMIF('صفحة الفرز'!G$9:G1000, B154, 'صفحة الفرز'!N$9:N1000)) * 3
</f>
        <v>909</v>
      </c>
      <c r="E154" s="157"/>
      <c r="F154" s="153" t="s">
        <v>352</v>
      </c>
      <c r="G154" s="155">
        <v>925.0</v>
      </c>
      <c r="H154" s="155">
        <f t="shared" si="2"/>
        <v>16</v>
      </c>
      <c r="T154" s="131" t="s">
        <v>215</v>
      </c>
    </row>
    <row r="155">
      <c r="B155" s="153" t="s">
        <v>210</v>
      </c>
      <c r="C155" s="155">
        <f>(SUMIF('صفحة الفرز'!G$9:G1000, B155, 'صفحة الفرز'!J$9:J1000) + SUMIF('صفحة الفرز'!G$9:G1000, B155, 'صفحة الفرز'!N$9:N1000)) * 3
</f>
        <v>927</v>
      </c>
      <c r="E155" s="157"/>
      <c r="F155" s="153" t="s">
        <v>210</v>
      </c>
      <c r="G155" s="155">
        <v>925.0</v>
      </c>
      <c r="H155" s="155">
        <f t="shared" si="2"/>
        <v>-2</v>
      </c>
      <c r="T155" s="131" t="s">
        <v>265</v>
      </c>
    </row>
    <row r="156">
      <c r="B156" s="153" t="s">
        <v>207</v>
      </c>
      <c r="C156" s="155">
        <f>(SUMIF('صفحة الفرز'!G$9:G1000, B156, 'صفحة الفرز'!J$9:J1000) + SUMIF('صفحة الفرز'!G$9:G1000, B156, 'صفحة الفرز'!N$9:N1000)) * 3
</f>
        <v>918</v>
      </c>
      <c r="E156" s="157"/>
      <c r="F156" s="153" t="s">
        <v>353</v>
      </c>
      <c r="G156" s="155">
        <v>925.0</v>
      </c>
      <c r="H156" s="155">
        <f t="shared" si="2"/>
        <v>7</v>
      </c>
    </row>
    <row r="157">
      <c r="B157" s="153" t="s">
        <v>272</v>
      </c>
      <c r="C157" s="155">
        <f>(SUMIF('صفحة الفرز'!G$9:G1000, B157, 'صفحة الفرز'!J$9:J1000) + SUMIF('صفحة الفرز'!G$9:G1000, B157, 'صفحة الفرز'!N$9:N1000)) * 3
</f>
        <v>921</v>
      </c>
      <c r="E157" s="157"/>
      <c r="F157" s="153" t="s">
        <v>354</v>
      </c>
      <c r="G157" s="155">
        <v>925.0</v>
      </c>
      <c r="H157" s="155">
        <f t="shared" si="2"/>
        <v>4</v>
      </c>
    </row>
    <row r="158">
      <c r="B158" s="153" t="s">
        <v>256</v>
      </c>
      <c r="C158" s="155">
        <f>(SUMIF('صفحة الفرز'!G$9:G1000, B158, 'صفحة الفرز'!J$9:J1000) + SUMIF('صفحة الفرز'!G$9:G1000, B158, 'صفحة الفرز'!N$9:N1000)) * 3
</f>
        <v>918</v>
      </c>
      <c r="E158" s="157"/>
      <c r="F158" s="153" t="s">
        <v>355</v>
      </c>
      <c r="G158" s="155">
        <v>925.0</v>
      </c>
      <c r="H158" s="155">
        <f t="shared" si="2"/>
        <v>7</v>
      </c>
    </row>
    <row r="159">
      <c r="B159" s="153" t="s">
        <v>278</v>
      </c>
      <c r="C159" s="155">
        <f>(SUMIF('صفحة الفرز'!G$9:G1000, B159, 'صفحة الفرز'!J$9:J1000) + SUMIF('صفحة الفرز'!G$9:G1000, B159, 'صفحة الفرز'!N$9:N1000)) * 3
</f>
        <v>933</v>
      </c>
      <c r="E159" s="157"/>
      <c r="F159" s="153" t="s">
        <v>356</v>
      </c>
      <c r="G159" s="155">
        <v>925.0</v>
      </c>
      <c r="H159" s="155">
        <f t="shared" si="2"/>
        <v>-8</v>
      </c>
    </row>
    <row r="160">
      <c r="B160" s="153" t="s">
        <v>215</v>
      </c>
      <c r="C160" s="155">
        <f>(SUMIF('صفحة الفرز'!G$9:G1000, B160, 'صفحة الفرز'!J$9:J1000) + SUMIF('صفحة الفرز'!G$9:G1000, B160, 'صفحة الفرز'!N$9:N1000)) * 3
</f>
        <v>903</v>
      </c>
      <c r="E160" s="157"/>
      <c r="F160" s="153" t="s">
        <v>215</v>
      </c>
      <c r="G160" s="155">
        <v>925.0</v>
      </c>
      <c r="H160" s="155">
        <f t="shared" si="2"/>
        <v>22</v>
      </c>
    </row>
    <row r="161">
      <c r="B161" s="153" t="s">
        <v>265</v>
      </c>
      <c r="C161" s="155">
        <f>(SUMIF('صفحة الفرز'!G$9:G1000, B161, 'صفحة الفرز'!J$9:J1000) + SUMIF('صفحة الفرز'!G$9:G1000, B161, 'صفحة الفرز'!N$9:N1000)) * 3
</f>
        <v>927</v>
      </c>
      <c r="E161" s="157"/>
      <c r="F161" s="153" t="s">
        <v>265</v>
      </c>
      <c r="G161" s="155">
        <v>925.0</v>
      </c>
      <c r="H161" s="155">
        <f t="shared" si="2"/>
        <v>-2</v>
      </c>
    </row>
    <row r="162">
      <c r="B162" s="157"/>
      <c r="C162" s="155">
        <f>sum(C98:C161)</f>
        <v>56429.089</v>
      </c>
      <c r="E162" s="157"/>
      <c r="F162" s="157"/>
    </row>
    <row r="163">
      <c r="B163" s="157"/>
      <c r="C163" s="157"/>
      <c r="E163" s="157"/>
      <c r="F163" s="157"/>
      <c r="G163" s="157"/>
    </row>
    <row r="164">
      <c r="B164" s="157"/>
      <c r="C164" s="157">
        <f>C162*2.014</f>
        <v>113648.1852</v>
      </c>
      <c r="E164" s="157"/>
      <c r="F164" s="157"/>
      <c r="G164" s="157"/>
    </row>
    <row r="165">
      <c r="E165" s="157"/>
      <c r="F165" s="157"/>
      <c r="G165" s="157"/>
    </row>
    <row r="166">
      <c r="E166" s="157"/>
      <c r="F166" s="157"/>
      <c r="G166" s="157"/>
    </row>
    <row r="167">
      <c r="E167" s="157"/>
      <c r="F167" s="157"/>
      <c r="G167" s="157"/>
    </row>
    <row r="168">
      <c r="E168" s="157"/>
      <c r="F168" s="157"/>
      <c r="G168" s="157"/>
    </row>
    <row r="169">
      <c r="E169" s="157"/>
      <c r="F169" s="157"/>
      <c r="G169" s="157"/>
    </row>
    <row r="170">
      <c r="E170" s="157"/>
      <c r="F170" s="157"/>
      <c r="G170" s="157"/>
    </row>
    <row r="171">
      <c r="E171" s="157"/>
      <c r="F171" s="157"/>
      <c r="G171" s="157"/>
    </row>
    <row r="172">
      <c r="E172" s="157"/>
      <c r="F172" s="157"/>
      <c r="G172" s="157"/>
    </row>
    <row r="173">
      <c r="E173" s="157"/>
      <c r="F173" s="157"/>
      <c r="G173" s="157"/>
    </row>
    <row r="174">
      <c r="E174" s="157"/>
      <c r="F174" s="157"/>
      <c r="G174" s="157"/>
    </row>
    <row r="175">
      <c r="E175" s="157"/>
      <c r="F175" s="157"/>
      <c r="G175" s="157"/>
    </row>
    <row r="176">
      <c r="E176" s="157"/>
      <c r="F176" s="157"/>
      <c r="G176" s="157"/>
    </row>
    <row r="177">
      <c r="E177" s="157"/>
      <c r="F177" s="157"/>
      <c r="G177" s="157"/>
    </row>
    <row r="178">
      <c r="E178" s="157"/>
      <c r="F178" s="157"/>
      <c r="G178" s="157"/>
    </row>
    <row r="179">
      <c r="E179" s="157"/>
      <c r="F179" s="157"/>
      <c r="G179" s="157"/>
    </row>
    <row r="180">
      <c r="E180" s="157"/>
      <c r="F180" s="157"/>
      <c r="G180" s="157"/>
    </row>
    <row r="181">
      <c r="E181" s="157"/>
      <c r="F181" s="157"/>
      <c r="G181" s="157"/>
    </row>
    <row r="182">
      <c r="E182" s="157"/>
      <c r="F182" s="157"/>
      <c r="G182" s="157"/>
    </row>
    <row r="183">
      <c r="E183" s="157"/>
      <c r="F183" s="157"/>
      <c r="G183" s="157"/>
    </row>
    <row r="184">
      <c r="E184" s="157"/>
      <c r="F184" s="157"/>
      <c r="G184" s="157"/>
    </row>
    <row r="185">
      <c r="E185" s="157"/>
      <c r="F185" s="157"/>
      <c r="G185" s="157"/>
    </row>
    <row r="186">
      <c r="E186" s="157"/>
      <c r="F186" s="157"/>
      <c r="G186" s="157"/>
    </row>
    <row r="187">
      <c r="E187" s="157"/>
      <c r="F187" s="157"/>
      <c r="G187" s="157"/>
    </row>
    <row r="188">
      <c r="E188" s="157"/>
      <c r="F188" s="157"/>
      <c r="G188" s="157"/>
    </row>
    <row r="189">
      <c r="E189" s="157"/>
      <c r="F189" s="157"/>
      <c r="G189" s="157"/>
    </row>
    <row r="190">
      <c r="E190" s="157"/>
      <c r="F190" s="157"/>
      <c r="G190" s="157"/>
    </row>
    <row r="191">
      <c r="E191" s="157"/>
      <c r="F191" s="157"/>
      <c r="G191" s="157"/>
    </row>
    <row r="192">
      <c r="E192" s="157"/>
      <c r="F192" s="157"/>
      <c r="G192" s="157"/>
    </row>
    <row r="193">
      <c r="E193" s="157"/>
      <c r="F193" s="157"/>
      <c r="G193" s="157"/>
    </row>
    <row r="194">
      <c r="E194" s="157"/>
      <c r="F194" s="157"/>
      <c r="G194" s="157"/>
    </row>
    <row r="195">
      <c r="E195" s="157"/>
      <c r="F195" s="157"/>
      <c r="G195" s="157"/>
    </row>
    <row r="196">
      <c r="E196" s="157"/>
      <c r="F196" s="157"/>
      <c r="G196" s="157"/>
    </row>
    <row r="197">
      <c r="E197" s="157"/>
      <c r="F197" s="157"/>
      <c r="G197" s="157"/>
    </row>
    <row r="198">
      <c r="E198" s="157"/>
      <c r="F198" s="157"/>
      <c r="G198" s="157"/>
    </row>
    <row r="199">
      <c r="E199" s="157"/>
      <c r="F199" s="157"/>
      <c r="G199" s="157"/>
    </row>
    <row r="200">
      <c r="E200" s="157"/>
      <c r="F200" s="157"/>
      <c r="G200" s="157"/>
    </row>
    <row r="201">
      <c r="E201" s="157"/>
      <c r="F201" s="157"/>
      <c r="G201" s="157"/>
    </row>
    <row r="202">
      <c r="E202" s="157"/>
      <c r="F202" s="157"/>
      <c r="G202" s="157"/>
    </row>
    <row r="203">
      <c r="E203" s="157"/>
      <c r="F203" s="157"/>
      <c r="G203" s="157"/>
    </row>
    <row r="204">
      <c r="E204" s="157"/>
      <c r="F204" s="157"/>
      <c r="G204" s="157"/>
    </row>
    <row r="205">
      <c r="E205" s="157"/>
      <c r="F205" s="157"/>
      <c r="G205" s="157"/>
    </row>
    <row r="206">
      <c r="E206" s="157"/>
      <c r="F206" s="157"/>
      <c r="G206" s="157"/>
    </row>
    <row r="207">
      <c r="E207" s="157"/>
      <c r="F207" s="157"/>
      <c r="G207" s="157"/>
    </row>
    <row r="208">
      <c r="E208" s="157"/>
      <c r="F208" s="157"/>
      <c r="G208" s="157"/>
    </row>
    <row r="209">
      <c r="E209" s="157"/>
      <c r="F209" s="157"/>
      <c r="G209" s="157"/>
    </row>
    <row r="210">
      <c r="E210" s="157"/>
      <c r="F210" s="157"/>
      <c r="G210" s="157"/>
    </row>
    <row r="211">
      <c r="E211" s="157"/>
      <c r="F211" s="157"/>
      <c r="G211" s="157"/>
    </row>
    <row r="212">
      <c r="E212" s="157"/>
      <c r="F212" s="157"/>
      <c r="G212" s="157"/>
    </row>
    <row r="213">
      <c r="E213" s="157"/>
      <c r="F213" s="157"/>
      <c r="G213" s="157"/>
    </row>
    <row r="214">
      <c r="E214" s="157"/>
      <c r="F214" s="157"/>
      <c r="G214" s="157"/>
    </row>
    <row r="215">
      <c r="E215" s="157"/>
      <c r="F215" s="157"/>
      <c r="G215" s="157"/>
    </row>
    <row r="216">
      <c r="E216" s="157"/>
      <c r="F216" s="157"/>
      <c r="G216" s="157"/>
    </row>
    <row r="217">
      <c r="E217" s="157"/>
      <c r="F217" s="157"/>
      <c r="G217" s="157"/>
    </row>
    <row r="218">
      <c r="E218" s="157"/>
      <c r="F218" s="157"/>
      <c r="G218" s="157"/>
    </row>
    <row r="219">
      <c r="E219" s="157"/>
      <c r="F219" s="157"/>
      <c r="G219" s="157"/>
    </row>
    <row r="220">
      <c r="E220" s="157"/>
      <c r="F220" s="157"/>
      <c r="G220" s="157"/>
    </row>
    <row r="221">
      <c r="E221" s="157"/>
      <c r="F221" s="157"/>
      <c r="G221" s="157"/>
    </row>
    <row r="222">
      <c r="E222" s="157"/>
      <c r="F222" s="157"/>
      <c r="G222" s="157"/>
    </row>
    <row r="223">
      <c r="E223" s="157"/>
      <c r="F223" s="157"/>
      <c r="G223" s="157"/>
    </row>
    <row r="224">
      <c r="E224" s="157"/>
      <c r="F224" s="157"/>
      <c r="G224" s="157"/>
    </row>
    <row r="225">
      <c r="E225" s="157"/>
      <c r="F225" s="157"/>
      <c r="G225" s="157"/>
    </row>
    <row r="226">
      <c r="E226" s="157"/>
      <c r="F226" s="157"/>
      <c r="G226" s="157"/>
    </row>
    <row r="227">
      <c r="E227" s="157"/>
      <c r="F227" s="157"/>
      <c r="G227" s="157"/>
    </row>
    <row r="228">
      <c r="E228" s="157"/>
      <c r="F228" s="157"/>
      <c r="G228" s="157"/>
    </row>
    <row r="229">
      <c r="E229" s="157"/>
      <c r="F229" s="157"/>
      <c r="G229" s="157"/>
    </row>
    <row r="230">
      <c r="E230" s="157"/>
      <c r="F230" s="157"/>
      <c r="G230" s="157"/>
    </row>
    <row r="231">
      <c r="E231" s="157"/>
      <c r="F231" s="157"/>
      <c r="G231" s="157"/>
    </row>
    <row r="232">
      <c r="E232" s="157"/>
      <c r="F232" s="157"/>
      <c r="G232" s="157"/>
    </row>
    <row r="233">
      <c r="E233" s="157"/>
      <c r="F233" s="157"/>
      <c r="G233" s="157"/>
    </row>
    <row r="234">
      <c r="E234" s="157"/>
      <c r="F234" s="157"/>
      <c r="G234" s="157"/>
    </row>
    <row r="235">
      <c r="E235" s="157"/>
      <c r="F235" s="157"/>
      <c r="G235" s="157"/>
    </row>
    <row r="236">
      <c r="E236" s="157"/>
      <c r="F236" s="157"/>
      <c r="G236" s="157"/>
    </row>
    <row r="237">
      <c r="E237" s="157"/>
      <c r="F237" s="157"/>
      <c r="G237" s="157"/>
    </row>
    <row r="238">
      <c r="E238" s="157"/>
      <c r="F238" s="157"/>
      <c r="G238" s="157"/>
    </row>
    <row r="239">
      <c r="E239" s="157"/>
      <c r="F239" s="157"/>
      <c r="G239" s="157"/>
    </row>
    <row r="240">
      <c r="E240" s="157"/>
      <c r="F240" s="157"/>
      <c r="G240" s="157"/>
    </row>
    <row r="241">
      <c r="E241" s="157"/>
      <c r="F241" s="157"/>
      <c r="G241" s="157"/>
    </row>
    <row r="242">
      <c r="E242" s="157"/>
      <c r="F242" s="157"/>
      <c r="G242" s="157"/>
    </row>
    <row r="243">
      <c r="E243" s="157"/>
      <c r="F243" s="157"/>
      <c r="G243" s="157"/>
    </row>
    <row r="244">
      <c r="E244" s="157"/>
      <c r="F244" s="157"/>
      <c r="G244" s="157"/>
    </row>
    <row r="245">
      <c r="E245" s="157"/>
      <c r="F245" s="157"/>
      <c r="G245" s="157"/>
    </row>
    <row r="246">
      <c r="E246" s="157"/>
      <c r="F246" s="157"/>
      <c r="G246" s="157"/>
    </row>
    <row r="247">
      <c r="E247" s="157"/>
      <c r="F247" s="157"/>
      <c r="G247" s="157"/>
    </row>
    <row r="248">
      <c r="E248" s="157"/>
      <c r="F248" s="157"/>
      <c r="G248" s="157"/>
    </row>
    <row r="249">
      <c r="E249" s="157"/>
      <c r="F249" s="157"/>
      <c r="G249" s="157"/>
    </row>
    <row r="250">
      <c r="E250" s="157"/>
      <c r="F250" s="157"/>
      <c r="G250" s="157"/>
    </row>
    <row r="251">
      <c r="E251" s="157"/>
      <c r="F251" s="157"/>
      <c r="G251" s="157"/>
    </row>
    <row r="252">
      <c r="E252" s="157"/>
      <c r="F252" s="157"/>
      <c r="G252" s="157"/>
    </row>
    <row r="253">
      <c r="E253" s="157"/>
      <c r="F253" s="157"/>
      <c r="G253" s="157"/>
    </row>
    <row r="254">
      <c r="E254" s="157"/>
      <c r="F254" s="157"/>
      <c r="G254" s="157"/>
    </row>
    <row r="255">
      <c r="E255" s="157"/>
      <c r="F255" s="157"/>
      <c r="G255" s="157"/>
    </row>
    <row r="256">
      <c r="E256" s="157"/>
      <c r="F256" s="157"/>
      <c r="G256" s="157"/>
    </row>
    <row r="257">
      <c r="E257" s="157"/>
      <c r="F257" s="157"/>
      <c r="G257" s="157"/>
    </row>
    <row r="258">
      <c r="E258" s="157"/>
      <c r="F258" s="157"/>
      <c r="G258" s="157"/>
    </row>
    <row r="259">
      <c r="E259" s="157"/>
      <c r="F259" s="157"/>
      <c r="G259" s="157"/>
    </row>
    <row r="260">
      <c r="E260" s="157"/>
      <c r="F260" s="157"/>
      <c r="G260" s="157"/>
    </row>
    <row r="261">
      <c r="E261" s="157"/>
      <c r="F261" s="157"/>
      <c r="G261" s="157"/>
    </row>
    <row r="262">
      <c r="E262" s="157"/>
      <c r="F262" s="157"/>
      <c r="G262" s="157"/>
    </row>
    <row r="263">
      <c r="E263" s="157"/>
      <c r="F263" s="157"/>
      <c r="G263" s="157"/>
    </row>
    <row r="264">
      <c r="E264" s="157"/>
      <c r="F264" s="157"/>
      <c r="G264" s="157"/>
    </row>
    <row r="265">
      <c r="E265" s="157"/>
      <c r="F265" s="157"/>
      <c r="G265" s="157"/>
    </row>
    <row r="266">
      <c r="E266" s="157"/>
      <c r="F266" s="157"/>
      <c r="G266" s="157"/>
    </row>
    <row r="267">
      <c r="E267" s="157"/>
      <c r="F267" s="157"/>
      <c r="G267" s="157"/>
    </row>
    <row r="268">
      <c r="E268" s="157"/>
      <c r="F268" s="157"/>
      <c r="G268" s="157"/>
    </row>
    <row r="269">
      <c r="E269" s="157"/>
      <c r="F269" s="157"/>
      <c r="G269" s="157"/>
    </row>
    <row r="270">
      <c r="E270" s="157"/>
      <c r="F270" s="157"/>
      <c r="G270" s="157"/>
    </row>
    <row r="271">
      <c r="E271" s="157"/>
      <c r="F271" s="157"/>
      <c r="G271" s="157"/>
    </row>
    <row r="272">
      <c r="E272" s="157"/>
      <c r="F272" s="157"/>
      <c r="G272" s="157"/>
    </row>
    <row r="273">
      <c r="E273" s="157"/>
      <c r="F273" s="157"/>
      <c r="G273" s="157"/>
    </row>
    <row r="274">
      <c r="E274" s="157"/>
      <c r="F274" s="157"/>
      <c r="G274" s="157"/>
    </row>
    <row r="275">
      <c r="E275" s="157"/>
      <c r="F275" s="157"/>
      <c r="G275" s="157"/>
    </row>
    <row r="276">
      <c r="E276" s="157"/>
      <c r="F276" s="157"/>
      <c r="G276" s="157"/>
    </row>
    <row r="277">
      <c r="E277" s="157"/>
      <c r="F277" s="157"/>
      <c r="G277" s="157"/>
    </row>
    <row r="278">
      <c r="E278" s="157"/>
      <c r="F278" s="157"/>
      <c r="G278" s="157"/>
    </row>
    <row r="279">
      <c r="E279" s="157"/>
      <c r="F279" s="157"/>
      <c r="G279" s="157"/>
    </row>
    <row r="280">
      <c r="E280" s="157"/>
      <c r="F280" s="157"/>
      <c r="G280" s="157"/>
    </row>
    <row r="281">
      <c r="E281" s="157"/>
      <c r="F281" s="157"/>
      <c r="G281" s="157"/>
    </row>
    <row r="282">
      <c r="E282" s="157"/>
      <c r="F282" s="157"/>
      <c r="G282" s="157"/>
    </row>
    <row r="283">
      <c r="E283" s="157"/>
      <c r="F283" s="157"/>
      <c r="G283" s="157"/>
    </row>
    <row r="284">
      <c r="E284" s="157"/>
      <c r="F284" s="157"/>
      <c r="G284" s="157"/>
    </row>
    <row r="285">
      <c r="E285" s="157"/>
      <c r="F285" s="157"/>
      <c r="G285" s="157"/>
    </row>
    <row r="286">
      <c r="E286" s="157"/>
      <c r="F286" s="157"/>
      <c r="G286" s="157"/>
    </row>
    <row r="287">
      <c r="E287" s="157"/>
      <c r="F287" s="157"/>
      <c r="G287" s="157"/>
    </row>
    <row r="288">
      <c r="E288" s="157"/>
      <c r="F288" s="157"/>
      <c r="G288" s="157"/>
    </row>
    <row r="289">
      <c r="E289" s="157"/>
      <c r="F289" s="157"/>
      <c r="G289" s="157"/>
    </row>
    <row r="290">
      <c r="E290" s="157"/>
      <c r="F290" s="157"/>
      <c r="G290" s="157"/>
    </row>
    <row r="291">
      <c r="E291" s="157"/>
      <c r="F291" s="157"/>
      <c r="G291" s="157"/>
    </row>
    <row r="292">
      <c r="E292" s="157"/>
      <c r="F292" s="157"/>
      <c r="G292" s="157"/>
    </row>
    <row r="293">
      <c r="E293" s="157"/>
      <c r="F293" s="157"/>
      <c r="G293" s="157"/>
    </row>
    <row r="294">
      <c r="E294" s="157"/>
      <c r="F294" s="157"/>
      <c r="G294" s="157"/>
    </row>
    <row r="295">
      <c r="E295" s="157"/>
      <c r="F295" s="157"/>
      <c r="G295" s="157"/>
    </row>
    <row r="296">
      <c r="E296" s="157"/>
      <c r="F296" s="157"/>
      <c r="G296" s="157"/>
    </row>
    <row r="297">
      <c r="E297" s="157"/>
      <c r="F297" s="157"/>
      <c r="G297" s="157"/>
    </row>
    <row r="298">
      <c r="E298" s="157"/>
      <c r="F298" s="157"/>
      <c r="G298" s="157"/>
    </row>
    <row r="299">
      <c r="E299" s="157"/>
      <c r="F299" s="157"/>
      <c r="G299" s="157"/>
    </row>
    <row r="300">
      <c r="E300" s="157"/>
      <c r="F300" s="157"/>
      <c r="G300" s="157"/>
    </row>
    <row r="301">
      <c r="E301" s="157"/>
      <c r="F301" s="157"/>
      <c r="G301" s="157"/>
    </row>
    <row r="302">
      <c r="E302" s="157"/>
      <c r="F302" s="157"/>
      <c r="G302" s="157"/>
    </row>
    <row r="303">
      <c r="E303" s="157"/>
      <c r="F303" s="157"/>
      <c r="G303" s="157"/>
    </row>
    <row r="304">
      <c r="E304" s="157"/>
      <c r="F304" s="157"/>
      <c r="G304" s="157"/>
    </row>
    <row r="305">
      <c r="E305" s="157"/>
      <c r="F305" s="157"/>
      <c r="G305" s="157"/>
    </row>
    <row r="306">
      <c r="E306" s="157"/>
      <c r="F306" s="157"/>
      <c r="G306" s="157"/>
    </row>
    <row r="307">
      <c r="E307" s="157"/>
      <c r="F307" s="157"/>
      <c r="G307" s="157"/>
    </row>
    <row r="308">
      <c r="E308" s="157"/>
      <c r="F308" s="157"/>
      <c r="G308" s="157"/>
    </row>
    <row r="309">
      <c r="E309" s="157"/>
      <c r="F309" s="157"/>
      <c r="G309" s="157"/>
    </row>
    <row r="310">
      <c r="E310" s="157"/>
      <c r="F310" s="157"/>
      <c r="G310" s="157"/>
    </row>
    <row r="311">
      <c r="E311" s="157"/>
      <c r="F311" s="157"/>
      <c r="G311" s="157"/>
    </row>
    <row r="312">
      <c r="E312" s="157"/>
      <c r="F312" s="157"/>
      <c r="G312" s="157"/>
    </row>
    <row r="313">
      <c r="E313" s="157"/>
      <c r="F313" s="157"/>
      <c r="G313" s="157"/>
    </row>
    <row r="314">
      <c r="E314" s="157"/>
      <c r="F314" s="157"/>
      <c r="G314" s="157"/>
    </row>
    <row r="315">
      <c r="E315" s="157"/>
      <c r="F315" s="157"/>
      <c r="G315" s="157"/>
    </row>
    <row r="316">
      <c r="E316" s="157"/>
      <c r="F316" s="157"/>
      <c r="G316" s="157"/>
    </row>
    <row r="317">
      <c r="E317" s="157"/>
      <c r="F317" s="157"/>
      <c r="G317" s="157"/>
    </row>
    <row r="318">
      <c r="E318" s="157"/>
      <c r="F318" s="157"/>
      <c r="G318" s="157"/>
    </row>
    <row r="319">
      <c r="E319" s="157"/>
      <c r="F319" s="157"/>
      <c r="G319" s="157"/>
    </row>
    <row r="320">
      <c r="E320" s="157"/>
      <c r="F320" s="157"/>
      <c r="G320" s="157"/>
    </row>
    <row r="321">
      <c r="E321" s="157"/>
      <c r="F321" s="157"/>
      <c r="G321" s="157"/>
    </row>
    <row r="322">
      <c r="E322" s="157"/>
      <c r="F322" s="157"/>
      <c r="G322" s="157"/>
    </row>
    <row r="323">
      <c r="E323" s="157"/>
      <c r="F323" s="157"/>
      <c r="G323" s="157"/>
    </row>
    <row r="324">
      <c r="E324" s="157"/>
      <c r="F324" s="157"/>
      <c r="G324" s="157"/>
    </row>
    <row r="325">
      <c r="E325" s="157"/>
      <c r="F325" s="157"/>
      <c r="G325" s="157"/>
    </row>
    <row r="326">
      <c r="E326" s="157"/>
      <c r="F326" s="157"/>
      <c r="G326" s="157"/>
    </row>
    <row r="327">
      <c r="E327" s="157"/>
      <c r="F327" s="157"/>
      <c r="G327" s="157"/>
    </row>
    <row r="328">
      <c r="E328" s="157"/>
      <c r="F328" s="157"/>
      <c r="G328" s="157"/>
    </row>
    <row r="329">
      <c r="E329" s="157"/>
      <c r="F329" s="157"/>
      <c r="G329" s="157"/>
    </row>
    <row r="330">
      <c r="E330" s="157"/>
      <c r="F330" s="157"/>
      <c r="G330" s="157"/>
    </row>
    <row r="331">
      <c r="E331" s="157"/>
      <c r="F331" s="157"/>
      <c r="G331" s="157"/>
    </row>
    <row r="332">
      <c r="E332" s="157"/>
      <c r="F332" s="157"/>
      <c r="G332" s="157"/>
    </row>
    <row r="333">
      <c r="E333" s="157"/>
      <c r="F333" s="157"/>
      <c r="G333" s="157"/>
    </row>
    <row r="334">
      <c r="E334" s="157"/>
      <c r="F334" s="157"/>
      <c r="G334" s="157"/>
    </row>
    <row r="335">
      <c r="E335" s="157"/>
      <c r="F335" s="157"/>
      <c r="G335" s="157"/>
    </row>
    <row r="336">
      <c r="E336" s="157"/>
      <c r="F336" s="157"/>
      <c r="G336" s="157"/>
    </row>
    <row r="337">
      <c r="E337" s="157"/>
      <c r="F337" s="157"/>
      <c r="G337" s="157"/>
    </row>
    <row r="338">
      <c r="E338" s="157"/>
      <c r="F338" s="157"/>
      <c r="G338" s="157"/>
    </row>
    <row r="339">
      <c r="E339" s="157"/>
      <c r="F339" s="157"/>
      <c r="G339" s="157"/>
    </row>
    <row r="340">
      <c r="E340" s="157"/>
      <c r="F340" s="157"/>
      <c r="G340" s="157"/>
    </row>
    <row r="341">
      <c r="E341" s="157"/>
      <c r="F341" s="157"/>
      <c r="G341" s="157"/>
    </row>
    <row r="342">
      <c r="E342" s="157"/>
      <c r="F342" s="157"/>
      <c r="G342" s="157"/>
    </row>
    <row r="343">
      <c r="E343" s="157"/>
      <c r="F343" s="157"/>
      <c r="G343" s="157"/>
    </row>
    <row r="344">
      <c r="E344" s="157"/>
      <c r="F344" s="157"/>
      <c r="G344" s="157"/>
    </row>
    <row r="345">
      <c r="E345" s="157"/>
      <c r="F345" s="157"/>
      <c r="G345" s="157"/>
    </row>
    <row r="346">
      <c r="E346" s="157"/>
      <c r="F346" s="157"/>
      <c r="G346" s="157"/>
    </row>
    <row r="347">
      <c r="E347" s="157"/>
      <c r="F347" s="157"/>
      <c r="G347" s="157"/>
    </row>
    <row r="348">
      <c r="E348" s="157"/>
      <c r="F348" s="157"/>
      <c r="G348" s="157"/>
    </row>
    <row r="349">
      <c r="E349" s="157"/>
      <c r="F349" s="157"/>
      <c r="G349" s="157"/>
    </row>
    <row r="350">
      <c r="E350" s="157"/>
      <c r="F350" s="157"/>
      <c r="G350" s="157"/>
    </row>
    <row r="351">
      <c r="E351" s="157"/>
      <c r="F351" s="157"/>
      <c r="G351" s="157"/>
    </row>
    <row r="352">
      <c r="E352" s="157"/>
      <c r="F352" s="157"/>
      <c r="G352" s="157"/>
    </row>
    <row r="353">
      <c r="E353" s="157"/>
      <c r="F353" s="157"/>
      <c r="G353" s="157"/>
    </row>
    <row r="354">
      <c r="E354" s="157"/>
      <c r="F354" s="157"/>
      <c r="G354" s="157"/>
    </row>
    <row r="355">
      <c r="E355" s="157"/>
      <c r="F355" s="157"/>
      <c r="G355" s="157"/>
    </row>
    <row r="356">
      <c r="E356" s="157"/>
      <c r="F356" s="157"/>
      <c r="G356" s="157"/>
    </row>
    <row r="357">
      <c r="E357" s="157"/>
      <c r="F357" s="157"/>
      <c r="G357" s="157"/>
    </row>
    <row r="358">
      <c r="E358" s="157"/>
      <c r="F358" s="157"/>
      <c r="G358" s="157"/>
    </row>
    <row r="359">
      <c r="E359" s="157"/>
      <c r="F359" s="157"/>
      <c r="G359" s="157"/>
    </row>
    <row r="360">
      <c r="E360" s="157"/>
      <c r="F360" s="157"/>
      <c r="G360" s="157"/>
    </row>
    <row r="361">
      <c r="E361" s="157"/>
      <c r="F361" s="157"/>
      <c r="G361" s="157"/>
    </row>
    <row r="362">
      <c r="E362" s="157"/>
      <c r="F362" s="157"/>
      <c r="G362" s="157"/>
    </row>
    <row r="363">
      <c r="E363" s="157"/>
      <c r="F363" s="157"/>
      <c r="G363" s="157"/>
    </row>
    <row r="364">
      <c r="E364" s="157"/>
      <c r="F364" s="157"/>
      <c r="G364" s="157"/>
    </row>
    <row r="365">
      <c r="E365" s="157"/>
      <c r="F365" s="157"/>
      <c r="G365" s="157"/>
    </row>
    <row r="366">
      <c r="E366" s="157"/>
      <c r="F366" s="157"/>
      <c r="G366" s="157"/>
    </row>
    <row r="367">
      <c r="E367" s="157"/>
      <c r="F367" s="157"/>
      <c r="G367" s="157"/>
    </row>
    <row r="368">
      <c r="E368" s="157"/>
      <c r="F368" s="157"/>
      <c r="G368" s="157"/>
    </row>
    <row r="369">
      <c r="E369" s="157"/>
      <c r="F369" s="157"/>
      <c r="G369" s="157"/>
    </row>
    <row r="370">
      <c r="E370" s="157"/>
      <c r="F370" s="157"/>
      <c r="G370" s="157"/>
    </row>
    <row r="371">
      <c r="E371" s="157"/>
      <c r="F371" s="157"/>
      <c r="G371" s="157"/>
    </row>
    <row r="372">
      <c r="E372" s="157"/>
      <c r="F372" s="157"/>
      <c r="G372" s="157"/>
    </row>
    <row r="373">
      <c r="E373" s="157"/>
      <c r="F373" s="157"/>
      <c r="G373" s="157"/>
    </row>
    <row r="374">
      <c r="E374" s="157"/>
      <c r="F374" s="157"/>
      <c r="G374" s="157"/>
    </row>
    <row r="375">
      <c r="E375" s="157"/>
      <c r="F375" s="157"/>
      <c r="G375" s="157"/>
    </row>
    <row r="376">
      <c r="E376" s="157"/>
      <c r="F376" s="157"/>
      <c r="G376" s="157"/>
    </row>
    <row r="377">
      <c r="E377" s="157"/>
      <c r="F377" s="157"/>
      <c r="G377" s="157"/>
    </row>
    <row r="378">
      <c r="E378" s="157"/>
      <c r="F378" s="157"/>
      <c r="G378" s="157"/>
    </row>
    <row r="379">
      <c r="E379" s="157"/>
      <c r="F379" s="157"/>
      <c r="G379" s="157"/>
    </row>
    <row r="380">
      <c r="E380" s="157"/>
      <c r="F380" s="157"/>
      <c r="G380" s="157"/>
    </row>
    <row r="381">
      <c r="E381" s="157"/>
      <c r="F381" s="157"/>
      <c r="G381" s="157"/>
    </row>
    <row r="382">
      <c r="E382" s="157"/>
      <c r="F382" s="157"/>
      <c r="G382" s="157"/>
    </row>
    <row r="383">
      <c r="E383" s="157"/>
      <c r="F383" s="157"/>
      <c r="G383" s="157"/>
    </row>
    <row r="384">
      <c r="E384" s="157"/>
      <c r="F384" s="157"/>
      <c r="G384" s="157"/>
    </row>
    <row r="385">
      <c r="E385" s="157"/>
      <c r="F385" s="157"/>
      <c r="G385" s="157"/>
    </row>
    <row r="386">
      <c r="E386" s="157"/>
      <c r="F386" s="157"/>
      <c r="G386" s="157"/>
    </row>
    <row r="387">
      <c r="E387" s="157"/>
      <c r="F387" s="157"/>
      <c r="G387" s="157"/>
    </row>
    <row r="388">
      <c r="E388" s="157"/>
      <c r="F388" s="157"/>
      <c r="G388" s="157"/>
    </row>
    <row r="389">
      <c r="E389" s="157"/>
      <c r="F389" s="157"/>
      <c r="G389" s="157"/>
    </row>
    <row r="390">
      <c r="E390" s="157"/>
      <c r="F390" s="157"/>
      <c r="G390" s="157"/>
    </row>
    <row r="391">
      <c r="E391" s="157"/>
      <c r="F391" s="157"/>
      <c r="G391" s="157"/>
    </row>
    <row r="392">
      <c r="E392" s="157"/>
      <c r="F392" s="157"/>
      <c r="G392" s="157"/>
    </row>
    <row r="393">
      <c r="E393" s="157"/>
      <c r="F393" s="157"/>
      <c r="G393" s="157"/>
    </row>
    <row r="394">
      <c r="E394" s="157"/>
      <c r="F394" s="157"/>
      <c r="G394" s="157"/>
    </row>
    <row r="395">
      <c r="E395" s="157"/>
      <c r="F395" s="157"/>
      <c r="G395" s="157"/>
    </row>
    <row r="396">
      <c r="E396" s="157"/>
      <c r="F396" s="157"/>
      <c r="G396" s="157"/>
    </row>
    <row r="397">
      <c r="E397" s="157"/>
      <c r="F397" s="157"/>
      <c r="G397" s="157"/>
    </row>
    <row r="398">
      <c r="E398" s="157"/>
      <c r="F398" s="157"/>
      <c r="G398" s="157"/>
    </row>
    <row r="399">
      <c r="E399" s="157"/>
      <c r="F399" s="157"/>
      <c r="G399" s="157"/>
    </row>
    <row r="400">
      <c r="E400" s="157"/>
      <c r="F400" s="157"/>
      <c r="G400" s="157"/>
    </row>
    <row r="401">
      <c r="E401" s="157"/>
      <c r="F401" s="157"/>
      <c r="G401" s="157"/>
    </row>
    <row r="402">
      <c r="E402" s="157"/>
      <c r="F402" s="157"/>
      <c r="G402" s="157"/>
    </row>
    <row r="403">
      <c r="E403" s="157"/>
      <c r="F403" s="157"/>
      <c r="G403" s="157"/>
    </row>
    <row r="404">
      <c r="E404" s="157"/>
      <c r="F404" s="157"/>
      <c r="G404" s="157"/>
    </row>
    <row r="405">
      <c r="E405" s="157"/>
      <c r="F405" s="157"/>
      <c r="G405" s="157"/>
    </row>
    <row r="406">
      <c r="E406" s="157"/>
      <c r="F406" s="157"/>
      <c r="G406" s="157"/>
    </row>
    <row r="407">
      <c r="E407" s="157"/>
      <c r="F407" s="157"/>
      <c r="G407" s="157"/>
    </row>
    <row r="408">
      <c r="E408" s="157"/>
      <c r="F408" s="157"/>
      <c r="G408" s="157"/>
    </row>
    <row r="409">
      <c r="E409" s="157"/>
      <c r="F409" s="157"/>
      <c r="G409" s="157"/>
    </row>
    <row r="410">
      <c r="E410" s="157"/>
      <c r="F410" s="157"/>
      <c r="G410" s="157"/>
    </row>
    <row r="411">
      <c r="E411" s="157"/>
      <c r="F411" s="157"/>
      <c r="G411" s="157"/>
    </row>
    <row r="412">
      <c r="E412" s="157"/>
      <c r="F412" s="157"/>
      <c r="G412" s="157"/>
    </row>
    <row r="413">
      <c r="E413" s="157"/>
      <c r="F413" s="157"/>
      <c r="G413" s="157"/>
    </row>
    <row r="414">
      <c r="E414" s="157"/>
      <c r="F414" s="157"/>
      <c r="G414" s="157"/>
    </row>
    <row r="415">
      <c r="E415" s="157"/>
      <c r="F415" s="157"/>
      <c r="G415" s="157"/>
    </row>
    <row r="416">
      <c r="E416" s="157"/>
      <c r="F416" s="157"/>
      <c r="G416" s="157"/>
    </row>
    <row r="417">
      <c r="E417" s="157"/>
      <c r="F417" s="157"/>
      <c r="G417" s="157"/>
    </row>
    <row r="418">
      <c r="E418" s="157"/>
      <c r="F418" s="157"/>
      <c r="G418" s="157"/>
    </row>
    <row r="419">
      <c r="E419" s="157"/>
      <c r="F419" s="157"/>
      <c r="G419" s="157"/>
    </row>
    <row r="420">
      <c r="E420" s="157"/>
      <c r="F420" s="157"/>
      <c r="G420" s="157"/>
    </row>
    <row r="421">
      <c r="E421" s="157"/>
      <c r="F421" s="157"/>
      <c r="G421" s="157"/>
    </row>
    <row r="422">
      <c r="E422" s="157"/>
      <c r="F422" s="157"/>
      <c r="G422" s="157"/>
    </row>
    <row r="423">
      <c r="E423" s="157"/>
      <c r="F423" s="157"/>
      <c r="G423" s="157"/>
    </row>
    <row r="424">
      <c r="E424" s="157"/>
      <c r="F424" s="157"/>
      <c r="G424" s="157"/>
    </row>
    <row r="425">
      <c r="E425" s="157"/>
      <c r="F425" s="157"/>
      <c r="G425" s="157"/>
    </row>
    <row r="426">
      <c r="E426" s="157"/>
      <c r="F426" s="157"/>
      <c r="G426" s="157"/>
    </row>
    <row r="427">
      <c r="E427" s="157"/>
      <c r="F427" s="157"/>
      <c r="G427" s="157"/>
    </row>
    <row r="428">
      <c r="E428" s="157"/>
      <c r="F428" s="157"/>
      <c r="G428" s="157"/>
    </row>
    <row r="429">
      <c r="E429" s="157"/>
      <c r="F429" s="157"/>
      <c r="G429" s="157"/>
    </row>
    <row r="430">
      <c r="E430" s="157"/>
      <c r="F430" s="157"/>
      <c r="G430" s="157"/>
    </row>
    <row r="431">
      <c r="E431" s="157"/>
      <c r="F431" s="157"/>
      <c r="G431" s="157"/>
    </row>
    <row r="432">
      <c r="E432" s="157"/>
      <c r="F432" s="157"/>
      <c r="G432" s="157"/>
    </row>
    <row r="433">
      <c r="E433" s="157"/>
      <c r="F433" s="157"/>
      <c r="G433" s="157"/>
    </row>
    <row r="434">
      <c r="E434" s="157"/>
      <c r="F434" s="157"/>
      <c r="G434" s="157"/>
    </row>
    <row r="435">
      <c r="E435" s="157"/>
      <c r="F435" s="157"/>
      <c r="G435" s="157"/>
    </row>
    <row r="436">
      <c r="E436" s="157"/>
      <c r="F436" s="157"/>
      <c r="G436" s="157"/>
    </row>
    <row r="437">
      <c r="E437" s="157"/>
      <c r="F437" s="157"/>
      <c r="G437" s="157"/>
    </row>
    <row r="438">
      <c r="E438" s="157"/>
      <c r="F438" s="157"/>
      <c r="G438" s="157"/>
    </row>
    <row r="439">
      <c r="E439" s="157"/>
      <c r="F439" s="157"/>
      <c r="G439" s="157"/>
    </row>
    <row r="440">
      <c r="E440" s="157"/>
      <c r="F440" s="157"/>
      <c r="G440" s="157"/>
    </row>
    <row r="441">
      <c r="E441" s="157"/>
      <c r="F441" s="157"/>
      <c r="G441" s="157"/>
    </row>
    <row r="442">
      <c r="E442" s="157"/>
      <c r="F442" s="157"/>
      <c r="G442" s="157"/>
    </row>
    <row r="443">
      <c r="E443" s="157"/>
      <c r="F443" s="157"/>
      <c r="G443" s="157"/>
    </row>
    <row r="444">
      <c r="E444" s="157"/>
      <c r="F444" s="157"/>
      <c r="G444" s="157"/>
    </row>
    <row r="445">
      <c r="E445" s="157"/>
      <c r="F445" s="157"/>
      <c r="G445" s="157"/>
    </row>
    <row r="446">
      <c r="E446" s="157"/>
      <c r="F446" s="157"/>
      <c r="G446" s="157"/>
    </row>
    <row r="447">
      <c r="E447" s="157"/>
      <c r="F447" s="157"/>
      <c r="G447" s="157"/>
    </row>
    <row r="448">
      <c r="E448" s="157"/>
      <c r="F448" s="157"/>
      <c r="G448" s="157"/>
    </row>
    <row r="449">
      <c r="E449" s="157"/>
      <c r="F449" s="157"/>
      <c r="G449" s="157"/>
    </row>
    <row r="450">
      <c r="E450" s="157"/>
      <c r="F450" s="157"/>
      <c r="G450" s="157"/>
    </row>
    <row r="451">
      <c r="E451" s="157"/>
      <c r="F451" s="157"/>
      <c r="G451" s="157"/>
    </row>
    <row r="452">
      <c r="E452" s="157"/>
      <c r="F452" s="157"/>
      <c r="G452" s="157"/>
    </row>
    <row r="453">
      <c r="E453" s="157"/>
      <c r="F453" s="157"/>
      <c r="G453" s="157"/>
    </row>
    <row r="454">
      <c r="E454" s="157"/>
      <c r="F454" s="157"/>
      <c r="G454" s="157"/>
    </row>
    <row r="455">
      <c r="E455" s="157"/>
      <c r="F455" s="157"/>
      <c r="G455" s="157"/>
    </row>
    <row r="456">
      <c r="E456" s="157"/>
      <c r="F456" s="157"/>
      <c r="G456" s="157"/>
    </row>
    <row r="457">
      <c r="E457" s="157"/>
      <c r="F457" s="157"/>
      <c r="G457" s="157"/>
    </row>
    <row r="458">
      <c r="E458" s="157"/>
      <c r="F458" s="157"/>
      <c r="G458" s="157"/>
    </row>
    <row r="459">
      <c r="E459" s="157"/>
      <c r="F459" s="157"/>
      <c r="G459" s="157"/>
    </row>
    <row r="460">
      <c r="E460" s="157"/>
      <c r="F460" s="157"/>
      <c r="G460" s="157"/>
    </row>
    <row r="461">
      <c r="E461" s="157"/>
      <c r="F461" s="157"/>
      <c r="G461" s="157"/>
    </row>
    <row r="462">
      <c r="E462" s="157"/>
      <c r="F462" s="157"/>
      <c r="G462" s="157"/>
    </row>
    <row r="463">
      <c r="E463" s="157"/>
      <c r="F463" s="157"/>
      <c r="G463" s="157"/>
    </row>
    <row r="464">
      <c r="E464" s="157"/>
      <c r="F464" s="157"/>
      <c r="G464" s="157"/>
    </row>
    <row r="465">
      <c r="E465" s="157"/>
      <c r="F465" s="157"/>
      <c r="G465" s="157"/>
    </row>
    <row r="466">
      <c r="E466" s="157"/>
      <c r="F466" s="157"/>
      <c r="G466" s="157"/>
    </row>
    <row r="467">
      <c r="E467" s="157"/>
      <c r="F467" s="157"/>
      <c r="G467" s="157"/>
    </row>
    <row r="468">
      <c r="E468" s="157"/>
      <c r="F468" s="157"/>
      <c r="G468" s="157"/>
    </row>
    <row r="469">
      <c r="E469" s="157"/>
      <c r="F469" s="157"/>
      <c r="G469" s="157"/>
    </row>
    <row r="470">
      <c r="E470" s="157"/>
      <c r="F470" s="157"/>
      <c r="G470" s="157"/>
    </row>
    <row r="471">
      <c r="E471" s="157"/>
      <c r="F471" s="157"/>
      <c r="G471" s="157"/>
    </row>
    <row r="472">
      <c r="E472" s="157"/>
      <c r="F472" s="157"/>
      <c r="G472" s="157"/>
    </row>
    <row r="473">
      <c r="E473" s="157"/>
      <c r="F473" s="157"/>
      <c r="G473" s="157"/>
    </row>
    <row r="474">
      <c r="E474" s="157"/>
      <c r="F474" s="157"/>
      <c r="G474" s="157"/>
    </row>
    <row r="475">
      <c r="E475" s="157"/>
      <c r="F475" s="157"/>
      <c r="G475" s="157"/>
    </row>
    <row r="476">
      <c r="E476" s="157"/>
      <c r="F476" s="157"/>
      <c r="G476" s="157"/>
    </row>
    <row r="477">
      <c r="E477" s="157"/>
      <c r="F477" s="157"/>
      <c r="G477" s="157"/>
    </row>
    <row r="478">
      <c r="E478" s="157"/>
      <c r="F478" s="157"/>
      <c r="G478" s="157"/>
    </row>
    <row r="479">
      <c r="E479" s="157"/>
      <c r="F479" s="157"/>
      <c r="G479" s="157"/>
    </row>
    <row r="480">
      <c r="E480" s="157"/>
      <c r="F480" s="157"/>
      <c r="G480" s="157"/>
    </row>
    <row r="481">
      <c r="E481" s="157"/>
      <c r="F481" s="157"/>
      <c r="G481" s="157"/>
    </row>
    <row r="482">
      <c r="E482" s="157"/>
      <c r="F482" s="157"/>
      <c r="G482" s="157"/>
    </row>
    <row r="483">
      <c r="E483" s="157"/>
      <c r="F483" s="157"/>
      <c r="G483" s="157"/>
    </row>
    <row r="484">
      <c r="E484" s="157"/>
      <c r="F484" s="157"/>
      <c r="G484" s="157"/>
    </row>
    <row r="485">
      <c r="E485" s="157"/>
      <c r="F485" s="157"/>
      <c r="G485" s="157"/>
    </row>
    <row r="486">
      <c r="E486" s="157"/>
      <c r="F486" s="157"/>
      <c r="G486" s="157"/>
    </row>
    <row r="487">
      <c r="E487" s="157"/>
      <c r="F487" s="157"/>
      <c r="G487" s="157"/>
    </row>
    <row r="488">
      <c r="E488" s="157"/>
      <c r="F488" s="157"/>
      <c r="G488" s="157"/>
    </row>
    <row r="489">
      <c r="E489" s="157"/>
      <c r="F489" s="157"/>
      <c r="G489" s="157"/>
    </row>
    <row r="490">
      <c r="E490" s="157"/>
      <c r="F490" s="157"/>
      <c r="G490" s="157"/>
    </row>
    <row r="491">
      <c r="E491" s="157"/>
      <c r="F491" s="157"/>
      <c r="G491" s="157"/>
    </row>
    <row r="492">
      <c r="E492" s="157"/>
      <c r="F492" s="157"/>
      <c r="G492" s="157"/>
    </row>
    <row r="493">
      <c r="E493" s="157"/>
      <c r="F493" s="157"/>
      <c r="G493" s="157"/>
    </row>
    <row r="494">
      <c r="E494" s="157"/>
      <c r="F494" s="157"/>
      <c r="G494" s="157"/>
    </row>
    <row r="495">
      <c r="E495" s="157"/>
      <c r="F495" s="157"/>
      <c r="G495" s="157"/>
    </row>
    <row r="496">
      <c r="E496" s="157"/>
      <c r="F496" s="157"/>
      <c r="G496" s="157"/>
    </row>
    <row r="497">
      <c r="E497" s="157"/>
      <c r="F497" s="157"/>
      <c r="G497" s="157"/>
    </row>
    <row r="498">
      <c r="E498" s="157"/>
      <c r="F498" s="157"/>
      <c r="G498" s="157"/>
    </row>
    <row r="499">
      <c r="E499" s="157"/>
      <c r="F499" s="157"/>
      <c r="G499" s="157"/>
    </row>
    <row r="500">
      <c r="E500" s="157"/>
      <c r="F500" s="157"/>
      <c r="G500" s="157"/>
    </row>
    <row r="501">
      <c r="E501" s="157"/>
      <c r="F501" s="157"/>
      <c r="G501" s="157"/>
    </row>
    <row r="502">
      <c r="E502" s="157"/>
      <c r="F502" s="157"/>
      <c r="G502" s="157"/>
    </row>
    <row r="503">
      <c r="E503" s="157"/>
      <c r="F503" s="157"/>
      <c r="G503" s="157"/>
    </row>
    <row r="504">
      <c r="E504" s="157"/>
      <c r="F504" s="157"/>
      <c r="G504" s="157"/>
    </row>
    <row r="505">
      <c r="E505" s="157"/>
      <c r="F505" s="157"/>
      <c r="G505" s="157"/>
    </row>
    <row r="506">
      <c r="E506" s="157"/>
      <c r="F506" s="157"/>
      <c r="G506" s="157"/>
    </row>
    <row r="507">
      <c r="E507" s="157"/>
      <c r="F507" s="157"/>
      <c r="G507" s="157"/>
    </row>
    <row r="508">
      <c r="E508" s="157"/>
      <c r="F508" s="157"/>
      <c r="G508" s="157"/>
    </row>
    <row r="509">
      <c r="E509" s="157"/>
      <c r="F509" s="157"/>
      <c r="G509" s="157"/>
    </row>
    <row r="510">
      <c r="E510" s="157"/>
      <c r="F510" s="157"/>
      <c r="G510" s="157"/>
    </row>
    <row r="511">
      <c r="E511" s="157"/>
      <c r="F511" s="157"/>
      <c r="G511" s="157"/>
    </row>
    <row r="512">
      <c r="E512" s="157"/>
      <c r="F512" s="157"/>
      <c r="G512" s="157"/>
    </row>
    <row r="513">
      <c r="E513" s="157"/>
      <c r="F513" s="157"/>
      <c r="G513" s="157"/>
    </row>
    <row r="514">
      <c r="E514" s="157"/>
      <c r="F514" s="157"/>
      <c r="G514" s="157"/>
    </row>
    <row r="515">
      <c r="E515" s="157"/>
      <c r="F515" s="157"/>
      <c r="G515" s="157"/>
    </row>
    <row r="516">
      <c r="E516" s="157"/>
      <c r="F516" s="157"/>
      <c r="G516" s="157"/>
    </row>
    <row r="517">
      <c r="E517" s="157"/>
      <c r="F517" s="157"/>
      <c r="G517" s="157"/>
    </row>
    <row r="518">
      <c r="E518" s="157"/>
      <c r="F518" s="157"/>
      <c r="G518" s="157"/>
    </row>
    <row r="519">
      <c r="E519" s="157"/>
      <c r="F519" s="157"/>
      <c r="G519" s="157"/>
    </row>
    <row r="520">
      <c r="E520" s="157"/>
      <c r="F520" s="157"/>
      <c r="G520" s="157"/>
    </row>
    <row r="521">
      <c r="E521" s="157"/>
      <c r="F521" s="157"/>
      <c r="G521" s="157"/>
    </row>
    <row r="522">
      <c r="E522" s="157"/>
      <c r="F522" s="157"/>
      <c r="G522" s="157"/>
    </row>
    <row r="523">
      <c r="E523" s="157"/>
      <c r="F523" s="157"/>
      <c r="G523" s="157"/>
    </row>
    <row r="524">
      <c r="E524" s="157"/>
      <c r="F524" s="157"/>
      <c r="G524" s="157"/>
    </row>
    <row r="525">
      <c r="E525" s="157"/>
      <c r="F525" s="157"/>
      <c r="G525" s="157"/>
    </row>
    <row r="526">
      <c r="E526" s="157"/>
      <c r="F526" s="157"/>
      <c r="G526" s="157"/>
    </row>
    <row r="527">
      <c r="E527" s="157"/>
      <c r="F527" s="157"/>
      <c r="G527" s="157"/>
    </row>
    <row r="528">
      <c r="E528" s="157"/>
      <c r="F528" s="157"/>
      <c r="G528" s="157"/>
    </row>
    <row r="529">
      <c r="E529" s="157"/>
      <c r="F529" s="157"/>
      <c r="G529" s="157"/>
    </row>
    <row r="530">
      <c r="E530" s="157"/>
      <c r="F530" s="157"/>
      <c r="G530" s="157"/>
    </row>
    <row r="531">
      <c r="E531" s="157"/>
      <c r="F531" s="157"/>
      <c r="G531" s="157"/>
    </row>
    <row r="532">
      <c r="E532" s="157"/>
      <c r="F532" s="157"/>
      <c r="G532" s="157"/>
    </row>
    <row r="533">
      <c r="E533" s="157"/>
      <c r="F533" s="157"/>
      <c r="G533" s="157"/>
    </row>
    <row r="534">
      <c r="E534" s="157"/>
      <c r="F534" s="157"/>
      <c r="G534" s="157"/>
    </row>
    <row r="535">
      <c r="E535" s="157"/>
      <c r="F535" s="157"/>
      <c r="G535" s="157"/>
    </row>
    <row r="536">
      <c r="E536" s="157"/>
      <c r="F536" s="157"/>
      <c r="G536" s="157"/>
    </row>
    <row r="537">
      <c r="E537" s="157"/>
      <c r="F537" s="157"/>
      <c r="G537" s="157"/>
    </row>
    <row r="538">
      <c r="E538" s="157"/>
      <c r="F538" s="157"/>
      <c r="G538" s="157"/>
    </row>
    <row r="539">
      <c r="E539" s="157"/>
      <c r="F539" s="157"/>
      <c r="G539" s="157"/>
    </row>
    <row r="540">
      <c r="E540" s="157"/>
      <c r="F540" s="157"/>
      <c r="G540" s="157"/>
    </row>
    <row r="541">
      <c r="E541" s="157"/>
      <c r="F541" s="157"/>
      <c r="G541" s="157"/>
    </row>
    <row r="542">
      <c r="E542" s="157"/>
      <c r="F542" s="157"/>
      <c r="G542" s="157"/>
    </row>
    <row r="543">
      <c r="E543" s="157"/>
      <c r="F543" s="157"/>
      <c r="G543" s="157"/>
    </row>
    <row r="544">
      <c r="E544" s="157"/>
      <c r="F544" s="157"/>
      <c r="G544" s="157"/>
    </row>
    <row r="545">
      <c r="E545" s="157"/>
      <c r="F545" s="157"/>
      <c r="G545" s="157"/>
    </row>
    <row r="546">
      <c r="E546" s="157"/>
      <c r="F546" s="157"/>
      <c r="G546" s="157"/>
    </row>
    <row r="547">
      <c r="E547" s="157"/>
      <c r="F547" s="157"/>
      <c r="G547" s="157"/>
    </row>
    <row r="548">
      <c r="E548" s="157"/>
      <c r="F548" s="157"/>
      <c r="G548" s="157"/>
    </row>
    <row r="549">
      <c r="E549" s="157"/>
      <c r="F549" s="157"/>
      <c r="G549" s="157"/>
    </row>
    <row r="550">
      <c r="E550" s="157"/>
      <c r="F550" s="157"/>
      <c r="G550" s="157"/>
    </row>
    <row r="551">
      <c r="E551" s="157"/>
      <c r="F551" s="157"/>
      <c r="G551" s="157"/>
    </row>
    <row r="552">
      <c r="E552" s="157"/>
      <c r="F552" s="157"/>
      <c r="G552" s="157"/>
    </row>
    <row r="553">
      <c r="E553" s="157"/>
      <c r="F553" s="157"/>
      <c r="G553" s="157"/>
    </row>
    <row r="554">
      <c r="E554" s="157"/>
      <c r="F554" s="157"/>
      <c r="G554" s="157"/>
    </row>
    <row r="555">
      <c r="E555" s="157"/>
      <c r="F555" s="157"/>
      <c r="G555" s="157"/>
    </row>
    <row r="556">
      <c r="E556" s="157"/>
      <c r="F556" s="157"/>
      <c r="G556" s="157"/>
    </row>
    <row r="557">
      <c r="E557" s="157"/>
      <c r="F557" s="157"/>
      <c r="G557" s="157"/>
    </row>
    <row r="558">
      <c r="E558" s="157"/>
      <c r="F558" s="157"/>
      <c r="G558" s="157"/>
    </row>
    <row r="559">
      <c r="E559" s="157"/>
      <c r="F559" s="157"/>
      <c r="G559" s="157"/>
    </row>
    <row r="560">
      <c r="E560" s="157"/>
      <c r="F560" s="157"/>
      <c r="G560" s="157"/>
    </row>
    <row r="561">
      <c r="E561" s="157"/>
      <c r="F561" s="157"/>
      <c r="G561" s="157"/>
    </row>
    <row r="562">
      <c r="E562" s="157"/>
      <c r="F562" s="157"/>
      <c r="G562" s="157"/>
    </row>
    <row r="563">
      <c r="E563" s="157"/>
      <c r="F563" s="157"/>
      <c r="G563" s="157"/>
    </row>
    <row r="564">
      <c r="E564" s="157"/>
      <c r="F564" s="157"/>
      <c r="G564" s="157"/>
    </row>
    <row r="565">
      <c r="E565" s="157"/>
      <c r="F565" s="157"/>
      <c r="G565" s="157"/>
    </row>
    <row r="566">
      <c r="E566" s="157"/>
      <c r="F566" s="157"/>
      <c r="G566" s="157"/>
    </row>
    <row r="567">
      <c r="E567" s="157"/>
      <c r="F567" s="157"/>
      <c r="G567" s="157"/>
    </row>
    <row r="568">
      <c r="E568" s="157"/>
      <c r="F568" s="157"/>
      <c r="G568" s="157"/>
    </row>
    <row r="569">
      <c r="E569" s="157"/>
      <c r="F569" s="157"/>
      <c r="G569" s="157"/>
    </row>
    <row r="570">
      <c r="E570" s="157"/>
      <c r="F570" s="157"/>
      <c r="G570" s="157"/>
    </row>
    <row r="571">
      <c r="E571" s="157"/>
      <c r="F571" s="157"/>
      <c r="G571" s="157"/>
    </row>
    <row r="572">
      <c r="E572" s="157"/>
      <c r="F572" s="157"/>
      <c r="G572" s="157"/>
    </row>
    <row r="573">
      <c r="E573" s="157"/>
      <c r="F573" s="157"/>
      <c r="G573" s="157"/>
    </row>
    <row r="574">
      <c r="E574" s="157"/>
      <c r="F574" s="157"/>
      <c r="G574" s="157"/>
    </row>
    <row r="575">
      <c r="E575" s="157"/>
      <c r="F575" s="157"/>
      <c r="G575" s="157"/>
    </row>
    <row r="576">
      <c r="E576" s="157"/>
      <c r="F576" s="157"/>
      <c r="G576" s="157"/>
    </row>
    <row r="577">
      <c r="E577" s="157"/>
      <c r="F577" s="157"/>
      <c r="G577" s="157"/>
    </row>
    <row r="578">
      <c r="E578" s="157"/>
      <c r="F578" s="157"/>
      <c r="G578" s="157"/>
    </row>
    <row r="579">
      <c r="E579" s="157"/>
      <c r="F579" s="157"/>
      <c r="G579" s="157"/>
    </row>
    <row r="580">
      <c r="E580" s="157"/>
      <c r="F580" s="157"/>
      <c r="G580" s="157"/>
    </row>
    <row r="581">
      <c r="E581" s="157"/>
      <c r="F581" s="157"/>
      <c r="G581" s="157"/>
    </row>
    <row r="582">
      <c r="E582" s="157"/>
      <c r="F582" s="157"/>
      <c r="G582" s="157"/>
    </row>
    <row r="583">
      <c r="E583" s="157"/>
      <c r="F583" s="157"/>
      <c r="G583" s="157"/>
    </row>
    <row r="584">
      <c r="E584" s="157"/>
      <c r="F584" s="157"/>
      <c r="G584" s="157"/>
    </row>
    <row r="585">
      <c r="E585" s="157"/>
      <c r="F585" s="157"/>
      <c r="G585" s="157"/>
    </row>
    <row r="586">
      <c r="E586" s="157"/>
      <c r="F586" s="157"/>
      <c r="G586" s="157"/>
    </row>
    <row r="587">
      <c r="E587" s="157"/>
      <c r="F587" s="157"/>
      <c r="G587" s="157"/>
    </row>
    <row r="588">
      <c r="E588" s="157"/>
      <c r="F588" s="157"/>
      <c r="G588" s="157"/>
    </row>
    <row r="589">
      <c r="E589" s="157"/>
      <c r="F589" s="157"/>
      <c r="G589" s="157"/>
    </row>
    <row r="590">
      <c r="E590" s="157"/>
      <c r="F590" s="157"/>
      <c r="G590" s="157"/>
    </row>
    <row r="591">
      <c r="E591" s="157"/>
      <c r="F591" s="157"/>
      <c r="G591" s="157"/>
    </row>
    <row r="592">
      <c r="E592" s="157"/>
      <c r="F592" s="157"/>
      <c r="G592" s="157"/>
    </row>
    <row r="593">
      <c r="E593" s="157"/>
      <c r="F593" s="157"/>
      <c r="G593" s="157"/>
    </row>
    <row r="594">
      <c r="E594" s="157"/>
      <c r="F594" s="157"/>
      <c r="G594" s="157"/>
    </row>
    <row r="595">
      <c r="E595" s="157"/>
      <c r="F595" s="157"/>
      <c r="G595" s="157"/>
    </row>
    <row r="596">
      <c r="E596" s="157"/>
      <c r="F596" s="157"/>
      <c r="G596" s="157"/>
    </row>
    <row r="597">
      <c r="E597" s="157"/>
      <c r="F597" s="157"/>
      <c r="G597" s="157"/>
    </row>
    <row r="598">
      <c r="E598" s="157"/>
      <c r="F598" s="157"/>
      <c r="G598" s="157"/>
    </row>
    <row r="599">
      <c r="E599" s="157"/>
      <c r="F599" s="157"/>
      <c r="G599" s="157"/>
    </row>
    <row r="600">
      <c r="E600" s="157"/>
      <c r="F600" s="157"/>
      <c r="G600" s="157"/>
    </row>
    <row r="601">
      <c r="E601" s="157"/>
      <c r="F601" s="157"/>
      <c r="G601" s="157"/>
    </row>
    <row r="602">
      <c r="E602" s="157"/>
      <c r="F602" s="157"/>
      <c r="G602" s="157"/>
    </row>
    <row r="603">
      <c r="E603" s="157"/>
      <c r="F603" s="157"/>
      <c r="G603" s="157"/>
    </row>
    <row r="604">
      <c r="E604" s="157"/>
      <c r="F604" s="157"/>
      <c r="G604" s="157"/>
    </row>
    <row r="605">
      <c r="E605" s="157"/>
      <c r="F605" s="157"/>
      <c r="G605" s="157"/>
    </row>
    <row r="606">
      <c r="E606" s="157"/>
      <c r="F606" s="157"/>
      <c r="G606" s="157"/>
    </row>
    <row r="607">
      <c r="E607" s="157"/>
      <c r="F607" s="157"/>
      <c r="G607" s="157"/>
    </row>
    <row r="608">
      <c r="E608" s="157"/>
      <c r="F608" s="157"/>
      <c r="G608" s="157"/>
    </row>
    <row r="609">
      <c r="E609" s="157"/>
      <c r="F609" s="157"/>
      <c r="G609" s="157"/>
    </row>
    <row r="610">
      <c r="E610" s="157"/>
      <c r="F610" s="157"/>
      <c r="G610" s="157"/>
    </row>
    <row r="611">
      <c r="E611" s="157"/>
      <c r="F611" s="157"/>
      <c r="G611" s="157"/>
    </row>
    <row r="612">
      <c r="E612" s="157"/>
      <c r="F612" s="157"/>
      <c r="G612" s="157"/>
    </row>
    <row r="613">
      <c r="E613" s="157"/>
      <c r="F613" s="157"/>
      <c r="G613" s="157"/>
    </row>
    <row r="614">
      <c r="E614" s="157"/>
      <c r="F614" s="157"/>
      <c r="G614" s="157"/>
    </row>
    <row r="615">
      <c r="E615" s="157"/>
      <c r="F615" s="157"/>
      <c r="G615" s="157"/>
    </row>
    <row r="616">
      <c r="E616" s="157"/>
      <c r="F616" s="157"/>
      <c r="G616" s="157"/>
    </row>
    <row r="617">
      <c r="E617" s="157"/>
      <c r="F617" s="157"/>
      <c r="G617" s="157"/>
    </row>
    <row r="618">
      <c r="E618" s="157"/>
      <c r="F618" s="157"/>
      <c r="G618" s="157"/>
    </row>
    <row r="619">
      <c r="E619" s="157"/>
      <c r="F619" s="157"/>
      <c r="G619" s="157"/>
    </row>
    <row r="620">
      <c r="E620" s="157"/>
      <c r="F620" s="157"/>
      <c r="G620" s="157"/>
    </row>
    <row r="621">
      <c r="E621" s="157"/>
      <c r="F621" s="157"/>
      <c r="G621" s="157"/>
    </row>
    <row r="622">
      <c r="E622" s="157"/>
      <c r="F622" s="157"/>
      <c r="G622" s="157"/>
    </row>
    <row r="623">
      <c r="E623" s="157"/>
      <c r="F623" s="157"/>
      <c r="G623" s="157"/>
    </row>
    <row r="624">
      <c r="E624" s="157"/>
      <c r="F624" s="157"/>
      <c r="G624" s="157"/>
    </row>
    <row r="625">
      <c r="E625" s="157"/>
      <c r="F625" s="157"/>
      <c r="G625" s="157"/>
    </row>
    <row r="626">
      <c r="E626" s="157"/>
      <c r="F626" s="157"/>
      <c r="G626" s="157"/>
    </row>
    <row r="627">
      <c r="E627" s="157"/>
      <c r="F627" s="157"/>
      <c r="G627" s="157"/>
    </row>
    <row r="628">
      <c r="E628" s="157"/>
      <c r="F628" s="157"/>
      <c r="G628" s="157"/>
    </row>
    <row r="629">
      <c r="E629" s="157"/>
      <c r="F629" s="157"/>
      <c r="G629" s="157"/>
    </row>
    <row r="630">
      <c r="E630" s="157"/>
      <c r="F630" s="157"/>
      <c r="G630" s="157"/>
    </row>
    <row r="631">
      <c r="E631" s="157"/>
      <c r="F631" s="157"/>
      <c r="G631" s="157"/>
    </row>
    <row r="632">
      <c r="E632" s="157"/>
      <c r="F632" s="157"/>
      <c r="G632" s="157"/>
    </row>
    <row r="633">
      <c r="E633" s="157"/>
      <c r="F633" s="157"/>
      <c r="G633" s="157"/>
    </row>
    <row r="634">
      <c r="E634" s="157"/>
      <c r="F634" s="157"/>
      <c r="G634" s="157"/>
    </row>
    <row r="635">
      <c r="E635" s="157"/>
      <c r="F635" s="157"/>
      <c r="G635" s="157"/>
    </row>
    <row r="636">
      <c r="E636" s="157"/>
      <c r="F636" s="157"/>
      <c r="G636" s="157"/>
    </row>
    <row r="637">
      <c r="E637" s="157"/>
      <c r="F637" s="157"/>
      <c r="G637" s="157"/>
    </row>
    <row r="638">
      <c r="E638" s="157"/>
      <c r="F638" s="157"/>
      <c r="G638" s="157"/>
    </row>
    <row r="639">
      <c r="E639" s="157"/>
      <c r="F639" s="157"/>
      <c r="G639" s="157"/>
    </row>
    <row r="640">
      <c r="E640" s="157"/>
      <c r="F640" s="157"/>
      <c r="G640" s="157"/>
    </row>
    <row r="641">
      <c r="E641" s="157"/>
      <c r="F641" s="157"/>
      <c r="G641" s="157"/>
    </row>
    <row r="642">
      <c r="E642" s="157"/>
      <c r="F642" s="157"/>
      <c r="G642" s="157"/>
    </row>
    <row r="643">
      <c r="E643" s="157"/>
      <c r="F643" s="157"/>
      <c r="G643" s="157"/>
    </row>
    <row r="644">
      <c r="E644" s="157"/>
      <c r="F644" s="157"/>
      <c r="G644" s="157"/>
    </row>
    <row r="645">
      <c r="E645" s="157"/>
      <c r="F645" s="157"/>
      <c r="G645" s="157"/>
    </row>
    <row r="646">
      <c r="E646" s="157"/>
      <c r="F646" s="157"/>
      <c r="G646" s="157"/>
    </row>
    <row r="647">
      <c r="E647" s="157"/>
      <c r="F647" s="157"/>
      <c r="G647" s="157"/>
    </row>
    <row r="648">
      <c r="E648" s="157"/>
      <c r="F648" s="157"/>
      <c r="G648" s="157"/>
    </row>
    <row r="649">
      <c r="E649" s="157"/>
      <c r="F649" s="157"/>
      <c r="G649" s="157"/>
    </row>
    <row r="650">
      <c r="E650" s="157"/>
      <c r="F650" s="157"/>
      <c r="G650" s="157"/>
    </row>
    <row r="651">
      <c r="E651" s="157"/>
      <c r="F651" s="157"/>
      <c r="G651" s="157"/>
    </row>
    <row r="652">
      <c r="E652" s="157"/>
      <c r="F652" s="157"/>
      <c r="G652" s="157"/>
    </row>
    <row r="653">
      <c r="E653" s="157"/>
      <c r="F653" s="157"/>
      <c r="G653" s="157"/>
    </row>
    <row r="654">
      <c r="E654" s="157"/>
      <c r="F654" s="157"/>
      <c r="G654" s="157"/>
    </row>
    <row r="655">
      <c r="E655" s="157"/>
      <c r="F655" s="157"/>
      <c r="G655" s="157"/>
    </row>
    <row r="656">
      <c r="E656" s="157"/>
      <c r="F656" s="157"/>
      <c r="G656" s="157"/>
    </row>
    <row r="657">
      <c r="E657" s="157"/>
      <c r="F657" s="157"/>
      <c r="G657" s="157"/>
    </row>
    <row r="658">
      <c r="E658" s="157"/>
      <c r="F658" s="157"/>
      <c r="G658" s="157"/>
    </row>
    <row r="659">
      <c r="E659" s="157"/>
      <c r="F659" s="157"/>
      <c r="G659" s="157"/>
    </row>
    <row r="660">
      <c r="E660" s="157"/>
      <c r="F660" s="157"/>
      <c r="G660" s="157"/>
    </row>
    <row r="661">
      <c r="E661" s="157"/>
      <c r="F661" s="157"/>
      <c r="G661" s="157"/>
    </row>
    <row r="662">
      <c r="E662" s="157"/>
      <c r="F662" s="157"/>
      <c r="G662" s="157"/>
    </row>
    <row r="663">
      <c r="E663" s="157"/>
      <c r="F663" s="157"/>
      <c r="G663" s="157"/>
    </row>
    <row r="664">
      <c r="E664" s="157"/>
      <c r="F664" s="157"/>
      <c r="G664" s="157"/>
    </row>
    <row r="665">
      <c r="E665" s="157"/>
      <c r="F665" s="157"/>
      <c r="G665" s="157"/>
    </row>
    <row r="666">
      <c r="E666" s="157"/>
      <c r="F666" s="157"/>
      <c r="G666" s="157"/>
    </row>
    <row r="667">
      <c r="E667" s="157"/>
      <c r="F667" s="157"/>
      <c r="G667" s="157"/>
    </row>
    <row r="668">
      <c r="E668" s="157"/>
      <c r="F668" s="157"/>
      <c r="G668" s="157"/>
    </row>
    <row r="669">
      <c r="E669" s="157"/>
      <c r="F669" s="157"/>
      <c r="G669" s="157"/>
    </row>
    <row r="670">
      <c r="E670" s="157"/>
      <c r="F670" s="157"/>
      <c r="G670" s="157"/>
    </row>
    <row r="671">
      <c r="E671" s="157"/>
      <c r="F671" s="157"/>
      <c r="G671" s="157"/>
    </row>
    <row r="672">
      <c r="E672" s="157"/>
      <c r="F672" s="157"/>
      <c r="G672" s="157"/>
    </row>
    <row r="673">
      <c r="E673" s="157"/>
      <c r="F673" s="157"/>
      <c r="G673" s="157"/>
    </row>
    <row r="674">
      <c r="E674" s="157"/>
      <c r="F674" s="157"/>
      <c r="G674" s="157"/>
    </row>
    <row r="675">
      <c r="E675" s="157"/>
      <c r="F675" s="157"/>
      <c r="G675" s="157"/>
    </row>
    <row r="676">
      <c r="E676" s="157"/>
      <c r="F676" s="157"/>
      <c r="G676" s="157"/>
    </row>
    <row r="677">
      <c r="E677" s="157"/>
      <c r="F677" s="157"/>
      <c r="G677" s="157"/>
    </row>
    <row r="678">
      <c r="E678" s="157"/>
      <c r="F678" s="157"/>
      <c r="G678" s="157"/>
    </row>
    <row r="679">
      <c r="E679" s="157"/>
      <c r="F679" s="157"/>
      <c r="G679" s="157"/>
    </row>
    <row r="680">
      <c r="E680" s="157"/>
      <c r="F680" s="157"/>
      <c r="G680" s="157"/>
    </row>
    <row r="681">
      <c r="E681" s="157"/>
      <c r="F681" s="157"/>
      <c r="G681" s="157"/>
    </row>
    <row r="682">
      <c r="E682" s="157"/>
      <c r="F682" s="157"/>
      <c r="G682" s="157"/>
    </row>
    <row r="683">
      <c r="E683" s="157"/>
      <c r="F683" s="157"/>
      <c r="G683" s="157"/>
    </row>
    <row r="684">
      <c r="E684" s="157"/>
      <c r="F684" s="157"/>
      <c r="G684" s="157"/>
    </row>
    <row r="685">
      <c r="E685" s="157"/>
      <c r="F685" s="157"/>
      <c r="G685" s="157"/>
    </row>
    <row r="686">
      <c r="E686" s="157"/>
      <c r="F686" s="157"/>
      <c r="G686" s="157"/>
    </row>
    <row r="687">
      <c r="E687" s="157"/>
      <c r="F687" s="157"/>
      <c r="G687" s="157"/>
    </row>
    <row r="688">
      <c r="E688" s="157"/>
      <c r="F688" s="157"/>
      <c r="G688" s="157"/>
    </row>
    <row r="689">
      <c r="E689" s="157"/>
      <c r="F689" s="157"/>
      <c r="G689" s="157"/>
    </row>
    <row r="690">
      <c r="E690" s="157"/>
      <c r="F690" s="157"/>
      <c r="G690" s="157"/>
    </row>
    <row r="691">
      <c r="E691" s="157"/>
      <c r="F691" s="157"/>
      <c r="G691" s="157"/>
    </row>
    <row r="692">
      <c r="E692" s="157"/>
      <c r="F692" s="157"/>
      <c r="G692" s="157"/>
    </row>
    <row r="693">
      <c r="E693" s="157"/>
      <c r="F693" s="157"/>
      <c r="G693" s="157"/>
    </row>
    <row r="694">
      <c r="E694" s="157"/>
      <c r="F694" s="157"/>
      <c r="G694" s="157"/>
    </row>
    <row r="695">
      <c r="E695" s="157"/>
      <c r="F695" s="157"/>
      <c r="G695" s="157"/>
    </row>
    <row r="696">
      <c r="E696" s="157"/>
      <c r="F696" s="157"/>
      <c r="G696" s="157"/>
    </row>
    <row r="697">
      <c r="E697" s="157"/>
      <c r="F697" s="157"/>
      <c r="G697" s="157"/>
    </row>
    <row r="698">
      <c r="E698" s="157"/>
      <c r="F698" s="157"/>
      <c r="G698" s="157"/>
    </row>
    <row r="699">
      <c r="E699" s="157"/>
      <c r="F699" s="157"/>
      <c r="G699" s="157"/>
    </row>
    <row r="700">
      <c r="E700" s="157"/>
      <c r="F700" s="157"/>
      <c r="G700" s="157"/>
    </row>
    <row r="701">
      <c r="E701" s="157"/>
      <c r="F701" s="157"/>
      <c r="G701" s="157"/>
    </row>
    <row r="702">
      <c r="E702" s="157"/>
      <c r="F702" s="157"/>
      <c r="G702" s="157"/>
    </row>
    <row r="703">
      <c r="E703" s="157"/>
      <c r="F703" s="157"/>
      <c r="G703" s="157"/>
    </row>
    <row r="704">
      <c r="E704" s="157"/>
      <c r="F704" s="157"/>
      <c r="G704" s="157"/>
    </row>
    <row r="705">
      <c r="E705" s="157"/>
      <c r="F705" s="157"/>
      <c r="G705" s="157"/>
    </row>
    <row r="706">
      <c r="E706" s="157"/>
      <c r="F706" s="157"/>
      <c r="G706" s="157"/>
    </row>
    <row r="707">
      <c r="E707" s="157"/>
      <c r="F707" s="157"/>
      <c r="G707" s="157"/>
    </row>
    <row r="708">
      <c r="E708" s="157"/>
      <c r="F708" s="157"/>
      <c r="G708" s="157"/>
    </row>
    <row r="709">
      <c r="E709" s="157"/>
      <c r="F709" s="157"/>
      <c r="G709" s="157"/>
    </row>
    <row r="710">
      <c r="E710" s="157"/>
      <c r="F710" s="157"/>
      <c r="G710" s="157"/>
    </row>
    <row r="711">
      <c r="E711" s="157"/>
      <c r="F711" s="157"/>
      <c r="G711" s="157"/>
    </row>
    <row r="712">
      <c r="E712" s="157"/>
      <c r="F712" s="157"/>
      <c r="G712" s="157"/>
    </row>
    <row r="713">
      <c r="E713" s="157"/>
      <c r="F713" s="157"/>
      <c r="G713" s="157"/>
    </row>
    <row r="714">
      <c r="E714" s="157"/>
      <c r="F714" s="157"/>
      <c r="G714" s="157"/>
    </row>
    <row r="715">
      <c r="E715" s="157"/>
      <c r="F715" s="157"/>
      <c r="G715" s="157"/>
    </row>
    <row r="716">
      <c r="E716" s="157"/>
      <c r="F716" s="157"/>
      <c r="G716" s="157"/>
    </row>
    <row r="717">
      <c r="E717" s="157"/>
      <c r="F717" s="157"/>
      <c r="G717" s="157"/>
    </row>
    <row r="718">
      <c r="E718" s="157"/>
      <c r="F718" s="157"/>
      <c r="G718" s="157"/>
    </row>
    <row r="719">
      <c r="E719" s="157"/>
      <c r="F719" s="157"/>
      <c r="G719" s="157"/>
    </row>
    <row r="720">
      <c r="E720" s="157"/>
      <c r="F720" s="157"/>
      <c r="G720" s="157"/>
    </row>
    <row r="721">
      <c r="E721" s="157"/>
      <c r="F721" s="157"/>
      <c r="G721" s="157"/>
    </row>
    <row r="722">
      <c r="E722" s="157"/>
      <c r="F722" s="157"/>
      <c r="G722" s="157"/>
    </row>
    <row r="723">
      <c r="E723" s="157"/>
      <c r="F723" s="157"/>
      <c r="G723" s="157"/>
    </row>
    <row r="724">
      <c r="E724" s="157"/>
      <c r="F724" s="157"/>
      <c r="G724" s="157"/>
    </row>
    <row r="725">
      <c r="E725" s="157"/>
      <c r="F725" s="157"/>
      <c r="G725" s="157"/>
    </row>
    <row r="726">
      <c r="E726" s="157"/>
      <c r="F726" s="157"/>
      <c r="G726" s="157"/>
    </row>
    <row r="727">
      <c r="E727" s="157"/>
      <c r="F727" s="157"/>
      <c r="G727" s="157"/>
    </row>
    <row r="728">
      <c r="E728" s="157"/>
      <c r="F728" s="157"/>
      <c r="G728" s="157"/>
    </row>
    <row r="729">
      <c r="E729" s="157"/>
      <c r="F729" s="157"/>
      <c r="G729" s="157"/>
    </row>
    <row r="730">
      <c r="E730" s="157"/>
      <c r="F730" s="157"/>
      <c r="G730" s="157"/>
    </row>
    <row r="731">
      <c r="E731" s="157"/>
      <c r="F731" s="157"/>
      <c r="G731" s="157"/>
    </row>
    <row r="732">
      <c r="E732" s="157"/>
      <c r="F732" s="157"/>
      <c r="G732" s="157"/>
    </row>
    <row r="733">
      <c r="E733" s="157"/>
      <c r="F733" s="157"/>
      <c r="G733" s="157"/>
    </row>
    <row r="734">
      <c r="E734" s="157"/>
      <c r="F734" s="157"/>
      <c r="G734" s="157"/>
    </row>
    <row r="735">
      <c r="E735" s="157"/>
      <c r="F735" s="157"/>
      <c r="G735" s="157"/>
    </row>
    <row r="736">
      <c r="E736" s="157"/>
      <c r="F736" s="157"/>
      <c r="G736" s="157"/>
    </row>
    <row r="737">
      <c r="E737" s="157"/>
      <c r="F737" s="157"/>
      <c r="G737" s="157"/>
    </row>
    <row r="738">
      <c r="E738" s="157"/>
      <c r="F738" s="157"/>
      <c r="G738" s="157"/>
    </row>
    <row r="739">
      <c r="E739" s="157"/>
      <c r="F739" s="157"/>
      <c r="G739" s="157"/>
    </row>
    <row r="740">
      <c r="E740" s="157"/>
      <c r="F740" s="157"/>
      <c r="G740" s="157"/>
    </row>
    <row r="741">
      <c r="E741" s="157"/>
      <c r="F741" s="157"/>
      <c r="G741" s="157"/>
    </row>
    <row r="742">
      <c r="E742" s="157"/>
      <c r="F742" s="157"/>
      <c r="G742" s="157"/>
    </row>
    <row r="743">
      <c r="E743" s="157"/>
      <c r="F743" s="157"/>
      <c r="G743" s="157"/>
    </row>
    <row r="744">
      <c r="E744" s="157"/>
      <c r="F744" s="157"/>
      <c r="G744" s="157"/>
    </row>
    <row r="745">
      <c r="E745" s="157"/>
      <c r="F745" s="157"/>
      <c r="G745" s="157"/>
    </row>
    <row r="746">
      <c r="E746" s="157"/>
      <c r="F746" s="157"/>
      <c r="G746" s="157"/>
    </row>
    <row r="747">
      <c r="E747" s="157"/>
      <c r="F747" s="157"/>
      <c r="G747" s="157"/>
    </row>
    <row r="748">
      <c r="E748" s="157"/>
      <c r="F748" s="157"/>
      <c r="G748" s="157"/>
    </row>
    <row r="749">
      <c r="E749" s="157"/>
      <c r="F749" s="157"/>
      <c r="G749" s="157"/>
    </row>
    <row r="750">
      <c r="E750" s="157"/>
      <c r="F750" s="157"/>
      <c r="G750" s="157"/>
    </row>
    <row r="751">
      <c r="E751" s="157"/>
      <c r="F751" s="157"/>
      <c r="G751" s="157"/>
    </row>
    <row r="752">
      <c r="E752" s="157"/>
      <c r="F752" s="157"/>
      <c r="G752" s="157"/>
    </row>
    <row r="753">
      <c r="E753" s="157"/>
      <c r="F753" s="157"/>
      <c r="G753" s="157"/>
    </row>
    <row r="754">
      <c r="E754" s="157"/>
      <c r="F754" s="157"/>
      <c r="G754" s="157"/>
    </row>
    <row r="755">
      <c r="E755" s="157"/>
      <c r="F755" s="157"/>
      <c r="G755" s="157"/>
    </row>
    <row r="756">
      <c r="E756" s="157"/>
      <c r="F756" s="157"/>
      <c r="G756" s="157"/>
    </row>
    <row r="757">
      <c r="E757" s="157"/>
      <c r="F757" s="157"/>
      <c r="G757" s="157"/>
    </row>
    <row r="758">
      <c r="E758" s="157"/>
      <c r="F758" s="157"/>
      <c r="G758" s="157"/>
    </row>
    <row r="759">
      <c r="E759" s="157"/>
      <c r="F759" s="157"/>
      <c r="G759" s="157"/>
    </row>
    <row r="760">
      <c r="E760" s="157"/>
      <c r="F760" s="157"/>
      <c r="G760" s="157"/>
    </row>
    <row r="761">
      <c r="E761" s="157"/>
      <c r="F761" s="157"/>
      <c r="G761" s="157"/>
    </row>
    <row r="762">
      <c r="E762" s="157"/>
      <c r="F762" s="157"/>
      <c r="G762" s="157"/>
    </row>
    <row r="763">
      <c r="E763" s="157"/>
      <c r="F763" s="157"/>
      <c r="G763" s="157"/>
    </row>
    <row r="764">
      <c r="E764" s="157"/>
      <c r="F764" s="157"/>
      <c r="G764" s="157"/>
    </row>
    <row r="765">
      <c r="E765" s="157"/>
      <c r="F765" s="157"/>
      <c r="G765" s="157"/>
    </row>
    <row r="766">
      <c r="E766" s="157"/>
      <c r="F766" s="157"/>
      <c r="G766" s="157"/>
    </row>
    <row r="767">
      <c r="E767" s="157"/>
      <c r="F767" s="157"/>
      <c r="G767" s="157"/>
    </row>
    <row r="768">
      <c r="E768" s="157"/>
      <c r="F768" s="157"/>
      <c r="G768" s="157"/>
    </row>
    <row r="769">
      <c r="E769" s="157"/>
      <c r="F769" s="157"/>
      <c r="G769" s="157"/>
    </row>
    <row r="770">
      <c r="E770" s="157"/>
      <c r="F770" s="157"/>
      <c r="G770" s="157"/>
    </row>
    <row r="771">
      <c r="E771" s="157"/>
      <c r="F771" s="157"/>
      <c r="G771" s="157"/>
    </row>
    <row r="772">
      <c r="E772" s="157"/>
      <c r="F772" s="157"/>
      <c r="G772" s="157"/>
    </row>
    <row r="773">
      <c r="E773" s="157"/>
      <c r="F773" s="157"/>
      <c r="G773" s="157"/>
    </row>
    <row r="774">
      <c r="E774" s="157"/>
      <c r="F774" s="157"/>
      <c r="G774" s="157"/>
    </row>
    <row r="775">
      <c r="E775" s="157"/>
      <c r="F775" s="157"/>
      <c r="G775" s="157"/>
    </row>
    <row r="776">
      <c r="E776" s="157"/>
      <c r="F776" s="157"/>
      <c r="G776" s="157"/>
    </row>
    <row r="777">
      <c r="E777" s="157"/>
      <c r="F777" s="157"/>
      <c r="G777" s="157"/>
    </row>
    <row r="778">
      <c r="E778" s="157"/>
      <c r="F778" s="157"/>
      <c r="G778" s="157"/>
    </row>
    <row r="779">
      <c r="E779" s="157"/>
      <c r="F779" s="157"/>
      <c r="G779" s="157"/>
    </row>
    <row r="780">
      <c r="E780" s="157"/>
      <c r="F780" s="157"/>
      <c r="G780" s="157"/>
    </row>
    <row r="781">
      <c r="E781" s="157"/>
      <c r="F781" s="157"/>
      <c r="G781" s="157"/>
    </row>
    <row r="782">
      <c r="E782" s="157"/>
      <c r="F782" s="157"/>
      <c r="G782" s="157"/>
    </row>
    <row r="783">
      <c r="E783" s="157"/>
      <c r="F783" s="157"/>
      <c r="G783" s="157"/>
    </row>
    <row r="784">
      <c r="E784" s="157"/>
      <c r="F784" s="157"/>
      <c r="G784" s="157"/>
    </row>
    <row r="785">
      <c r="E785" s="157"/>
      <c r="F785" s="157"/>
      <c r="G785" s="157"/>
    </row>
    <row r="786">
      <c r="E786" s="157"/>
      <c r="F786" s="157"/>
      <c r="G786" s="157"/>
    </row>
    <row r="787">
      <c r="E787" s="157"/>
      <c r="F787" s="157"/>
      <c r="G787" s="157"/>
    </row>
    <row r="788">
      <c r="E788" s="157"/>
      <c r="F788" s="157"/>
      <c r="G788" s="157"/>
    </row>
    <row r="789">
      <c r="E789" s="157"/>
      <c r="F789" s="157"/>
      <c r="G789" s="157"/>
    </row>
    <row r="790">
      <c r="E790" s="157"/>
      <c r="F790" s="157"/>
      <c r="G790" s="157"/>
    </row>
    <row r="791">
      <c r="E791" s="157"/>
      <c r="F791" s="157"/>
      <c r="G791" s="157"/>
    </row>
    <row r="792">
      <c r="E792" s="157"/>
      <c r="F792" s="157"/>
      <c r="G792" s="157"/>
    </row>
    <row r="793">
      <c r="E793" s="157"/>
      <c r="F793" s="157"/>
      <c r="G793" s="157"/>
    </row>
    <row r="794">
      <c r="E794" s="157"/>
      <c r="F794" s="157"/>
      <c r="G794" s="157"/>
    </row>
    <row r="795">
      <c r="E795" s="157"/>
      <c r="F795" s="157"/>
      <c r="G795" s="157"/>
    </row>
    <row r="796">
      <c r="E796" s="157"/>
      <c r="F796" s="157"/>
      <c r="G796" s="157"/>
    </row>
    <row r="797">
      <c r="E797" s="157"/>
      <c r="F797" s="157"/>
      <c r="G797" s="157"/>
    </row>
    <row r="798">
      <c r="E798" s="157"/>
      <c r="F798" s="157"/>
      <c r="G798" s="157"/>
    </row>
    <row r="799">
      <c r="E799" s="157"/>
      <c r="F799" s="157"/>
      <c r="G799" s="157"/>
    </row>
    <row r="800">
      <c r="E800" s="157"/>
      <c r="F800" s="157"/>
      <c r="G800" s="157"/>
    </row>
    <row r="801">
      <c r="E801" s="157"/>
      <c r="F801" s="157"/>
      <c r="G801" s="157"/>
    </row>
    <row r="802">
      <c r="E802" s="157"/>
      <c r="F802" s="157"/>
      <c r="G802" s="157"/>
    </row>
    <row r="803">
      <c r="E803" s="157"/>
      <c r="F803" s="157"/>
      <c r="G803" s="157"/>
    </row>
    <row r="804">
      <c r="E804" s="157"/>
      <c r="F804" s="157"/>
      <c r="G804" s="157"/>
    </row>
    <row r="805">
      <c r="E805" s="157"/>
      <c r="F805" s="157"/>
      <c r="G805" s="157"/>
    </row>
    <row r="806">
      <c r="E806" s="157"/>
      <c r="F806" s="157"/>
      <c r="G806" s="157"/>
    </row>
    <row r="807">
      <c r="E807" s="157"/>
      <c r="F807" s="157"/>
      <c r="G807" s="157"/>
    </row>
    <row r="808">
      <c r="E808" s="157"/>
      <c r="F808" s="157"/>
      <c r="G808" s="157"/>
    </row>
    <row r="809">
      <c r="E809" s="157"/>
      <c r="F809" s="157"/>
      <c r="G809" s="157"/>
    </row>
    <row r="810">
      <c r="E810" s="157"/>
      <c r="F810" s="157"/>
      <c r="G810" s="157"/>
    </row>
    <row r="811">
      <c r="E811" s="157"/>
      <c r="F811" s="157"/>
      <c r="G811" s="157"/>
    </row>
    <row r="812">
      <c r="E812" s="157"/>
      <c r="F812" s="157"/>
      <c r="G812" s="157"/>
    </row>
    <row r="813">
      <c r="E813" s="157"/>
      <c r="F813" s="157"/>
      <c r="G813" s="157"/>
    </row>
    <row r="814">
      <c r="E814" s="157"/>
      <c r="F814" s="157"/>
      <c r="G814" s="157"/>
    </row>
    <row r="815">
      <c r="E815" s="157"/>
      <c r="F815" s="157"/>
      <c r="G815" s="157"/>
    </row>
    <row r="816">
      <c r="E816" s="157"/>
      <c r="F816" s="157"/>
      <c r="G816" s="157"/>
    </row>
    <row r="817">
      <c r="E817" s="157"/>
      <c r="F817" s="157"/>
      <c r="G817" s="157"/>
    </row>
    <row r="818">
      <c r="E818" s="157"/>
      <c r="F818" s="157"/>
      <c r="G818" s="157"/>
    </row>
    <row r="819">
      <c r="E819" s="157"/>
      <c r="F819" s="157"/>
      <c r="G819" s="157"/>
    </row>
    <row r="820">
      <c r="E820" s="157"/>
      <c r="F820" s="157"/>
      <c r="G820" s="157"/>
    </row>
    <row r="821">
      <c r="E821" s="157"/>
      <c r="F821" s="157"/>
      <c r="G821" s="157"/>
    </row>
    <row r="822">
      <c r="E822" s="157"/>
      <c r="F822" s="157"/>
      <c r="G822" s="157"/>
    </row>
    <row r="823">
      <c r="E823" s="157"/>
      <c r="F823" s="157"/>
      <c r="G823" s="157"/>
    </row>
    <row r="824">
      <c r="E824" s="157"/>
      <c r="F824" s="157"/>
      <c r="G824" s="157"/>
    </row>
    <row r="825">
      <c r="E825" s="157"/>
      <c r="F825" s="157"/>
      <c r="G825" s="157"/>
    </row>
    <row r="826">
      <c r="E826" s="157"/>
      <c r="F826" s="157"/>
      <c r="G826" s="157"/>
    </row>
    <row r="827">
      <c r="E827" s="157"/>
      <c r="F827" s="157"/>
      <c r="G827" s="157"/>
    </row>
    <row r="828">
      <c r="E828" s="157"/>
      <c r="F828" s="157"/>
      <c r="G828" s="157"/>
    </row>
    <row r="829">
      <c r="E829" s="157"/>
      <c r="F829" s="157"/>
      <c r="G829" s="157"/>
    </row>
    <row r="830">
      <c r="E830" s="157"/>
      <c r="F830" s="157"/>
      <c r="G830" s="157"/>
    </row>
    <row r="831">
      <c r="E831" s="157"/>
      <c r="F831" s="157"/>
      <c r="G831" s="157"/>
    </row>
    <row r="832">
      <c r="E832" s="157"/>
      <c r="F832" s="157"/>
      <c r="G832" s="157"/>
    </row>
    <row r="833">
      <c r="E833" s="157"/>
      <c r="F833" s="157"/>
      <c r="G833" s="157"/>
    </row>
    <row r="834">
      <c r="E834" s="157"/>
      <c r="F834" s="157"/>
      <c r="G834" s="157"/>
    </row>
    <row r="835">
      <c r="E835" s="157"/>
      <c r="F835" s="157"/>
      <c r="G835" s="157"/>
    </row>
    <row r="836">
      <c r="E836" s="157"/>
      <c r="F836" s="157"/>
      <c r="G836" s="157"/>
    </row>
    <row r="837">
      <c r="E837" s="157"/>
      <c r="F837" s="157"/>
      <c r="G837" s="157"/>
    </row>
    <row r="838">
      <c r="E838" s="157"/>
      <c r="F838" s="157"/>
      <c r="G838" s="157"/>
    </row>
    <row r="839">
      <c r="E839" s="157"/>
      <c r="F839" s="157"/>
      <c r="G839" s="157"/>
    </row>
    <row r="840">
      <c r="E840" s="157"/>
      <c r="F840" s="157"/>
      <c r="G840" s="157"/>
    </row>
    <row r="841">
      <c r="E841" s="157"/>
      <c r="F841" s="157"/>
      <c r="G841" s="157"/>
    </row>
    <row r="842">
      <c r="E842" s="157"/>
      <c r="F842" s="157"/>
      <c r="G842" s="157"/>
    </row>
    <row r="843">
      <c r="E843" s="157"/>
      <c r="F843" s="157"/>
      <c r="G843" s="157"/>
    </row>
    <row r="844">
      <c r="E844" s="157"/>
      <c r="F844" s="157"/>
      <c r="G844" s="157"/>
    </row>
    <row r="845">
      <c r="E845" s="157"/>
      <c r="F845" s="157"/>
      <c r="G845" s="157"/>
    </row>
    <row r="846">
      <c r="E846" s="157"/>
      <c r="F846" s="157"/>
      <c r="G846" s="157"/>
    </row>
    <row r="847">
      <c r="E847" s="157"/>
      <c r="F847" s="157"/>
      <c r="G847" s="157"/>
    </row>
    <row r="848">
      <c r="E848" s="157"/>
      <c r="F848" s="157"/>
      <c r="G848" s="157"/>
    </row>
    <row r="849">
      <c r="E849" s="157"/>
      <c r="F849" s="157"/>
      <c r="G849" s="157"/>
    </row>
    <row r="850">
      <c r="E850" s="157"/>
      <c r="F850" s="157"/>
      <c r="G850" s="157"/>
    </row>
    <row r="851">
      <c r="E851" s="157"/>
      <c r="F851" s="157"/>
      <c r="G851" s="157"/>
    </row>
    <row r="852">
      <c r="E852" s="157"/>
      <c r="F852" s="157"/>
      <c r="G852" s="157"/>
    </row>
    <row r="853">
      <c r="E853" s="157"/>
      <c r="F853" s="157"/>
      <c r="G853" s="157"/>
    </row>
    <row r="854">
      <c r="E854" s="157"/>
      <c r="F854" s="157"/>
      <c r="G854" s="157"/>
    </row>
    <row r="855">
      <c r="E855" s="157"/>
      <c r="F855" s="157"/>
      <c r="G855" s="157"/>
    </row>
    <row r="856">
      <c r="E856" s="157"/>
      <c r="F856" s="157"/>
      <c r="G856" s="157"/>
    </row>
    <row r="857">
      <c r="E857" s="157"/>
      <c r="F857" s="157"/>
      <c r="G857" s="157"/>
    </row>
    <row r="858">
      <c r="E858" s="157"/>
      <c r="F858" s="157"/>
      <c r="G858" s="157"/>
    </row>
    <row r="859">
      <c r="E859" s="157"/>
      <c r="F859" s="157"/>
      <c r="G859" s="157"/>
    </row>
    <row r="860">
      <c r="E860" s="157"/>
      <c r="F860" s="157"/>
      <c r="G860" s="157"/>
    </row>
    <row r="861">
      <c r="E861" s="157"/>
      <c r="F861" s="157"/>
      <c r="G861" s="157"/>
    </row>
    <row r="862">
      <c r="E862" s="157"/>
      <c r="F862" s="157"/>
      <c r="G862" s="157"/>
    </row>
    <row r="863">
      <c r="E863" s="157"/>
      <c r="F863" s="157"/>
      <c r="G863" s="157"/>
    </row>
    <row r="864">
      <c r="E864" s="157"/>
      <c r="F864" s="157"/>
      <c r="G864" s="157"/>
    </row>
    <row r="865">
      <c r="E865" s="157"/>
      <c r="F865" s="157"/>
      <c r="G865" s="157"/>
    </row>
    <row r="866">
      <c r="E866" s="157"/>
      <c r="F866" s="157"/>
      <c r="G866" s="157"/>
    </row>
    <row r="867">
      <c r="E867" s="157"/>
      <c r="F867" s="157"/>
      <c r="G867" s="157"/>
    </row>
    <row r="868">
      <c r="E868" s="157"/>
      <c r="F868" s="157"/>
      <c r="G868" s="157"/>
    </row>
    <row r="869">
      <c r="E869" s="157"/>
      <c r="F869" s="157"/>
      <c r="G869" s="157"/>
    </row>
    <row r="870">
      <c r="E870" s="157"/>
      <c r="F870" s="157"/>
      <c r="G870" s="157"/>
    </row>
    <row r="871">
      <c r="E871" s="157"/>
      <c r="F871" s="157"/>
      <c r="G871" s="157"/>
    </row>
    <row r="872">
      <c r="E872" s="157"/>
      <c r="F872" s="157"/>
      <c r="G872" s="157"/>
    </row>
    <row r="873">
      <c r="E873" s="157"/>
      <c r="F873" s="157"/>
      <c r="G873" s="157"/>
    </row>
    <row r="874">
      <c r="E874" s="157"/>
      <c r="F874" s="157"/>
      <c r="G874" s="157"/>
    </row>
    <row r="875">
      <c r="E875" s="157"/>
      <c r="F875" s="157"/>
      <c r="G875" s="157"/>
    </row>
    <row r="876">
      <c r="E876" s="157"/>
      <c r="F876" s="157"/>
      <c r="G876" s="157"/>
    </row>
    <row r="877">
      <c r="E877" s="157"/>
      <c r="F877" s="157"/>
      <c r="G877" s="157"/>
    </row>
    <row r="878">
      <c r="E878" s="157"/>
      <c r="F878" s="157"/>
      <c r="G878" s="157"/>
    </row>
    <row r="879">
      <c r="E879" s="157"/>
      <c r="F879" s="157"/>
      <c r="G879" s="157"/>
    </row>
    <row r="880">
      <c r="E880" s="157"/>
      <c r="F880" s="157"/>
      <c r="G880" s="157"/>
    </row>
    <row r="881">
      <c r="E881" s="157"/>
      <c r="F881" s="157"/>
      <c r="G881" s="157"/>
    </row>
    <row r="882">
      <c r="E882" s="157"/>
      <c r="F882" s="157"/>
      <c r="G882" s="157"/>
    </row>
    <row r="883">
      <c r="E883" s="157"/>
      <c r="F883" s="157"/>
      <c r="G883" s="157"/>
    </row>
    <row r="884">
      <c r="E884" s="157"/>
      <c r="F884" s="157"/>
      <c r="G884" s="157"/>
    </row>
    <row r="885">
      <c r="E885" s="157"/>
      <c r="F885" s="157"/>
      <c r="G885" s="157"/>
    </row>
    <row r="886">
      <c r="E886" s="157"/>
      <c r="F886" s="157"/>
      <c r="G886" s="157"/>
    </row>
    <row r="887">
      <c r="E887" s="157"/>
      <c r="F887" s="157"/>
      <c r="G887" s="157"/>
    </row>
    <row r="888">
      <c r="E888" s="157"/>
      <c r="F888" s="157"/>
      <c r="G888" s="157"/>
    </row>
    <row r="889">
      <c r="E889" s="157"/>
      <c r="F889" s="157"/>
      <c r="G889" s="157"/>
    </row>
    <row r="890">
      <c r="E890" s="157"/>
      <c r="F890" s="157"/>
      <c r="G890" s="157"/>
    </row>
    <row r="891">
      <c r="E891" s="157"/>
      <c r="F891" s="157"/>
      <c r="G891" s="157"/>
    </row>
    <row r="892">
      <c r="E892" s="157"/>
      <c r="F892" s="157"/>
      <c r="G892" s="157"/>
    </row>
    <row r="893">
      <c r="E893" s="157"/>
      <c r="F893" s="157"/>
      <c r="G893" s="157"/>
    </row>
    <row r="894">
      <c r="E894" s="157"/>
      <c r="F894" s="157"/>
      <c r="G894" s="157"/>
    </row>
    <row r="895">
      <c r="E895" s="157"/>
      <c r="F895" s="157"/>
      <c r="G895" s="157"/>
    </row>
    <row r="896">
      <c r="E896" s="157"/>
      <c r="F896" s="157"/>
      <c r="G896" s="157"/>
    </row>
    <row r="897">
      <c r="E897" s="157"/>
      <c r="F897" s="157"/>
      <c r="G897" s="157"/>
    </row>
    <row r="898">
      <c r="E898" s="157"/>
      <c r="F898" s="157"/>
      <c r="G898" s="157"/>
    </row>
    <row r="899">
      <c r="E899" s="157"/>
      <c r="F899" s="157"/>
      <c r="G899" s="157"/>
    </row>
    <row r="900">
      <c r="E900" s="157"/>
      <c r="F900" s="157"/>
      <c r="G900" s="157"/>
    </row>
    <row r="901">
      <c r="E901" s="157"/>
      <c r="F901" s="157"/>
      <c r="G901" s="157"/>
    </row>
    <row r="902">
      <c r="E902" s="157"/>
      <c r="F902" s="157"/>
      <c r="G902" s="157"/>
    </row>
    <row r="903">
      <c r="E903" s="157"/>
      <c r="F903" s="157"/>
      <c r="G903" s="157"/>
    </row>
    <row r="904">
      <c r="E904" s="157"/>
      <c r="F904" s="157"/>
      <c r="G904" s="157"/>
    </row>
    <row r="905">
      <c r="E905" s="157"/>
      <c r="F905" s="157"/>
      <c r="G905" s="157"/>
    </row>
    <row r="906">
      <c r="E906" s="157"/>
      <c r="F906" s="157"/>
      <c r="G906" s="157"/>
    </row>
    <row r="907">
      <c r="E907" s="157"/>
      <c r="F907" s="157"/>
      <c r="G907" s="157"/>
    </row>
    <row r="908">
      <c r="E908" s="157"/>
      <c r="F908" s="157"/>
      <c r="G908" s="157"/>
    </row>
    <row r="909">
      <c r="E909" s="157"/>
      <c r="F909" s="157"/>
      <c r="G909" s="157"/>
    </row>
    <row r="910">
      <c r="E910" s="157"/>
      <c r="F910" s="157"/>
      <c r="G910" s="157"/>
    </row>
    <row r="911">
      <c r="E911" s="157"/>
      <c r="F911" s="157"/>
      <c r="G911" s="157"/>
    </row>
    <row r="912">
      <c r="E912" s="157"/>
      <c r="F912" s="157"/>
      <c r="G912" s="157"/>
    </row>
    <row r="913">
      <c r="E913" s="157"/>
      <c r="F913" s="157"/>
      <c r="G913" s="157"/>
    </row>
    <row r="914">
      <c r="E914" s="157"/>
      <c r="F914" s="157"/>
      <c r="G914" s="157"/>
    </row>
    <row r="915">
      <c r="E915" s="157"/>
      <c r="F915" s="157"/>
      <c r="G915" s="157"/>
    </row>
    <row r="916">
      <c r="E916" s="157"/>
      <c r="F916" s="157"/>
      <c r="G916" s="157"/>
    </row>
    <row r="917">
      <c r="E917" s="157"/>
      <c r="F917" s="157"/>
      <c r="G917" s="157"/>
    </row>
    <row r="918">
      <c r="E918" s="157"/>
      <c r="F918" s="157"/>
      <c r="G918" s="157"/>
    </row>
    <row r="919">
      <c r="E919" s="157"/>
      <c r="F919" s="157"/>
      <c r="G919" s="157"/>
    </row>
    <row r="920">
      <c r="E920" s="157"/>
      <c r="F920" s="157"/>
      <c r="G920" s="157"/>
    </row>
    <row r="921">
      <c r="E921" s="157"/>
      <c r="F921" s="157"/>
      <c r="G921" s="157"/>
    </row>
    <row r="922">
      <c r="E922" s="157"/>
      <c r="F922" s="157"/>
      <c r="G922" s="157"/>
    </row>
    <row r="923">
      <c r="E923" s="157"/>
      <c r="F923" s="157"/>
      <c r="G923" s="157"/>
    </row>
    <row r="924">
      <c r="E924" s="157"/>
      <c r="F924" s="157"/>
      <c r="G924" s="157"/>
    </row>
    <row r="925">
      <c r="E925" s="157"/>
      <c r="F925" s="157"/>
      <c r="G925" s="157"/>
    </row>
    <row r="926">
      <c r="E926" s="157"/>
      <c r="F926" s="157"/>
      <c r="G926" s="157"/>
    </row>
    <row r="927">
      <c r="E927" s="157"/>
      <c r="F927" s="157"/>
      <c r="G927" s="157"/>
    </row>
    <row r="928">
      <c r="E928" s="157"/>
      <c r="F928" s="157"/>
      <c r="G928" s="157"/>
    </row>
    <row r="929">
      <c r="E929" s="157"/>
      <c r="F929" s="157"/>
      <c r="G929" s="157"/>
    </row>
    <row r="930">
      <c r="E930" s="157"/>
      <c r="F930" s="157"/>
      <c r="G930" s="157"/>
    </row>
    <row r="931">
      <c r="E931" s="157"/>
      <c r="F931" s="157"/>
      <c r="G931" s="157"/>
    </row>
    <row r="932">
      <c r="E932" s="157"/>
      <c r="F932" s="157"/>
      <c r="G932" s="157"/>
    </row>
    <row r="933">
      <c r="E933" s="157"/>
      <c r="F933" s="157"/>
      <c r="G933" s="157"/>
    </row>
    <row r="934">
      <c r="E934" s="157"/>
      <c r="F934" s="157"/>
      <c r="G934" s="157"/>
    </row>
    <row r="935">
      <c r="E935" s="157"/>
      <c r="F935" s="157"/>
      <c r="G935" s="157"/>
    </row>
    <row r="936">
      <c r="E936" s="157"/>
      <c r="F936" s="157"/>
      <c r="G936" s="157"/>
    </row>
    <row r="937">
      <c r="E937" s="157"/>
      <c r="F937" s="157"/>
      <c r="G937" s="157"/>
    </row>
    <row r="938">
      <c r="E938" s="157"/>
      <c r="F938" s="157"/>
      <c r="G938" s="157"/>
    </row>
    <row r="939">
      <c r="E939" s="157"/>
      <c r="F939" s="157"/>
      <c r="G939" s="157"/>
    </row>
    <row r="940">
      <c r="E940" s="157"/>
      <c r="F940" s="157"/>
      <c r="G940" s="157"/>
    </row>
    <row r="941">
      <c r="E941" s="157"/>
      <c r="F941" s="157"/>
      <c r="G941" s="157"/>
    </row>
    <row r="942">
      <c r="E942" s="157"/>
      <c r="F942" s="157"/>
      <c r="G942" s="157"/>
    </row>
    <row r="943">
      <c r="E943" s="157"/>
      <c r="F943" s="157"/>
      <c r="G943" s="157"/>
    </row>
    <row r="944">
      <c r="E944" s="157"/>
      <c r="F944" s="157"/>
      <c r="G944" s="157"/>
    </row>
    <row r="945">
      <c r="E945" s="157"/>
      <c r="F945" s="157"/>
      <c r="G945" s="157"/>
    </row>
    <row r="946">
      <c r="E946" s="157"/>
      <c r="F946" s="157"/>
      <c r="G946" s="157"/>
    </row>
    <row r="947">
      <c r="E947" s="157"/>
      <c r="F947" s="157"/>
      <c r="G947" s="157"/>
    </row>
    <row r="948">
      <c r="E948" s="157"/>
      <c r="F948" s="157"/>
      <c r="G948" s="157"/>
    </row>
    <row r="949">
      <c r="E949" s="157"/>
      <c r="F949" s="157"/>
      <c r="G949" s="157"/>
    </row>
    <row r="950">
      <c r="E950" s="157"/>
      <c r="F950" s="157"/>
      <c r="G950" s="157"/>
    </row>
    <row r="951">
      <c r="E951" s="157"/>
      <c r="F951" s="157"/>
      <c r="G951" s="157"/>
    </row>
    <row r="952">
      <c r="E952" s="157"/>
      <c r="F952" s="157"/>
      <c r="G952" s="157"/>
    </row>
    <row r="953">
      <c r="E953" s="157"/>
      <c r="F953" s="157"/>
      <c r="G953" s="157"/>
    </row>
    <row r="954">
      <c r="E954" s="157"/>
      <c r="F954" s="157"/>
      <c r="G954" s="157"/>
    </row>
    <row r="955">
      <c r="E955" s="157"/>
      <c r="F955" s="157"/>
      <c r="G955" s="157"/>
    </row>
    <row r="956">
      <c r="E956" s="157"/>
      <c r="F956" s="157"/>
      <c r="G956" s="157"/>
    </row>
    <row r="957">
      <c r="E957" s="157"/>
      <c r="F957" s="157"/>
      <c r="G957" s="157"/>
    </row>
    <row r="958">
      <c r="E958" s="157"/>
      <c r="F958" s="157"/>
      <c r="G958" s="157"/>
    </row>
    <row r="959">
      <c r="E959" s="157"/>
      <c r="F959" s="157"/>
      <c r="G959" s="157"/>
    </row>
    <row r="960">
      <c r="E960" s="157"/>
      <c r="F960" s="157"/>
      <c r="G960" s="157"/>
    </row>
    <row r="961">
      <c r="E961" s="157"/>
      <c r="F961" s="157"/>
      <c r="G961" s="157"/>
    </row>
    <row r="962">
      <c r="E962" s="157"/>
      <c r="F962" s="157"/>
      <c r="G962" s="157"/>
    </row>
    <row r="963">
      <c r="E963" s="157"/>
      <c r="F963" s="157"/>
      <c r="G963" s="157"/>
    </row>
    <row r="964">
      <c r="E964" s="157"/>
      <c r="F964" s="157"/>
      <c r="G964" s="157"/>
    </row>
    <row r="965">
      <c r="E965" s="157"/>
      <c r="F965" s="157"/>
      <c r="G965" s="157"/>
    </row>
    <row r="966">
      <c r="E966" s="157"/>
      <c r="F966" s="157"/>
      <c r="G966" s="157"/>
    </row>
    <row r="967">
      <c r="E967" s="157"/>
      <c r="F967" s="157"/>
      <c r="G967" s="157"/>
    </row>
    <row r="968">
      <c r="E968" s="157"/>
      <c r="F968" s="157"/>
      <c r="G968" s="157"/>
    </row>
    <row r="969">
      <c r="E969" s="157"/>
      <c r="F969" s="157"/>
      <c r="G969" s="157"/>
    </row>
    <row r="970">
      <c r="E970" s="157"/>
      <c r="F970" s="157"/>
      <c r="G970" s="157"/>
    </row>
    <row r="971">
      <c r="E971" s="157"/>
      <c r="F971" s="157"/>
      <c r="G971" s="157"/>
    </row>
    <row r="972">
      <c r="E972" s="157"/>
      <c r="F972" s="157"/>
      <c r="G972" s="157"/>
    </row>
    <row r="973">
      <c r="E973" s="157"/>
      <c r="F973" s="157"/>
      <c r="G973" s="157"/>
    </row>
    <row r="974">
      <c r="E974" s="157"/>
      <c r="F974" s="157"/>
      <c r="G974" s="157"/>
    </row>
    <row r="975">
      <c r="E975" s="157"/>
      <c r="F975" s="157"/>
      <c r="G975" s="157"/>
    </row>
    <row r="976">
      <c r="E976" s="157"/>
      <c r="F976" s="157"/>
      <c r="G976" s="157"/>
    </row>
    <row r="977">
      <c r="E977" s="157"/>
      <c r="F977" s="157"/>
      <c r="G977" s="157"/>
    </row>
    <row r="978">
      <c r="E978" s="157"/>
      <c r="F978" s="157"/>
      <c r="G978" s="157"/>
    </row>
    <row r="979">
      <c r="E979" s="157"/>
      <c r="F979" s="157"/>
      <c r="G979" s="157"/>
    </row>
    <row r="980">
      <c r="E980" s="157"/>
      <c r="F980" s="157"/>
      <c r="G980" s="157"/>
    </row>
    <row r="981">
      <c r="E981" s="157"/>
      <c r="F981" s="157"/>
      <c r="G981" s="157"/>
    </row>
    <row r="982">
      <c r="E982" s="157"/>
      <c r="F982" s="157"/>
      <c r="G982" s="157"/>
    </row>
    <row r="983">
      <c r="E983" s="157"/>
      <c r="F983" s="157"/>
      <c r="G983" s="157"/>
    </row>
    <row r="984">
      <c r="E984" s="157"/>
      <c r="F984" s="157"/>
      <c r="G984" s="157"/>
    </row>
    <row r="985">
      <c r="E985" s="157"/>
      <c r="F985" s="157"/>
      <c r="G985" s="157"/>
    </row>
    <row r="986">
      <c r="E986" s="157"/>
      <c r="F986" s="157"/>
      <c r="G986" s="157"/>
    </row>
    <row r="987">
      <c r="E987" s="157"/>
      <c r="F987" s="157"/>
      <c r="G987" s="157"/>
    </row>
    <row r="988">
      <c r="E988" s="157"/>
      <c r="F988" s="157"/>
      <c r="G988" s="157"/>
    </row>
    <row r="989">
      <c r="E989" s="157"/>
      <c r="F989" s="157"/>
      <c r="G989" s="157"/>
    </row>
    <row r="990">
      <c r="E990" s="157"/>
      <c r="F990" s="157"/>
      <c r="G990" s="157"/>
    </row>
    <row r="991">
      <c r="E991" s="157"/>
      <c r="F991" s="157"/>
      <c r="G991" s="157"/>
    </row>
    <row r="992">
      <c r="E992" s="157"/>
      <c r="F992" s="157"/>
      <c r="G992" s="157"/>
    </row>
    <row r="993">
      <c r="E993" s="157"/>
      <c r="F993" s="157"/>
      <c r="G993" s="157"/>
    </row>
    <row r="994">
      <c r="E994" s="157"/>
      <c r="F994" s="157"/>
      <c r="G994" s="157"/>
    </row>
    <row r="995">
      <c r="E995" s="157"/>
      <c r="F995" s="157"/>
      <c r="G995" s="157"/>
    </row>
    <row r="996">
      <c r="E996" s="157"/>
      <c r="F996" s="157"/>
      <c r="G996" s="157"/>
    </row>
    <row r="997">
      <c r="E997" s="157"/>
      <c r="F997" s="157"/>
      <c r="G997" s="157"/>
    </row>
    <row r="998">
      <c r="E998" s="157"/>
      <c r="F998" s="157"/>
      <c r="G998" s="157"/>
    </row>
    <row r="999">
      <c r="E999" s="157"/>
      <c r="F999" s="157"/>
      <c r="G999" s="157"/>
    </row>
    <row r="1000">
      <c r="E1000" s="157"/>
      <c r="F1000" s="157"/>
      <c r="G1000" s="157"/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4" width="2.29"/>
    <col customWidth="1" min="5" max="49" width="3.43"/>
    <col customWidth="1" min="50" max="55" width="4.57"/>
    <col customWidth="1" min="56" max="59" width="4.43"/>
    <col customWidth="1" min="60" max="499" width="4.57"/>
    <col customWidth="1" min="500" max="550" width="5.86"/>
    <col customWidth="1" min="551" max="555" width="5.71"/>
    <col customWidth="1" min="556" max="559" width="5.43"/>
    <col customWidth="1" min="560" max="599" width="5.71"/>
    <col customWidth="1" min="600" max="1055" width="5.86"/>
    <col customWidth="1" min="1056" max="1059" width="5.71"/>
    <col customWidth="1" min="1060" max="1555" width="5.86"/>
    <col customWidth="1" min="1556" max="1559" width="5.71"/>
    <col customWidth="1" min="1560" max="2055" width="5.86"/>
    <col customWidth="1" min="2056" max="2059" width="5.71"/>
    <col customWidth="1" min="2060" max="2116" width="5.86"/>
  </cols>
  <sheetData>
    <row r="1">
      <c r="A1" s="160">
        <v>1.0</v>
      </c>
      <c r="B1" s="160">
        <v>3.0</v>
      </c>
      <c r="C1" s="160">
        <v>5.0</v>
      </c>
      <c r="D1" s="160">
        <v>7.0</v>
      </c>
      <c r="E1" s="160">
        <v>9.0</v>
      </c>
      <c r="F1" s="160">
        <v>11.0</v>
      </c>
      <c r="G1" s="160">
        <v>13.0</v>
      </c>
      <c r="H1" s="160">
        <v>15.0</v>
      </c>
      <c r="I1" s="160">
        <v>17.0</v>
      </c>
      <c r="J1" s="160">
        <v>19.0</v>
      </c>
      <c r="K1" s="160">
        <v>21.0</v>
      </c>
      <c r="L1" s="160">
        <v>23.0</v>
      </c>
      <c r="M1" s="160">
        <v>25.0</v>
      </c>
      <c r="N1" s="161">
        <v>27.0</v>
      </c>
      <c r="O1" s="160">
        <v>29.0</v>
      </c>
      <c r="P1" s="160">
        <v>31.0</v>
      </c>
      <c r="Q1" s="160">
        <v>33.0</v>
      </c>
      <c r="R1" s="160">
        <v>35.0</v>
      </c>
      <c r="S1" s="160">
        <v>37.0</v>
      </c>
      <c r="T1" s="160">
        <v>39.0</v>
      </c>
      <c r="U1" s="160">
        <v>41.0</v>
      </c>
      <c r="V1" s="160">
        <v>43.0</v>
      </c>
      <c r="W1" s="160">
        <v>45.0</v>
      </c>
      <c r="X1" s="160">
        <v>47.0</v>
      </c>
      <c r="Y1" s="160">
        <v>49.0</v>
      </c>
      <c r="Z1" s="160">
        <v>51.0</v>
      </c>
      <c r="AA1" s="160">
        <v>53.0</v>
      </c>
      <c r="AB1" s="160">
        <v>55.0</v>
      </c>
      <c r="AC1" s="160">
        <v>57.0</v>
      </c>
      <c r="AD1" s="160">
        <v>59.0</v>
      </c>
      <c r="AE1" s="160">
        <v>61.0</v>
      </c>
      <c r="AF1" s="160">
        <v>63.0</v>
      </c>
      <c r="AG1" s="160">
        <v>65.0</v>
      </c>
      <c r="AH1" s="160">
        <v>67.0</v>
      </c>
      <c r="AI1" s="160">
        <v>69.0</v>
      </c>
      <c r="AJ1" s="160">
        <v>71.0</v>
      </c>
      <c r="AK1" s="160">
        <v>73.0</v>
      </c>
      <c r="AL1" s="160">
        <v>75.0</v>
      </c>
      <c r="AM1" s="160">
        <v>77.0</v>
      </c>
      <c r="AN1" s="160">
        <v>79.0</v>
      </c>
      <c r="AO1" s="160">
        <v>81.0</v>
      </c>
      <c r="AP1" s="160">
        <v>83.0</v>
      </c>
      <c r="AQ1" s="160">
        <v>85.0</v>
      </c>
      <c r="AR1" s="160">
        <v>87.0</v>
      </c>
      <c r="AS1" s="160">
        <v>89.0</v>
      </c>
      <c r="AT1" s="160">
        <v>91.0</v>
      </c>
      <c r="AU1" s="160">
        <v>93.0</v>
      </c>
      <c r="AV1" s="160">
        <v>95.0</v>
      </c>
      <c r="AW1" s="160">
        <v>97.0</v>
      </c>
      <c r="AX1" s="160">
        <v>99.0</v>
      </c>
      <c r="AY1" s="160">
        <v>101.0</v>
      </c>
      <c r="AZ1" s="160">
        <v>103.0</v>
      </c>
      <c r="BA1" s="160">
        <v>105.0</v>
      </c>
      <c r="BB1" s="160">
        <v>107.0</v>
      </c>
      <c r="BC1" s="160">
        <v>109.0</v>
      </c>
      <c r="BD1" s="160">
        <v>111.0</v>
      </c>
      <c r="BE1" s="160">
        <v>113.0</v>
      </c>
      <c r="BF1" s="160">
        <v>115.0</v>
      </c>
      <c r="BG1" s="160">
        <v>117.0</v>
      </c>
      <c r="BH1" s="160">
        <v>119.0</v>
      </c>
      <c r="BI1" s="160">
        <v>121.0</v>
      </c>
      <c r="BJ1" s="160">
        <v>123.0</v>
      </c>
      <c r="BK1" s="160">
        <v>125.0</v>
      </c>
      <c r="BL1" s="160">
        <v>127.0</v>
      </c>
      <c r="BM1" s="160">
        <v>129.0</v>
      </c>
      <c r="BN1" s="160">
        <v>131.0</v>
      </c>
      <c r="BO1" s="160">
        <v>133.0</v>
      </c>
      <c r="BP1" s="160">
        <v>135.0</v>
      </c>
      <c r="BQ1" s="160">
        <v>137.0</v>
      </c>
      <c r="BR1" s="160">
        <v>139.0</v>
      </c>
      <c r="BS1" s="160">
        <v>141.0</v>
      </c>
      <c r="BT1" s="160">
        <v>143.0</v>
      </c>
      <c r="BU1" s="160">
        <v>145.0</v>
      </c>
      <c r="BV1" s="160">
        <v>147.0</v>
      </c>
      <c r="BW1" s="160">
        <v>149.0</v>
      </c>
      <c r="BX1" s="160">
        <v>151.0</v>
      </c>
      <c r="BY1" s="160">
        <v>153.0</v>
      </c>
      <c r="BZ1" s="160">
        <v>155.0</v>
      </c>
      <c r="CA1" s="160">
        <v>157.0</v>
      </c>
      <c r="CB1" s="160">
        <v>159.0</v>
      </c>
      <c r="CC1" s="160">
        <v>161.0</v>
      </c>
      <c r="CD1" s="160">
        <v>163.0</v>
      </c>
      <c r="CE1" s="160">
        <v>165.0</v>
      </c>
      <c r="CF1" s="160">
        <v>167.0</v>
      </c>
      <c r="CG1" s="160">
        <v>169.0</v>
      </c>
      <c r="CH1" s="160">
        <v>171.0</v>
      </c>
      <c r="CI1" s="160">
        <v>173.0</v>
      </c>
      <c r="CJ1" s="160">
        <v>175.0</v>
      </c>
      <c r="CK1" s="160">
        <v>177.0</v>
      </c>
      <c r="CL1" s="160">
        <v>179.0</v>
      </c>
      <c r="CM1" s="160">
        <v>181.0</v>
      </c>
      <c r="CN1" s="160">
        <v>183.0</v>
      </c>
      <c r="CO1" s="160">
        <v>185.0</v>
      </c>
      <c r="CP1" s="160">
        <v>187.0</v>
      </c>
      <c r="CQ1" s="160">
        <v>189.0</v>
      </c>
      <c r="CR1" s="160">
        <v>191.0</v>
      </c>
      <c r="CS1" s="160">
        <v>193.0</v>
      </c>
      <c r="CT1" s="160">
        <v>195.0</v>
      </c>
      <c r="CU1" s="160">
        <v>197.0</v>
      </c>
      <c r="CV1" s="160">
        <v>199.0</v>
      </c>
      <c r="CW1" s="160">
        <v>201.0</v>
      </c>
      <c r="CX1" s="160">
        <v>203.0</v>
      </c>
      <c r="CY1" s="160">
        <v>205.0</v>
      </c>
      <c r="CZ1" s="160">
        <v>207.0</v>
      </c>
      <c r="DA1" s="160">
        <v>209.0</v>
      </c>
      <c r="DB1" s="160">
        <v>211.0</v>
      </c>
      <c r="DC1" s="160">
        <v>213.0</v>
      </c>
      <c r="DD1" s="160">
        <v>215.0</v>
      </c>
      <c r="DE1" s="160">
        <v>217.0</v>
      </c>
      <c r="DF1" s="160">
        <v>219.0</v>
      </c>
      <c r="DG1" s="160">
        <v>221.0</v>
      </c>
      <c r="DH1" s="160">
        <v>223.0</v>
      </c>
      <c r="DI1" s="160">
        <v>225.0</v>
      </c>
      <c r="DJ1" s="160">
        <v>227.0</v>
      </c>
      <c r="DK1" s="160">
        <v>229.0</v>
      </c>
      <c r="DL1" s="160">
        <v>231.0</v>
      </c>
      <c r="DM1" s="160">
        <v>233.0</v>
      </c>
      <c r="DN1" s="160">
        <v>235.0</v>
      </c>
      <c r="DO1" s="160">
        <v>237.0</v>
      </c>
      <c r="DP1" s="160">
        <v>239.0</v>
      </c>
      <c r="DQ1" s="160">
        <v>241.0</v>
      </c>
      <c r="DR1" s="160">
        <v>243.0</v>
      </c>
      <c r="DS1" s="160">
        <v>245.0</v>
      </c>
      <c r="DT1" s="160">
        <v>247.0</v>
      </c>
      <c r="DU1" s="160">
        <v>249.0</v>
      </c>
      <c r="DV1" s="160">
        <v>251.0</v>
      </c>
      <c r="DW1" s="160">
        <v>253.0</v>
      </c>
      <c r="DX1" s="160">
        <v>255.0</v>
      </c>
      <c r="DY1" s="160">
        <v>257.0</v>
      </c>
      <c r="DZ1" s="160">
        <v>259.0</v>
      </c>
      <c r="EA1" s="160">
        <v>261.0</v>
      </c>
      <c r="EB1" s="160">
        <v>263.0</v>
      </c>
      <c r="EC1" s="160">
        <v>265.0</v>
      </c>
      <c r="ED1" s="160">
        <v>267.0</v>
      </c>
      <c r="EE1" s="160">
        <v>269.0</v>
      </c>
      <c r="EF1" s="160">
        <v>271.0</v>
      </c>
      <c r="EG1" s="160">
        <v>273.0</v>
      </c>
      <c r="EH1" s="160">
        <v>275.0</v>
      </c>
      <c r="EI1" s="160">
        <v>277.0</v>
      </c>
      <c r="EJ1" s="160">
        <v>279.0</v>
      </c>
      <c r="EK1" s="160">
        <v>281.0</v>
      </c>
      <c r="EL1" s="160">
        <v>283.0</v>
      </c>
      <c r="EM1" s="160">
        <v>285.0</v>
      </c>
      <c r="EN1" s="160">
        <v>287.0</v>
      </c>
      <c r="EO1" s="160">
        <v>289.0</v>
      </c>
      <c r="EP1" s="160">
        <v>291.0</v>
      </c>
      <c r="EQ1" s="160">
        <v>293.0</v>
      </c>
      <c r="ER1" s="160">
        <v>295.0</v>
      </c>
      <c r="ES1" s="160">
        <v>297.0</v>
      </c>
      <c r="ET1" s="160">
        <v>299.0</v>
      </c>
      <c r="EU1" s="160">
        <v>301.0</v>
      </c>
      <c r="EV1" s="160">
        <v>303.0</v>
      </c>
      <c r="EW1" s="160">
        <v>305.0</v>
      </c>
      <c r="EX1" s="160">
        <v>307.0</v>
      </c>
      <c r="EY1" s="160">
        <v>309.0</v>
      </c>
      <c r="EZ1" s="160">
        <v>311.0</v>
      </c>
      <c r="FA1" s="160">
        <v>313.0</v>
      </c>
      <c r="FB1" s="160">
        <v>315.0</v>
      </c>
      <c r="FC1" s="160">
        <v>317.0</v>
      </c>
      <c r="FD1" s="160">
        <v>319.0</v>
      </c>
      <c r="FE1" s="160">
        <v>321.0</v>
      </c>
      <c r="FF1" s="160">
        <v>323.0</v>
      </c>
      <c r="FG1" s="160">
        <v>325.0</v>
      </c>
      <c r="FH1" s="160">
        <v>327.0</v>
      </c>
      <c r="FI1" s="160">
        <v>329.0</v>
      </c>
      <c r="FJ1" s="160">
        <v>331.0</v>
      </c>
      <c r="FK1" s="160">
        <v>333.0</v>
      </c>
      <c r="FL1" s="160">
        <v>335.0</v>
      </c>
      <c r="FM1" s="160">
        <v>337.0</v>
      </c>
      <c r="FN1" s="160">
        <v>339.0</v>
      </c>
      <c r="FO1" s="160">
        <v>341.0</v>
      </c>
      <c r="FP1" s="160">
        <v>343.0</v>
      </c>
      <c r="FQ1" s="160">
        <v>345.0</v>
      </c>
      <c r="FR1" s="160">
        <v>347.0</v>
      </c>
      <c r="FS1" s="160">
        <v>349.0</v>
      </c>
      <c r="FT1" s="160">
        <v>351.0</v>
      </c>
      <c r="FU1" s="160">
        <v>353.0</v>
      </c>
      <c r="FV1" s="160">
        <v>355.0</v>
      </c>
      <c r="FW1" s="160">
        <v>357.0</v>
      </c>
      <c r="FX1" s="160">
        <v>359.0</v>
      </c>
      <c r="FY1" s="160">
        <v>361.0</v>
      </c>
      <c r="FZ1" s="160">
        <v>363.0</v>
      </c>
      <c r="GA1" s="160">
        <v>365.0</v>
      </c>
      <c r="GB1" s="160">
        <v>367.0</v>
      </c>
      <c r="GC1" s="160">
        <v>369.0</v>
      </c>
      <c r="GD1" s="160">
        <v>371.0</v>
      </c>
      <c r="GE1" s="160">
        <v>373.0</v>
      </c>
      <c r="GF1" s="160">
        <v>375.0</v>
      </c>
      <c r="GG1" s="160">
        <v>377.0</v>
      </c>
      <c r="GH1" s="160">
        <v>379.0</v>
      </c>
      <c r="GI1" s="160">
        <v>381.0</v>
      </c>
      <c r="GJ1" s="160">
        <v>383.0</v>
      </c>
      <c r="GK1" s="160">
        <v>385.0</v>
      </c>
      <c r="GL1" s="160">
        <v>387.0</v>
      </c>
      <c r="GM1" s="160">
        <v>389.0</v>
      </c>
      <c r="GN1" s="160">
        <v>391.0</v>
      </c>
      <c r="GO1" s="160">
        <v>393.0</v>
      </c>
      <c r="GP1" s="160">
        <v>395.0</v>
      </c>
      <c r="GQ1" s="160">
        <v>397.0</v>
      </c>
      <c r="GR1" s="160">
        <v>399.0</v>
      </c>
      <c r="GS1" s="160">
        <v>401.0</v>
      </c>
      <c r="GT1" s="160">
        <v>403.0</v>
      </c>
      <c r="GU1" s="160">
        <v>405.0</v>
      </c>
      <c r="GV1" s="160">
        <v>407.0</v>
      </c>
      <c r="GW1" s="160">
        <v>409.0</v>
      </c>
      <c r="GX1" s="160">
        <v>411.0</v>
      </c>
      <c r="GY1" s="160">
        <v>413.0</v>
      </c>
      <c r="GZ1" s="160">
        <v>415.0</v>
      </c>
      <c r="HA1" s="160">
        <v>417.0</v>
      </c>
      <c r="HB1" s="160">
        <v>419.0</v>
      </c>
      <c r="HC1" s="160">
        <v>421.0</v>
      </c>
      <c r="HD1" s="160">
        <v>423.0</v>
      </c>
      <c r="HE1" s="160">
        <v>425.0</v>
      </c>
      <c r="HF1" s="160">
        <v>427.0</v>
      </c>
      <c r="HG1" s="160">
        <v>429.0</v>
      </c>
      <c r="HH1" s="160">
        <v>431.0</v>
      </c>
      <c r="HI1" s="160">
        <v>433.0</v>
      </c>
      <c r="HJ1" s="160">
        <v>435.0</v>
      </c>
      <c r="HK1" s="160">
        <v>437.0</v>
      </c>
      <c r="HL1" s="160">
        <v>439.0</v>
      </c>
      <c r="HM1" s="160">
        <v>441.0</v>
      </c>
      <c r="HN1" s="160">
        <v>443.0</v>
      </c>
      <c r="HO1" s="160">
        <v>445.0</v>
      </c>
      <c r="HP1" s="160">
        <v>447.0</v>
      </c>
      <c r="HQ1" s="160">
        <v>449.0</v>
      </c>
      <c r="HR1" s="160">
        <v>451.0</v>
      </c>
      <c r="HS1" s="160">
        <v>453.0</v>
      </c>
      <c r="HT1" s="160">
        <v>455.0</v>
      </c>
      <c r="HU1" s="160">
        <v>457.0</v>
      </c>
      <c r="HV1" s="160">
        <v>459.0</v>
      </c>
      <c r="HW1" s="160">
        <v>461.0</v>
      </c>
      <c r="HX1" s="160">
        <v>463.0</v>
      </c>
      <c r="HY1" s="160">
        <v>465.0</v>
      </c>
      <c r="HZ1" s="160">
        <v>467.0</v>
      </c>
      <c r="IA1" s="160">
        <v>469.0</v>
      </c>
      <c r="IB1" s="160">
        <v>471.0</v>
      </c>
      <c r="IC1" s="160">
        <v>473.0</v>
      </c>
      <c r="ID1" s="160">
        <v>475.0</v>
      </c>
      <c r="IE1" s="160">
        <v>477.0</v>
      </c>
      <c r="IF1" s="160">
        <v>479.0</v>
      </c>
      <c r="IG1" s="160">
        <v>481.0</v>
      </c>
      <c r="IH1" s="160">
        <v>483.0</v>
      </c>
      <c r="II1" s="160">
        <v>485.0</v>
      </c>
      <c r="IJ1" s="160">
        <v>487.0</v>
      </c>
      <c r="IK1" s="160">
        <v>489.0</v>
      </c>
      <c r="IL1" s="160">
        <v>491.0</v>
      </c>
      <c r="IM1" s="160">
        <v>493.0</v>
      </c>
      <c r="IN1" s="160">
        <v>495.0</v>
      </c>
      <c r="IO1" s="160">
        <v>497.0</v>
      </c>
      <c r="IP1" s="160">
        <v>499.0</v>
      </c>
      <c r="IQ1" s="160">
        <v>501.0</v>
      </c>
      <c r="IR1" s="160">
        <v>503.0</v>
      </c>
      <c r="IS1" s="160">
        <v>505.0</v>
      </c>
      <c r="IT1" s="160">
        <v>507.0</v>
      </c>
      <c r="IU1" s="160">
        <v>509.0</v>
      </c>
      <c r="IV1" s="160">
        <v>511.0</v>
      </c>
      <c r="IW1" s="160">
        <v>513.0</v>
      </c>
      <c r="IX1" s="160">
        <v>515.0</v>
      </c>
      <c r="IY1" s="160">
        <v>517.0</v>
      </c>
      <c r="IZ1" s="160">
        <v>519.0</v>
      </c>
      <c r="JA1" s="160">
        <v>521.0</v>
      </c>
      <c r="JB1" s="160">
        <v>523.0</v>
      </c>
      <c r="JC1" s="160">
        <v>525.0</v>
      </c>
      <c r="JD1" s="160">
        <v>527.0</v>
      </c>
      <c r="JE1" s="160">
        <v>529.0</v>
      </c>
      <c r="JF1" s="160">
        <v>531.0</v>
      </c>
      <c r="JG1" s="160">
        <v>533.0</v>
      </c>
      <c r="JH1" s="160">
        <v>535.0</v>
      </c>
      <c r="JI1" s="160">
        <v>537.0</v>
      </c>
      <c r="JJ1" s="160">
        <v>539.0</v>
      </c>
      <c r="JK1" s="160">
        <v>541.0</v>
      </c>
      <c r="JL1" s="160">
        <v>543.0</v>
      </c>
      <c r="JM1" s="160">
        <v>545.0</v>
      </c>
      <c r="JN1" s="160">
        <v>547.0</v>
      </c>
      <c r="JO1" s="160">
        <v>549.0</v>
      </c>
      <c r="JP1" s="160">
        <v>551.0</v>
      </c>
      <c r="JQ1" s="160">
        <v>553.0</v>
      </c>
      <c r="JR1" s="160">
        <v>555.0</v>
      </c>
      <c r="JS1" s="160">
        <v>557.0</v>
      </c>
      <c r="JT1" s="160">
        <v>559.0</v>
      </c>
      <c r="JU1" s="160">
        <v>561.0</v>
      </c>
      <c r="JV1" s="160">
        <v>563.0</v>
      </c>
      <c r="JW1" s="160">
        <v>565.0</v>
      </c>
      <c r="JX1" s="160">
        <v>567.0</v>
      </c>
      <c r="JY1" s="160">
        <v>569.0</v>
      </c>
      <c r="JZ1" s="160">
        <v>571.0</v>
      </c>
      <c r="KA1" s="160">
        <v>573.0</v>
      </c>
      <c r="KB1" s="160">
        <v>575.0</v>
      </c>
      <c r="KC1" s="160">
        <v>577.0</v>
      </c>
      <c r="KD1" s="160">
        <v>579.0</v>
      </c>
      <c r="KE1" s="160">
        <v>581.0</v>
      </c>
      <c r="KF1" s="160">
        <v>583.0</v>
      </c>
      <c r="KG1" s="160">
        <v>585.0</v>
      </c>
      <c r="KH1" s="160">
        <v>587.0</v>
      </c>
      <c r="KI1" s="160">
        <v>589.0</v>
      </c>
      <c r="KJ1" s="160">
        <v>591.0</v>
      </c>
      <c r="KK1" s="160">
        <v>593.0</v>
      </c>
      <c r="KL1" s="160">
        <v>595.0</v>
      </c>
      <c r="KM1" s="160">
        <v>597.0</v>
      </c>
      <c r="KN1" s="160">
        <v>599.0</v>
      </c>
      <c r="KO1" s="160">
        <v>601.0</v>
      </c>
      <c r="KP1" s="160">
        <v>603.0</v>
      </c>
      <c r="KQ1" s="160">
        <v>605.0</v>
      </c>
      <c r="KR1" s="160">
        <v>607.0</v>
      </c>
      <c r="KS1" s="160">
        <v>609.0</v>
      </c>
      <c r="KT1" s="160">
        <v>611.0</v>
      </c>
      <c r="KU1" s="160">
        <v>613.0</v>
      </c>
      <c r="KV1" s="160">
        <v>615.0</v>
      </c>
      <c r="KW1" s="160">
        <v>617.0</v>
      </c>
      <c r="KX1" s="160">
        <v>619.0</v>
      </c>
      <c r="KY1" s="160">
        <v>621.0</v>
      </c>
      <c r="KZ1" s="160">
        <v>623.0</v>
      </c>
      <c r="LA1" s="160">
        <v>625.0</v>
      </c>
      <c r="LB1" s="160">
        <v>627.0</v>
      </c>
      <c r="LC1" s="160">
        <v>629.0</v>
      </c>
      <c r="LD1" s="160">
        <v>631.0</v>
      </c>
      <c r="LE1" s="160">
        <v>633.0</v>
      </c>
      <c r="LF1" s="160">
        <v>635.0</v>
      </c>
      <c r="LG1" s="160">
        <v>637.0</v>
      </c>
      <c r="LH1" s="160">
        <v>639.0</v>
      </c>
      <c r="LI1" s="160">
        <v>641.0</v>
      </c>
      <c r="LJ1" s="160">
        <v>643.0</v>
      </c>
      <c r="LK1" s="160">
        <v>645.0</v>
      </c>
      <c r="LL1" s="160">
        <v>647.0</v>
      </c>
      <c r="LM1" s="160">
        <v>649.0</v>
      </c>
      <c r="LN1" s="160">
        <v>651.0</v>
      </c>
      <c r="LO1" s="160">
        <v>653.0</v>
      </c>
      <c r="LP1" s="160">
        <v>655.0</v>
      </c>
      <c r="LQ1" s="160">
        <v>657.0</v>
      </c>
      <c r="LR1" s="160">
        <v>659.0</v>
      </c>
      <c r="LS1" s="160">
        <v>661.0</v>
      </c>
      <c r="LT1" s="160">
        <v>663.0</v>
      </c>
      <c r="LU1" s="160">
        <v>665.0</v>
      </c>
      <c r="LV1" s="160">
        <v>667.0</v>
      </c>
      <c r="LW1" s="160">
        <v>669.0</v>
      </c>
      <c r="LX1" s="160">
        <v>671.0</v>
      </c>
      <c r="LY1" s="160">
        <v>673.0</v>
      </c>
      <c r="LZ1" s="160">
        <v>675.0</v>
      </c>
      <c r="MA1" s="160">
        <v>677.0</v>
      </c>
      <c r="MB1" s="160">
        <v>679.0</v>
      </c>
      <c r="MC1" s="160">
        <v>681.0</v>
      </c>
      <c r="MD1" s="160">
        <v>683.0</v>
      </c>
      <c r="ME1" s="160">
        <v>685.0</v>
      </c>
      <c r="MF1" s="160">
        <v>687.0</v>
      </c>
      <c r="MG1" s="160">
        <v>689.0</v>
      </c>
      <c r="MH1" s="160">
        <v>691.0</v>
      </c>
      <c r="MI1" s="160">
        <v>693.0</v>
      </c>
      <c r="MJ1" s="160">
        <v>695.0</v>
      </c>
      <c r="MK1" s="160">
        <v>697.0</v>
      </c>
      <c r="ML1" s="160">
        <v>699.0</v>
      </c>
      <c r="MM1" s="160">
        <v>701.0</v>
      </c>
      <c r="MN1" s="160">
        <v>703.0</v>
      </c>
      <c r="MO1" s="160">
        <v>705.0</v>
      </c>
      <c r="MP1" s="160">
        <v>707.0</v>
      </c>
      <c r="MQ1" s="160">
        <v>709.0</v>
      </c>
      <c r="MR1" s="160">
        <v>711.0</v>
      </c>
      <c r="MS1" s="160">
        <v>713.0</v>
      </c>
      <c r="MT1" s="160">
        <v>715.0</v>
      </c>
      <c r="MU1" s="160">
        <v>717.0</v>
      </c>
      <c r="MV1" s="160">
        <v>719.0</v>
      </c>
      <c r="MW1" s="160">
        <v>721.0</v>
      </c>
      <c r="MX1" s="160">
        <v>723.0</v>
      </c>
      <c r="MY1" s="160">
        <v>725.0</v>
      </c>
      <c r="MZ1" s="160">
        <v>727.0</v>
      </c>
      <c r="NA1" s="160">
        <v>729.0</v>
      </c>
      <c r="NB1" s="160">
        <v>731.0</v>
      </c>
      <c r="NC1" s="160">
        <v>733.0</v>
      </c>
      <c r="ND1" s="160">
        <v>735.0</v>
      </c>
      <c r="NE1" s="160">
        <v>737.0</v>
      </c>
      <c r="NF1" s="160">
        <v>739.0</v>
      </c>
      <c r="NG1" s="160">
        <v>741.0</v>
      </c>
      <c r="NH1" s="160">
        <v>743.0</v>
      </c>
      <c r="NI1" s="160">
        <v>745.0</v>
      </c>
      <c r="NJ1" s="160">
        <v>747.0</v>
      </c>
      <c r="NK1" s="160">
        <v>749.0</v>
      </c>
      <c r="NL1" s="160">
        <v>751.0</v>
      </c>
      <c r="NM1" s="160">
        <v>753.0</v>
      </c>
      <c r="NN1" s="160">
        <v>755.0</v>
      </c>
      <c r="NO1" s="160">
        <v>757.0</v>
      </c>
      <c r="NP1" s="160">
        <v>759.0</v>
      </c>
      <c r="NQ1" s="160">
        <v>761.0</v>
      </c>
      <c r="NR1" s="160">
        <v>763.0</v>
      </c>
      <c r="NS1" s="160">
        <v>765.0</v>
      </c>
      <c r="NT1" s="160">
        <v>767.0</v>
      </c>
      <c r="NU1" s="160">
        <v>769.0</v>
      </c>
      <c r="NV1" s="160">
        <v>771.0</v>
      </c>
      <c r="NW1" s="160">
        <v>773.0</v>
      </c>
      <c r="NX1" s="160">
        <v>775.0</v>
      </c>
      <c r="NY1" s="160">
        <v>777.0</v>
      </c>
      <c r="NZ1" s="160">
        <v>779.0</v>
      </c>
      <c r="OA1" s="160">
        <v>781.0</v>
      </c>
      <c r="OB1" s="160">
        <v>783.0</v>
      </c>
      <c r="OC1" s="160">
        <v>785.0</v>
      </c>
      <c r="OD1" s="160">
        <v>787.0</v>
      </c>
      <c r="OE1" s="160">
        <v>789.0</v>
      </c>
      <c r="OF1" s="160">
        <v>791.0</v>
      </c>
      <c r="OG1" s="160">
        <v>793.0</v>
      </c>
      <c r="OH1" s="160">
        <v>795.0</v>
      </c>
      <c r="OI1" s="160">
        <v>797.0</v>
      </c>
      <c r="OJ1" s="160">
        <v>799.0</v>
      </c>
      <c r="OK1" s="160">
        <v>801.0</v>
      </c>
      <c r="OL1" s="160">
        <v>803.0</v>
      </c>
      <c r="OM1" s="160">
        <v>805.0</v>
      </c>
      <c r="ON1" s="160">
        <v>807.0</v>
      </c>
      <c r="OO1" s="160">
        <v>809.0</v>
      </c>
      <c r="OP1" s="160">
        <v>811.0</v>
      </c>
      <c r="OQ1" s="160">
        <v>813.0</v>
      </c>
      <c r="OR1" s="160">
        <v>815.0</v>
      </c>
      <c r="OS1" s="160">
        <v>817.0</v>
      </c>
      <c r="OT1" s="160">
        <v>819.0</v>
      </c>
      <c r="OU1" s="160">
        <v>821.0</v>
      </c>
      <c r="OV1" s="160">
        <v>823.0</v>
      </c>
      <c r="OW1" s="160">
        <v>825.0</v>
      </c>
      <c r="OX1" s="160">
        <v>827.0</v>
      </c>
      <c r="OY1" s="160">
        <v>829.0</v>
      </c>
      <c r="OZ1" s="160">
        <v>831.0</v>
      </c>
      <c r="PA1" s="160">
        <v>833.0</v>
      </c>
      <c r="PB1" s="160">
        <v>835.0</v>
      </c>
      <c r="PC1" s="160">
        <v>837.0</v>
      </c>
      <c r="PD1" s="160">
        <v>839.0</v>
      </c>
      <c r="PE1" s="160">
        <v>841.0</v>
      </c>
      <c r="PF1" s="160">
        <v>843.0</v>
      </c>
      <c r="PG1" s="160">
        <v>845.0</v>
      </c>
      <c r="PH1" s="160">
        <v>847.0</v>
      </c>
      <c r="PI1" s="160">
        <v>849.0</v>
      </c>
      <c r="PJ1" s="160">
        <v>851.0</v>
      </c>
      <c r="PK1" s="160">
        <v>853.0</v>
      </c>
      <c r="PL1" s="160">
        <v>855.0</v>
      </c>
      <c r="PM1" s="160">
        <v>857.0</v>
      </c>
      <c r="PN1" s="160">
        <v>859.0</v>
      </c>
      <c r="PO1" s="160">
        <v>861.0</v>
      </c>
      <c r="PP1" s="160">
        <v>863.0</v>
      </c>
      <c r="PQ1" s="160">
        <v>865.0</v>
      </c>
      <c r="PR1" s="160">
        <v>867.0</v>
      </c>
      <c r="PS1" s="160">
        <v>869.0</v>
      </c>
      <c r="PT1" s="160">
        <v>871.0</v>
      </c>
      <c r="PU1" s="160">
        <v>873.0</v>
      </c>
      <c r="PV1" s="160">
        <v>875.0</v>
      </c>
      <c r="PW1" s="160">
        <v>877.0</v>
      </c>
      <c r="PX1" s="160">
        <v>879.0</v>
      </c>
      <c r="PY1" s="160">
        <v>881.0</v>
      </c>
      <c r="PZ1" s="160">
        <v>883.0</v>
      </c>
      <c r="QA1" s="160">
        <v>885.0</v>
      </c>
      <c r="QB1" s="160">
        <v>887.0</v>
      </c>
      <c r="QC1" s="160">
        <v>889.0</v>
      </c>
      <c r="QD1" s="160">
        <v>891.0</v>
      </c>
      <c r="QE1" s="160">
        <v>893.0</v>
      </c>
      <c r="QF1" s="160">
        <v>895.0</v>
      </c>
      <c r="QG1" s="160">
        <v>897.0</v>
      </c>
      <c r="QH1" s="160">
        <v>899.0</v>
      </c>
      <c r="QI1" s="160">
        <v>901.0</v>
      </c>
      <c r="QJ1" s="160">
        <v>903.0</v>
      </c>
      <c r="QK1" s="160">
        <v>905.0</v>
      </c>
      <c r="QL1" s="160">
        <v>907.0</v>
      </c>
      <c r="QM1" s="160">
        <v>909.0</v>
      </c>
      <c r="QN1" s="160">
        <v>911.0</v>
      </c>
      <c r="QO1" s="160">
        <v>913.0</v>
      </c>
      <c r="QP1" s="160">
        <v>915.0</v>
      </c>
      <c r="QQ1" s="160">
        <v>917.0</v>
      </c>
      <c r="QR1" s="160">
        <v>919.0</v>
      </c>
      <c r="QS1" s="160">
        <v>921.0</v>
      </c>
      <c r="QT1" s="160">
        <v>923.0</v>
      </c>
      <c r="QU1" s="160">
        <v>925.0</v>
      </c>
      <c r="QV1" s="160">
        <v>927.0</v>
      </c>
      <c r="QW1" s="160">
        <v>929.0</v>
      </c>
      <c r="QX1" s="160">
        <v>931.0</v>
      </c>
      <c r="QY1" s="160">
        <v>933.0</v>
      </c>
      <c r="QZ1" s="160">
        <v>935.0</v>
      </c>
      <c r="RA1" s="160">
        <v>937.0</v>
      </c>
      <c r="RB1" s="160">
        <v>939.0</v>
      </c>
      <c r="RC1" s="160">
        <v>941.0</v>
      </c>
      <c r="RD1" s="160">
        <v>943.0</v>
      </c>
      <c r="RE1" s="160">
        <v>945.0</v>
      </c>
      <c r="RF1" s="160">
        <v>947.0</v>
      </c>
      <c r="RG1" s="160">
        <v>949.0</v>
      </c>
      <c r="RH1" s="160">
        <v>951.0</v>
      </c>
      <c r="RI1" s="160">
        <v>953.0</v>
      </c>
      <c r="RJ1" s="160">
        <v>955.0</v>
      </c>
      <c r="RK1" s="160">
        <v>957.0</v>
      </c>
      <c r="RL1" s="160">
        <v>959.0</v>
      </c>
      <c r="RM1" s="160">
        <v>961.0</v>
      </c>
      <c r="RN1" s="160">
        <v>963.0</v>
      </c>
      <c r="RO1" s="160">
        <v>965.0</v>
      </c>
      <c r="RP1" s="160">
        <v>967.0</v>
      </c>
      <c r="RQ1" s="160">
        <v>969.0</v>
      </c>
      <c r="RR1" s="160">
        <v>971.0</v>
      </c>
      <c r="RS1" s="160">
        <v>973.0</v>
      </c>
      <c r="RT1" s="160">
        <v>975.0</v>
      </c>
      <c r="RU1" s="160">
        <v>977.0</v>
      </c>
      <c r="RV1" s="160">
        <v>979.0</v>
      </c>
      <c r="RW1" s="160">
        <v>981.0</v>
      </c>
      <c r="RX1" s="160">
        <v>983.0</v>
      </c>
      <c r="RY1" s="160">
        <v>985.0</v>
      </c>
      <c r="RZ1" s="160">
        <v>987.0</v>
      </c>
      <c r="SA1" s="160">
        <v>989.0</v>
      </c>
      <c r="SB1" s="160">
        <v>991.0</v>
      </c>
      <c r="SC1" s="160">
        <v>993.0</v>
      </c>
      <c r="SD1" s="160">
        <v>995.0</v>
      </c>
      <c r="SE1" s="160">
        <v>997.0</v>
      </c>
      <c r="SF1" s="160">
        <v>999.0</v>
      </c>
      <c r="SG1" s="160">
        <v>1001.0</v>
      </c>
      <c r="SH1" s="160">
        <v>1003.0</v>
      </c>
      <c r="SI1" s="160">
        <v>1005.0</v>
      </c>
      <c r="SJ1" s="160">
        <v>1007.0</v>
      </c>
      <c r="SK1" s="160">
        <v>1009.0</v>
      </c>
      <c r="SL1" s="160">
        <v>1011.0</v>
      </c>
      <c r="SM1" s="160">
        <v>1013.0</v>
      </c>
      <c r="SN1" s="160">
        <v>1015.0</v>
      </c>
      <c r="SO1" s="160">
        <v>1017.0</v>
      </c>
      <c r="SP1" s="160">
        <v>1019.0</v>
      </c>
      <c r="SQ1" s="160">
        <v>1021.0</v>
      </c>
      <c r="SR1" s="160">
        <v>1023.0</v>
      </c>
      <c r="SS1" s="160">
        <v>1025.0</v>
      </c>
      <c r="ST1" s="160">
        <v>1027.0</v>
      </c>
      <c r="SU1" s="160">
        <v>1029.0</v>
      </c>
      <c r="SV1" s="160">
        <v>1031.0</v>
      </c>
      <c r="SW1" s="160">
        <v>1033.0</v>
      </c>
      <c r="SX1" s="160">
        <v>1035.0</v>
      </c>
      <c r="SY1" s="160">
        <v>1037.0</v>
      </c>
      <c r="SZ1" s="160">
        <v>1039.0</v>
      </c>
      <c r="TA1" s="160">
        <v>1041.0</v>
      </c>
      <c r="TB1" s="160">
        <v>1043.0</v>
      </c>
      <c r="TC1" s="160">
        <v>1045.0</v>
      </c>
      <c r="TD1" s="160">
        <v>1047.0</v>
      </c>
      <c r="TE1" s="160">
        <v>1049.0</v>
      </c>
      <c r="TF1" s="160">
        <v>1051.0</v>
      </c>
      <c r="TG1" s="160">
        <v>1053.0</v>
      </c>
      <c r="TH1" s="160">
        <v>1055.0</v>
      </c>
      <c r="TI1" s="160">
        <v>1057.0</v>
      </c>
      <c r="TJ1" s="160">
        <v>1059.0</v>
      </c>
      <c r="TK1" s="160">
        <v>1061.0</v>
      </c>
      <c r="TL1" s="160">
        <v>1063.0</v>
      </c>
      <c r="TM1" s="160">
        <v>1065.0</v>
      </c>
      <c r="TN1" s="160">
        <v>1067.0</v>
      </c>
      <c r="TO1" s="160">
        <v>1069.0</v>
      </c>
      <c r="TP1" s="160">
        <v>1071.0</v>
      </c>
      <c r="TQ1" s="160">
        <v>1073.0</v>
      </c>
      <c r="TR1" s="160">
        <v>1075.0</v>
      </c>
      <c r="TS1" s="160">
        <v>1077.0</v>
      </c>
      <c r="TT1" s="160">
        <v>1079.0</v>
      </c>
      <c r="TU1" s="160">
        <v>1081.0</v>
      </c>
      <c r="TV1" s="160">
        <v>1083.0</v>
      </c>
      <c r="TW1" s="160">
        <v>1085.0</v>
      </c>
      <c r="TX1" s="160">
        <v>1087.0</v>
      </c>
      <c r="TY1" s="160">
        <v>1089.0</v>
      </c>
      <c r="TZ1" s="160">
        <v>1091.0</v>
      </c>
      <c r="UA1" s="160">
        <v>1093.0</v>
      </c>
      <c r="UB1" s="160">
        <v>1095.0</v>
      </c>
      <c r="UC1" s="160">
        <v>1097.0</v>
      </c>
      <c r="UD1" s="160">
        <v>1099.0</v>
      </c>
      <c r="UE1" s="160">
        <v>1101.0</v>
      </c>
      <c r="UF1" s="160">
        <v>1103.0</v>
      </c>
      <c r="UG1" s="160">
        <v>1105.0</v>
      </c>
      <c r="UH1" s="160">
        <v>1107.0</v>
      </c>
      <c r="UI1" s="160">
        <v>1109.0</v>
      </c>
      <c r="UJ1" s="160">
        <v>1111.0</v>
      </c>
      <c r="UK1" s="160">
        <v>1113.0</v>
      </c>
      <c r="UL1" s="160">
        <v>1115.0</v>
      </c>
      <c r="UM1" s="160">
        <v>1117.0</v>
      </c>
      <c r="UN1" s="160">
        <v>1119.0</v>
      </c>
      <c r="UO1" s="160">
        <v>1121.0</v>
      </c>
      <c r="UP1" s="160">
        <v>1123.0</v>
      </c>
      <c r="UQ1" s="160">
        <v>1125.0</v>
      </c>
      <c r="UR1" s="160">
        <v>1127.0</v>
      </c>
      <c r="US1" s="160">
        <v>1129.0</v>
      </c>
      <c r="UT1" s="160">
        <v>1131.0</v>
      </c>
      <c r="UU1" s="160">
        <v>1133.0</v>
      </c>
      <c r="UV1" s="160">
        <v>1135.0</v>
      </c>
      <c r="UW1" s="160">
        <v>1137.0</v>
      </c>
      <c r="UX1" s="160">
        <v>1139.0</v>
      </c>
      <c r="UY1" s="160">
        <v>1141.0</v>
      </c>
      <c r="UZ1" s="160">
        <v>1143.0</v>
      </c>
      <c r="VA1" s="160">
        <v>1145.0</v>
      </c>
      <c r="VB1" s="160">
        <v>1147.0</v>
      </c>
      <c r="VC1" s="160">
        <v>1149.0</v>
      </c>
      <c r="VD1" s="160">
        <v>1151.0</v>
      </c>
      <c r="VE1" s="160">
        <v>1153.0</v>
      </c>
      <c r="VF1" s="160">
        <v>1155.0</v>
      </c>
      <c r="VG1" s="160">
        <v>1157.0</v>
      </c>
      <c r="VH1" s="160">
        <v>1159.0</v>
      </c>
      <c r="VI1" s="160">
        <v>1161.0</v>
      </c>
      <c r="VJ1" s="160">
        <v>1163.0</v>
      </c>
      <c r="VK1" s="160">
        <v>1165.0</v>
      </c>
      <c r="VL1" s="160">
        <v>1167.0</v>
      </c>
      <c r="VM1" s="160">
        <v>1169.0</v>
      </c>
      <c r="VN1" s="160">
        <v>1171.0</v>
      </c>
      <c r="VO1" s="160">
        <v>1173.0</v>
      </c>
      <c r="VP1" s="160">
        <v>1175.0</v>
      </c>
      <c r="VQ1" s="160">
        <v>1177.0</v>
      </c>
      <c r="VR1" s="160">
        <v>1179.0</v>
      </c>
      <c r="VS1" s="160">
        <v>1181.0</v>
      </c>
      <c r="VT1" s="160">
        <v>1183.0</v>
      </c>
      <c r="VU1" s="160">
        <v>1185.0</v>
      </c>
      <c r="VV1" s="160">
        <v>1187.0</v>
      </c>
      <c r="VW1" s="160">
        <v>1189.0</v>
      </c>
      <c r="VX1" s="160">
        <v>1191.0</v>
      </c>
      <c r="VY1" s="160">
        <v>1193.0</v>
      </c>
      <c r="VZ1" s="160">
        <v>1195.0</v>
      </c>
      <c r="WA1" s="160">
        <v>1197.0</v>
      </c>
      <c r="WB1" s="160">
        <v>1199.0</v>
      </c>
      <c r="WC1" s="160">
        <v>1201.0</v>
      </c>
      <c r="WD1" s="160">
        <v>1203.0</v>
      </c>
      <c r="WE1" s="160">
        <v>1205.0</v>
      </c>
      <c r="WF1" s="160">
        <v>1207.0</v>
      </c>
      <c r="WG1" s="160">
        <v>1209.0</v>
      </c>
      <c r="WH1" s="160">
        <v>1211.0</v>
      </c>
      <c r="WI1" s="160">
        <v>1213.0</v>
      </c>
      <c r="WJ1" s="160">
        <v>1215.0</v>
      </c>
      <c r="WK1" s="160">
        <v>1217.0</v>
      </c>
      <c r="WL1" s="160">
        <v>1219.0</v>
      </c>
      <c r="WM1" s="160">
        <v>1221.0</v>
      </c>
      <c r="WN1" s="160">
        <v>1223.0</v>
      </c>
      <c r="WO1" s="160">
        <v>1225.0</v>
      </c>
      <c r="WP1" s="160">
        <v>1227.0</v>
      </c>
      <c r="WQ1" s="160">
        <v>1229.0</v>
      </c>
      <c r="WR1" s="160">
        <v>1231.0</v>
      </c>
      <c r="WS1" s="160">
        <v>1233.0</v>
      </c>
      <c r="WT1" s="160">
        <v>1235.0</v>
      </c>
      <c r="WU1" s="160">
        <v>1237.0</v>
      </c>
      <c r="WV1" s="160">
        <v>1239.0</v>
      </c>
      <c r="WW1" s="160">
        <v>1241.0</v>
      </c>
      <c r="WX1" s="160">
        <v>1243.0</v>
      </c>
      <c r="WY1" s="160">
        <v>1245.0</v>
      </c>
      <c r="WZ1" s="160">
        <v>1247.0</v>
      </c>
      <c r="XA1" s="160">
        <v>1249.0</v>
      </c>
      <c r="XB1" s="160">
        <v>1251.0</v>
      </c>
      <c r="XC1" s="160">
        <v>1253.0</v>
      </c>
      <c r="XD1" s="160">
        <v>1255.0</v>
      </c>
      <c r="XE1" s="160">
        <v>1257.0</v>
      </c>
      <c r="XF1" s="160">
        <v>1259.0</v>
      </c>
      <c r="XG1" s="160">
        <v>1261.0</v>
      </c>
      <c r="XH1" s="160">
        <v>1263.0</v>
      </c>
      <c r="XI1" s="160">
        <v>1265.0</v>
      </c>
      <c r="XJ1" s="160">
        <v>1267.0</v>
      </c>
      <c r="XK1" s="160">
        <v>1269.0</v>
      </c>
      <c r="XL1" s="160">
        <v>1271.0</v>
      </c>
      <c r="XM1" s="160">
        <v>1273.0</v>
      </c>
      <c r="XN1" s="160">
        <v>1275.0</v>
      </c>
      <c r="XO1" s="160">
        <v>1277.0</v>
      </c>
      <c r="XP1" s="160">
        <v>1279.0</v>
      </c>
      <c r="XQ1" s="160">
        <v>1281.0</v>
      </c>
      <c r="XR1" s="160">
        <v>1283.0</v>
      </c>
      <c r="XS1" s="160">
        <v>1285.0</v>
      </c>
      <c r="XT1" s="160">
        <v>1287.0</v>
      </c>
      <c r="XU1" s="160">
        <v>1289.0</v>
      </c>
      <c r="XV1" s="160">
        <v>1291.0</v>
      </c>
      <c r="XW1" s="160">
        <v>1293.0</v>
      </c>
      <c r="XX1" s="160">
        <v>1295.0</v>
      </c>
      <c r="XY1" s="160">
        <v>1297.0</v>
      </c>
      <c r="XZ1" s="160">
        <v>1299.0</v>
      </c>
      <c r="YA1" s="160">
        <v>1301.0</v>
      </c>
      <c r="YB1" s="160">
        <v>1303.0</v>
      </c>
      <c r="YC1" s="160">
        <v>1305.0</v>
      </c>
      <c r="YD1" s="160">
        <v>1307.0</v>
      </c>
      <c r="YE1" s="160">
        <v>1309.0</v>
      </c>
      <c r="YF1" s="160">
        <v>1311.0</v>
      </c>
      <c r="YG1" s="160">
        <v>1313.0</v>
      </c>
      <c r="YH1" s="160">
        <v>1315.0</v>
      </c>
      <c r="YI1" s="160">
        <v>1317.0</v>
      </c>
      <c r="YJ1" s="160">
        <v>1319.0</v>
      </c>
      <c r="YK1" s="160">
        <v>1321.0</v>
      </c>
      <c r="YL1" s="160">
        <v>1323.0</v>
      </c>
      <c r="YM1" s="160">
        <v>1325.0</v>
      </c>
      <c r="YN1" s="160">
        <v>1327.0</v>
      </c>
      <c r="YO1" s="160">
        <v>1329.0</v>
      </c>
      <c r="YP1" s="160">
        <v>1331.0</v>
      </c>
      <c r="YQ1" s="160">
        <v>1333.0</v>
      </c>
      <c r="YR1" s="160">
        <v>1335.0</v>
      </c>
      <c r="YS1" s="160">
        <v>1337.0</v>
      </c>
      <c r="YT1" s="160">
        <v>1339.0</v>
      </c>
      <c r="YU1" s="160">
        <v>1341.0</v>
      </c>
      <c r="YV1" s="160">
        <v>1343.0</v>
      </c>
      <c r="YW1" s="160">
        <v>1345.0</v>
      </c>
      <c r="YX1" s="160">
        <v>1347.0</v>
      </c>
      <c r="YY1" s="160">
        <v>1349.0</v>
      </c>
      <c r="YZ1" s="160">
        <v>1351.0</v>
      </c>
      <c r="ZA1" s="160">
        <v>1353.0</v>
      </c>
      <c r="ZB1" s="160">
        <v>1355.0</v>
      </c>
      <c r="ZC1" s="160">
        <v>1357.0</v>
      </c>
      <c r="ZD1" s="160">
        <v>1359.0</v>
      </c>
      <c r="ZE1" s="160">
        <v>1361.0</v>
      </c>
      <c r="ZF1" s="160">
        <v>1363.0</v>
      </c>
      <c r="ZG1" s="160">
        <v>1365.0</v>
      </c>
      <c r="ZH1" s="160">
        <v>1367.0</v>
      </c>
      <c r="ZI1" s="160">
        <v>1369.0</v>
      </c>
      <c r="ZJ1" s="160">
        <v>1371.0</v>
      </c>
      <c r="ZK1" s="160">
        <v>1373.0</v>
      </c>
      <c r="ZL1" s="160">
        <v>1375.0</v>
      </c>
      <c r="ZM1" s="160">
        <v>1377.0</v>
      </c>
      <c r="ZN1" s="160">
        <v>1379.0</v>
      </c>
      <c r="ZO1" s="160">
        <v>1381.0</v>
      </c>
      <c r="ZP1" s="160">
        <v>1383.0</v>
      </c>
      <c r="ZQ1" s="160">
        <v>1385.0</v>
      </c>
      <c r="ZR1" s="160">
        <v>1387.0</v>
      </c>
      <c r="ZS1" s="160">
        <v>1389.0</v>
      </c>
      <c r="ZT1" s="160">
        <v>1391.0</v>
      </c>
      <c r="ZU1" s="160">
        <v>1393.0</v>
      </c>
      <c r="ZV1" s="160">
        <v>1395.0</v>
      </c>
      <c r="ZW1" s="160">
        <v>1397.0</v>
      </c>
      <c r="ZX1" s="160">
        <v>1399.0</v>
      </c>
      <c r="ZY1" s="160">
        <v>1401.0</v>
      </c>
      <c r="ZZ1" s="160">
        <v>1403.0</v>
      </c>
      <c r="AAA1" s="160">
        <v>1405.0</v>
      </c>
      <c r="AAB1" s="160">
        <v>1407.0</v>
      </c>
      <c r="AAC1" s="160">
        <v>1409.0</v>
      </c>
      <c r="AAD1" s="160">
        <v>1411.0</v>
      </c>
      <c r="AAE1" s="160">
        <v>1413.0</v>
      </c>
      <c r="AAF1" s="160">
        <v>1415.0</v>
      </c>
      <c r="AAG1" s="160">
        <v>1417.0</v>
      </c>
      <c r="AAH1" s="160">
        <v>1419.0</v>
      </c>
      <c r="AAI1" s="160">
        <v>1421.0</v>
      </c>
      <c r="AAJ1" s="160">
        <v>1423.0</v>
      </c>
      <c r="AAK1" s="160">
        <v>1425.0</v>
      </c>
      <c r="AAL1" s="160">
        <v>1427.0</v>
      </c>
      <c r="AAM1" s="160">
        <v>1429.0</v>
      </c>
      <c r="AAN1" s="160">
        <v>1431.0</v>
      </c>
      <c r="AAO1" s="160">
        <v>1433.0</v>
      </c>
      <c r="AAP1" s="160">
        <v>1435.0</v>
      </c>
      <c r="AAQ1" s="160">
        <v>1437.0</v>
      </c>
      <c r="AAR1" s="160">
        <v>1439.0</v>
      </c>
      <c r="AAS1" s="160">
        <v>1441.0</v>
      </c>
      <c r="AAT1" s="160">
        <v>1443.0</v>
      </c>
      <c r="AAU1" s="160">
        <v>1445.0</v>
      </c>
      <c r="AAV1" s="160">
        <v>1447.0</v>
      </c>
      <c r="AAW1" s="160">
        <v>1449.0</v>
      </c>
      <c r="AAX1" s="160">
        <v>1451.0</v>
      </c>
      <c r="AAY1" s="160">
        <v>1453.0</v>
      </c>
      <c r="AAZ1" s="160">
        <v>1455.0</v>
      </c>
      <c r="ABA1" s="160">
        <v>1457.0</v>
      </c>
      <c r="ABB1" s="160">
        <v>1459.0</v>
      </c>
      <c r="ABC1" s="160">
        <v>1461.0</v>
      </c>
      <c r="ABD1" s="160">
        <v>1463.0</v>
      </c>
      <c r="ABE1" s="160">
        <v>1465.0</v>
      </c>
      <c r="ABF1" s="160">
        <v>1467.0</v>
      </c>
      <c r="ABG1" s="160">
        <v>1469.0</v>
      </c>
      <c r="ABH1" s="160">
        <v>1471.0</v>
      </c>
      <c r="ABI1" s="160">
        <v>1473.0</v>
      </c>
      <c r="ABJ1" s="160">
        <v>1475.0</v>
      </c>
      <c r="ABK1" s="160">
        <v>1477.0</v>
      </c>
      <c r="ABL1" s="160">
        <v>1479.0</v>
      </c>
      <c r="ABM1" s="160">
        <v>1481.0</v>
      </c>
      <c r="ABN1" s="160">
        <v>1483.0</v>
      </c>
      <c r="ABO1" s="160">
        <v>1485.0</v>
      </c>
      <c r="ABP1" s="160">
        <v>1487.0</v>
      </c>
      <c r="ABQ1" s="160">
        <v>1489.0</v>
      </c>
      <c r="ABR1" s="160">
        <v>1491.0</v>
      </c>
      <c r="ABS1" s="160">
        <v>1493.0</v>
      </c>
      <c r="ABT1" s="160">
        <v>1495.0</v>
      </c>
      <c r="ABU1" s="160">
        <v>1497.0</v>
      </c>
      <c r="ABV1" s="160">
        <v>1499.0</v>
      </c>
      <c r="ABW1" s="160">
        <v>1501.0</v>
      </c>
      <c r="ABX1" s="160">
        <v>1503.0</v>
      </c>
      <c r="ABY1" s="160">
        <v>1505.0</v>
      </c>
      <c r="ABZ1" s="160">
        <v>1507.0</v>
      </c>
      <c r="ACA1" s="160">
        <v>1509.0</v>
      </c>
      <c r="ACB1" s="160">
        <v>1511.0</v>
      </c>
      <c r="ACC1" s="160">
        <v>1513.0</v>
      </c>
      <c r="ACD1" s="160">
        <v>1515.0</v>
      </c>
      <c r="ACE1" s="160">
        <v>1517.0</v>
      </c>
      <c r="ACF1" s="160">
        <v>1519.0</v>
      </c>
      <c r="ACG1" s="160">
        <v>1521.0</v>
      </c>
      <c r="ACH1" s="160">
        <v>1523.0</v>
      </c>
      <c r="ACI1" s="160">
        <v>1525.0</v>
      </c>
      <c r="ACJ1" s="160">
        <v>1527.0</v>
      </c>
      <c r="ACK1" s="160">
        <v>1529.0</v>
      </c>
      <c r="ACL1" s="160">
        <v>1531.0</v>
      </c>
      <c r="ACM1" s="160">
        <v>1533.0</v>
      </c>
      <c r="ACN1" s="160">
        <v>1535.0</v>
      </c>
      <c r="ACO1" s="160">
        <v>1537.0</v>
      </c>
      <c r="ACP1" s="160">
        <v>1539.0</v>
      </c>
      <c r="ACQ1" s="160">
        <v>1541.0</v>
      </c>
      <c r="ACR1" s="160">
        <v>1543.0</v>
      </c>
      <c r="ACS1" s="160">
        <v>1545.0</v>
      </c>
      <c r="ACT1" s="160">
        <v>1547.0</v>
      </c>
      <c r="ACU1" s="160">
        <v>1549.0</v>
      </c>
      <c r="ACV1" s="160">
        <v>1551.0</v>
      </c>
      <c r="ACW1" s="160">
        <v>1553.0</v>
      </c>
      <c r="ACX1" s="160">
        <v>1555.0</v>
      </c>
      <c r="ACY1" s="160">
        <v>1557.0</v>
      </c>
      <c r="ACZ1" s="160">
        <v>1559.0</v>
      </c>
      <c r="ADA1" s="160">
        <v>1561.0</v>
      </c>
      <c r="ADB1" s="160">
        <v>1563.0</v>
      </c>
      <c r="ADC1" s="160">
        <v>1565.0</v>
      </c>
      <c r="ADD1" s="160">
        <v>1567.0</v>
      </c>
      <c r="ADE1" s="160">
        <v>1569.0</v>
      </c>
      <c r="ADF1" s="160">
        <v>1571.0</v>
      </c>
      <c r="ADG1" s="160">
        <v>1573.0</v>
      </c>
      <c r="ADH1" s="160">
        <v>1575.0</v>
      </c>
      <c r="ADI1" s="160">
        <v>1577.0</v>
      </c>
      <c r="ADJ1" s="160">
        <v>1579.0</v>
      </c>
      <c r="ADK1" s="160">
        <v>1581.0</v>
      </c>
      <c r="ADL1" s="160">
        <v>1583.0</v>
      </c>
      <c r="ADM1" s="160">
        <v>1585.0</v>
      </c>
      <c r="ADN1" s="160">
        <v>1587.0</v>
      </c>
      <c r="ADO1" s="160">
        <v>1589.0</v>
      </c>
      <c r="ADP1" s="160">
        <v>1591.0</v>
      </c>
      <c r="ADQ1" s="160">
        <v>1593.0</v>
      </c>
      <c r="ADR1" s="160">
        <v>1595.0</v>
      </c>
      <c r="ADS1" s="160">
        <v>1597.0</v>
      </c>
      <c r="ADT1" s="160">
        <v>1599.0</v>
      </c>
      <c r="ADU1" s="160">
        <v>1601.0</v>
      </c>
      <c r="ADV1" s="160">
        <v>1603.0</v>
      </c>
      <c r="ADW1" s="160">
        <v>1605.0</v>
      </c>
      <c r="ADX1" s="160">
        <v>1607.0</v>
      </c>
      <c r="ADY1" s="160">
        <v>1609.0</v>
      </c>
      <c r="ADZ1" s="160">
        <v>1611.0</v>
      </c>
      <c r="AEA1" s="160">
        <v>1613.0</v>
      </c>
      <c r="AEB1" s="160">
        <v>1615.0</v>
      </c>
      <c r="AEC1" s="160">
        <v>1617.0</v>
      </c>
      <c r="AED1" s="160">
        <v>1619.0</v>
      </c>
      <c r="AEE1" s="160">
        <v>1621.0</v>
      </c>
      <c r="AEF1" s="160">
        <v>1623.0</v>
      </c>
      <c r="AEG1" s="160">
        <v>1625.0</v>
      </c>
      <c r="AEH1" s="160">
        <v>1627.0</v>
      </c>
      <c r="AEI1" s="160">
        <v>1629.0</v>
      </c>
      <c r="AEJ1" s="160">
        <v>1631.0</v>
      </c>
      <c r="AEK1" s="160">
        <v>1633.0</v>
      </c>
      <c r="AEL1" s="160">
        <v>1635.0</v>
      </c>
      <c r="AEM1" s="160">
        <v>1637.0</v>
      </c>
      <c r="AEN1" s="160">
        <v>1639.0</v>
      </c>
      <c r="AEO1" s="160">
        <v>1641.0</v>
      </c>
      <c r="AEP1" s="160">
        <v>1643.0</v>
      </c>
      <c r="AEQ1" s="160">
        <v>1645.0</v>
      </c>
      <c r="AER1" s="160">
        <v>1647.0</v>
      </c>
      <c r="AES1" s="160">
        <v>1649.0</v>
      </c>
      <c r="AET1" s="160">
        <v>1651.0</v>
      </c>
      <c r="AEU1" s="160">
        <v>1653.0</v>
      </c>
      <c r="AEV1" s="160">
        <v>1655.0</v>
      </c>
      <c r="AEW1" s="160">
        <v>1657.0</v>
      </c>
      <c r="AEX1" s="160">
        <v>1659.0</v>
      </c>
      <c r="AEY1" s="160">
        <v>1661.0</v>
      </c>
      <c r="AEZ1" s="160">
        <v>1663.0</v>
      </c>
      <c r="AFA1" s="160">
        <v>1665.0</v>
      </c>
      <c r="AFB1" s="160">
        <v>1667.0</v>
      </c>
      <c r="AFC1" s="160">
        <v>1669.0</v>
      </c>
      <c r="AFD1" s="160">
        <v>1671.0</v>
      </c>
      <c r="AFE1" s="160">
        <v>1673.0</v>
      </c>
      <c r="AFF1" s="160">
        <v>1675.0</v>
      </c>
      <c r="AFG1" s="160">
        <v>1677.0</v>
      </c>
      <c r="AFH1" s="160">
        <v>1679.0</v>
      </c>
      <c r="AFI1" s="160">
        <v>1681.0</v>
      </c>
      <c r="AFJ1" s="160">
        <v>1683.0</v>
      </c>
      <c r="AFK1" s="160">
        <v>1685.0</v>
      </c>
      <c r="AFL1" s="160">
        <v>1687.0</v>
      </c>
      <c r="AFM1" s="160">
        <v>1689.0</v>
      </c>
      <c r="AFN1" s="160">
        <v>1691.0</v>
      </c>
      <c r="AFO1" s="160">
        <v>1693.0</v>
      </c>
      <c r="AFP1" s="160">
        <v>1695.0</v>
      </c>
      <c r="AFQ1" s="160">
        <v>1697.0</v>
      </c>
      <c r="AFR1" s="160">
        <v>1699.0</v>
      </c>
      <c r="AFS1" s="160">
        <v>1701.0</v>
      </c>
      <c r="AFT1" s="160">
        <v>1703.0</v>
      </c>
      <c r="AFU1" s="160">
        <v>1705.0</v>
      </c>
      <c r="AFV1" s="160">
        <v>1707.0</v>
      </c>
      <c r="AFW1" s="160">
        <v>1709.0</v>
      </c>
      <c r="AFX1" s="160">
        <v>1711.0</v>
      </c>
      <c r="AFY1" s="160">
        <v>1713.0</v>
      </c>
      <c r="AFZ1" s="160">
        <v>1715.0</v>
      </c>
      <c r="AGA1" s="160">
        <v>1717.0</v>
      </c>
      <c r="AGB1" s="160">
        <v>1719.0</v>
      </c>
      <c r="AGC1" s="160">
        <v>1721.0</v>
      </c>
      <c r="AGD1" s="160">
        <v>1723.0</v>
      </c>
      <c r="AGE1" s="160">
        <v>1725.0</v>
      </c>
      <c r="AGF1" s="160">
        <v>1727.0</v>
      </c>
      <c r="AGG1" s="160">
        <v>1729.0</v>
      </c>
      <c r="AGH1" s="160">
        <v>1731.0</v>
      </c>
      <c r="AGI1" s="160">
        <v>1733.0</v>
      </c>
      <c r="AGJ1" s="160">
        <v>1735.0</v>
      </c>
      <c r="AGK1" s="160">
        <v>1737.0</v>
      </c>
      <c r="AGL1" s="160">
        <v>1739.0</v>
      </c>
      <c r="AGM1" s="160">
        <v>1741.0</v>
      </c>
      <c r="AGN1" s="160">
        <v>1743.0</v>
      </c>
      <c r="AGO1" s="160">
        <v>1745.0</v>
      </c>
      <c r="AGP1" s="160">
        <v>1747.0</v>
      </c>
      <c r="AGQ1" s="160">
        <v>1749.0</v>
      </c>
      <c r="AGR1" s="160">
        <v>1751.0</v>
      </c>
      <c r="AGS1" s="160">
        <v>1753.0</v>
      </c>
      <c r="AGT1" s="160">
        <v>1755.0</v>
      </c>
      <c r="AGU1" s="160">
        <v>1757.0</v>
      </c>
      <c r="AGV1" s="160">
        <v>1759.0</v>
      </c>
      <c r="AGW1" s="160">
        <v>1761.0</v>
      </c>
      <c r="AGX1" s="160">
        <v>1763.0</v>
      </c>
      <c r="AGY1" s="160">
        <v>1765.0</v>
      </c>
      <c r="AGZ1" s="160">
        <v>1767.0</v>
      </c>
      <c r="AHA1" s="160">
        <v>1769.0</v>
      </c>
      <c r="AHB1" s="160">
        <v>1771.0</v>
      </c>
      <c r="AHC1" s="160">
        <v>1773.0</v>
      </c>
      <c r="AHD1" s="160">
        <v>1775.0</v>
      </c>
      <c r="AHE1" s="160">
        <v>1777.0</v>
      </c>
      <c r="AHF1" s="160">
        <v>1779.0</v>
      </c>
      <c r="AHG1" s="160">
        <v>1781.0</v>
      </c>
      <c r="AHH1" s="160">
        <v>1783.0</v>
      </c>
      <c r="AHI1" s="160">
        <v>1785.0</v>
      </c>
      <c r="AHJ1" s="160">
        <v>1787.0</v>
      </c>
      <c r="AHK1" s="160">
        <v>1789.0</v>
      </c>
      <c r="AHL1" s="160">
        <v>1791.0</v>
      </c>
      <c r="AHM1" s="160">
        <v>1793.0</v>
      </c>
      <c r="AHN1" s="160">
        <v>1795.0</v>
      </c>
      <c r="AHO1" s="160">
        <v>1797.0</v>
      </c>
      <c r="AHP1" s="160">
        <v>1799.0</v>
      </c>
      <c r="AHQ1" s="160">
        <v>1801.0</v>
      </c>
      <c r="AHR1" s="160">
        <v>1803.0</v>
      </c>
      <c r="AHS1" s="160">
        <v>1805.0</v>
      </c>
      <c r="AHT1" s="160">
        <v>1807.0</v>
      </c>
      <c r="AHU1" s="160">
        <v>1809.0</v>
      </c>
      <c r="AHV1" s="160">
        <v>1811.0</v>
      </c>
      <c r="AHW1" s="160">
        <v>1813.0</v>
      </c>
      <c r="AHX1" s="160">
        <v>1815.0</v>
      </c>
      <c r="AHY1" s="160">
        <v>1817.0</v>
      </c>
      <c r="AHZ1" s="160">
        <v>1819.0</v>
      </c>
      <c r="AIA1" s="160">
        <v>1821.0</v>
      </c>
      <c r="AIB1" s="160">
        <v>1823.0</v>
      </c>
      <c r="AIC1" s="160">
        <v>1825.0</v>
      </c>
      <c r="AID1" s="160">
        <v>1827.0</v>
      </c>
      <c r="AIE1" s="160">
        <v>1829.0</v>
      </c>
      <c r="AIF1" s="160">
        <v>1831.0</v>
      </c>
      <c r="AIG1" s="160">
        <v>1833.0</v>
      </c>
      <c r="AIH1" s="160">
        <v>1835.0</v>
      </c>
      <c r="AII1" s="160">
        <v>1837.0</v>
      </c>
      <c r="AIJ1" s="160">
        <v>1839.0</v>
      </c>
      <c r="AIK1" s="160">
        <v>1841.0</v>
      </c>
      <c r="AIL1" s="160">
        <v>1843.0</v>
      </c>
      <c r="AIM1" s="160">
        <v>1845.0</v>
      </c>
      <c r="AIN1" s="160">
        <v>1847.0</v>
      </c>
      <c r="AIO1" s="160">
        <v>1849.0</v>
      </c>
      <c r="AIP1" s="160">
        <v>1851.0</v>
      </c>
      <c r="AIQ1" s="160">
        <v>1853.0</v>
      </c>
      <c r="AIR1" s="160">
        <v>1855.0</v>
      </c>
      <c r="AIS1" s="160">
        <v>1857.0</v>
      </c>
      <c r="AIT1" s="160">
        <v>1859.0</v>
      </c>
      <c r="AIU1" s="160">
        <v>1861.0</v>
      </c>
      <c r="AIV1" s="160">
        <v>1863.0</v>
      </c>
      <c r="AIW1" s="160">
        <v>1865.0</v>
      </c>
      <c r="AIX1" s="160">
        <v>1867.0</v>
      </c>
      <c r="AIY1" s="160">
        <v>1869.0</v>
      </c>
      <c r="AIZ1" s="160">
        <v>1871.0</v>
      </c>
      <c r="AJA1" s="160">
        <v>1873.0</v>
      </c>
      <c r="AJB1" s="160">
        <v>1875.0</v>
      </c>
      <c r="AJC1" s="160">
        <v>1877.0</v>
      </c>
      <c r="AJD1" s="160">
        <v>1879.0</v>
      </c>
      <c r="AJE1" s="160">
        <v>1881.0</v>
      </c>
      <c r="AJF1" s="160">
        <v>1883.0</v>
      </c>
      <c r="AJG1" s="160">
        <v>1885.0</v>
      </c>
      <c r="AJH1" s="160">
        <v>1887.0</v>
      </c>
      <c r="AJI1" s="160">
        <v>1889.0</v>
      </c>
      <c r="AJJ1" s="160">
        <v>1891.0</v>
      </c>
      <c r="AJK1" s="160">
        <v>1893.0</v>
      </c>
      <c r="AJL1" s="160">
        <v>1895.0</v>
      </c>
      <c r="AJM1" s="160">
        <v>1897.0</v>
      </c>
      <c r="AJN1" s="160">
        <v>1899.0</v>
      </c>
      <c r="AJO1" s="160">
        <v>1901.0</v>
      </c>
      <c r="AJP1" s="160">
        <v>1903.0</v>
      </c>
      <c r="AJQ1" s="160">
        <v>1905.0</v>
      </c>
      <c r="AJR1" s="160">
        <v>1907.0</v>
      </c>
      <c r="AJS1" s="160">
        <v>1909.0</v>
      </c>
      <c r="AJT1" s="160">
        <v>1911.0</v>
      </c>
      <c r="AJU1" s="160">
        <v>1913.0</v>
      </c>
      <c r="AJV1" s="160">
        <v>1915.0</v>
      </c>
      <c r="AJW1" s="160">
        <v>1917.0</v>
      </c>
      <c r="AJX1" s="160">
        <v>1919.0</v>
      </c>
      <c r="AJY1" s="160">
        <v>1921.0</v>
      </c>
      <c r="AJZ1" s="160">
        <v>1923.0</v>
      </c>
      <c r="AKA1" s="160">
        <v>1925.0</v>
      </c>
      <c r="AKB1" s="160">
        <v>1927.0</v>
      </c>
      <c r="AKC1" s="160">
        <v>1929.0</v>
      </c>
      <c r="AKD1" s="160">
        <v>1931.0</v>
      </c>
      <c r="AKE1" s="160">
        <v>1933.0</v>
      </c>
      <c r="AKF1" s="160">
        <v>1935.0</v>
      </c>
      <c r="AKG1" s="160">
        <v>1937.0</v>
      </c>
      <c r="AKH1" s="160">
        <v>1939.0</v>
      </c>
      <c r="AKI1" s="160">
        <v>1941.0</v>
      </c>
      <c r="AKJ1" s="160">
        <v>1943.0</v>
      </c>
      <c r="AKK1" s="160">
        <v>1945.0</v>
      </c>
      <c r="AKL1" s="160">
        <v>1947.0</v>
      </c>
      <c r="AKM1" s="160">
        <v>1949.0</v>
      </c>
      <c r="AKN1" s="160">
        <v>1951.0</v>
      </c>
      <c r="AKO1" s="160">
        <v>1953.0</v>
      </c>
      <c r="AKP1" s="160">
        <v>1955.0</v>
      </c>
      <c r="AKQ1" s="160">
        <v>1957.0</v>
      </c>
      <c r="AKR1" s="160">
        <v>1959.0</v>
      </c>
      <c r="AKS1" s="160">
        <v>1961.0</v>
      </c>
      <c r="AKT1" s="160">
        <v>1963.0</v>
      </c>
      <c r="AKU1" s="160">
        <v>1965.0</v>
      </c>
      <c r="AKV1" s="160">
        <v>1967.0</v>
      </c>
      <c r="AKW1" s="160">
        <v>1969.0</v>
      </c>
      <c r="AKX1" s="160">
        <v>1971.0</v>
      </c>
      <c r="AKY1" s="160">
        <v>1973.0</v>
      </c>
      <c r="AKZ1" s="160">
        <v>1975.0</v>
      </c>
      <c r="ALA1" s="160">
        <v>1977.0</v>
      </c>
      <c r="ALB1" s="160">
        <v>1979.0</v>
      </c>
      <c r="ALC1" s="160">
        <v>1981.0</v>
      </c>
      <c r="ALD1" s="160">
        <v>1983.0</v>
      </c>
      <c r="ALE1" s="160">
        <v>1985.0</v>
      </c>
      <c r="ALF1" s="160">
        <v>1987.0</v>
      </c>
      <c r="ALG1" s="160">
        <v>1989.0</v>
      </c>
      <c r="ALH1" s="160">
        <v>1991.0</v>
      </c>
      <c r="ALI1" s="160">
        <v>1993.0</v>
      </c>
      <c r="ALJ1" s="160">
        <v>1995.0</v>
      </c>
      <c r="ALK1" s="160">
        <v>1997.0</v>
      </c>
      <c r="ALL1" s="160">
        <v>1999.0</v>
      </c>
      <c r="ALM1" s="160">
        <v>2001.0</v>
      </c>
      <c r="ALN1" s="160">
        <v>2003.0</v>
      </c>
      <c r="ALO1" s="160">
        <v>2005.0</v>
      </c>
      <c r="ALP1" s="160">
        <v>2007.0</v>
      </c>
      <c r="ALQ1" s="160">
        <v>2009.0</v>
      </c>
      <c r="ALR1" s="160">
        <v>2011.0</v>
      </c>
      <c r="ALS1" s="160">
        <v>2013.0</v>
      </c>
      <c r="ALT1" s="160">
        <v>2015.0</v>
      </c>
      <c r="ALU1" s="160">
        <v>2017.0</v>
      </c>
      <c r="ALV1" s="160">
        <v>2019.0</v>
      </c>
      <c r="ALW1" s="160">
        <v>2021.0</v>
      </c>
      <c r="ALX1" s="160">
        <v>2023.0</v>
      </c>
      <c r="ALY1" s="160">
        <v>2025.0</v>
      </c>
      <c r="ALZ1" s="160">
        <v>2027.0</v>
      </c>
      <c r="AMA1" s="160">
        <v>2029.0</v>
      </c>
      <c r="AMB1" s="160">
        <v>2031.0</v>
      </c>
      <c r="AMC1" s="160">
        <v>2033.0</v>
      </c>
      <c r="AMD1" s="160">
        <v>2035.0</v>
      </c>
      <c r="AME1" s="160">
        <v>2037.0</v>
      </c>
      <c r="AMF1" s="160">
        <v>2039.0</v>
      </c>
      <c r="AMG1" s="160">
        <v>2041.0</v>
      </c>
      <c r="AMH1" s="160">
        <v>2043.0</v>
      </c>
      <c r="AMI1" s="160">
        <v>2045.0</v>
      </c>
      <c r="AMJ1" s="160">
        <v>2047.0</v>
      </c>
      <c r="AMK1" s="160">
        <v>2049.0</v>
      </c>
      <c r="AML1" s="160">
        <v>2051.0</v>
      </c>
      <c r="AMM1" s="160">
        <v>2053.0</v>
      </c>
      <c r="AMN1" s="160">
        <v>2055.0</v>
      </c>
      <c r="AMO1" s="160">
        <v>2057.0</v>
      </c>
      <c r="AMP1" s="160">
        <v>2059.0</v>
      </c>
      <c r="AMQ1" s="160">
        <v>2061.0</v>
      </c>
      <c r="AMR1" s="160">
        <v>2063.0</v>
      </c>
      <c r="AMS1" s="160">
        <v>2065.0</v>
      </c>
      <c r="AMT1" s="160">
        <v>2067.0</v>
      </c>
      <c r="AMU1" s="160">
        <v>2069.0</v>
      </c>
      <c r="AMV1" s="160">
        <v>2071.0</v>
      </c>
      <c r="AMW1" s="160">
        <v>2073.0</v>
      </c>
      <c r="AMX1" s="160">
        <v>2075.0</v>
      </c>
      <c r="AMY1" s="160">
        <v>2077.0</v>
      </c>
      <c r="AMZ1" s="160">
        <v>2079.0</v>
      </c>
      <c r="ANA1" s="160">
        <v>2081.0</v>
      </c>
      <c r="ANB1" s="160">
        <v>2083.0</v>
      </c>
      <c r="ANC1" s="160">
        <v>2085.0</v>
      </c>
      <c r="AND1" s="160">
        <v>2087.0</v>
      </c>
      <c r="ANE1" s="160">
        <v>2089.0</v>
      </c>
      <c r="ANF1" s="160">
        <v>2091.0</v>
      </c>
      <c r="ANG1" s="160">
        <v>2093.0</v>
      </c>
      <c r="ANH1" s="160">
        <v>2095.0</v>
      </c>
      <c r="ANI1" s="160">
        <v>2097.0</v>
      </c>
      <c r="ANJ1" s="160">
        <v>2099.0</v>
      </c>
      <c r="ANK1" s="160">
        <v>2101.0</v>
      </c>
      <c r="ANL1" s="160">
        <v>2103.0</v>
      </c>
      <c r="ANM1" s="160">
        <v>2105.0</v>
      </c>
      <c r="ANN1" s="160">
        <v>2107.0</v>
      </c>
      <c r="ANO1" s="160">
        <v>2109.0</v>
      </c>
      <c r="ANP1" s="160">
        <v>2111.0</v>
      </c>
      <c r="ANQ1" s="160">
        <v>2113.0</v>
      </c>
      <c r="ANR1" s="160">
        <v>2115.0</v>
      </c>
      <c r="ANS1" s="160">
        <v>2117.0</v>
      </c>
      <c r="ANT1" s="160">
        <v>2119.0</v>
      </c>
      <c r="ANU1" s="160">
        <v>2121.0</v>
      </c>
      <c r="ANV1" s="160">
        <v>2123.0</v>
      </c>
      <c r="ANW1" s="160">
        <v>2125.0</v>
      </c>
      <c r="ANX1" s="160">
        <v>2127.0</v>
      </c>
      <c r="ANY1" s="160">
        <v>2129.0</v>
      </c>
      <c r="ANZ1" s="160">
        <v>2131.0</v>
      </c>
      <c r="AOA1" s="160">
        <v>2133.0</v>
      </c>
      <c r="AOB1" s="160">
        <v>2135.0</v>
      </c>
      <c r="AOC1" s="160">
        <v>2137.0</v>
      </c>
      <c r="AOD1" s="160">
        <v>2139.0</v>
      </c>
      <c r="AOE1" s="160">
        <v>2141.0</v>
      </c>
      <c r="AOF1" s="160">
        <v>2143.0</v>
      </c>
      <c r="AOG1" s="160">
        <v>2145.0</v>
      </c>
      <c r="AOH1" s="160">
        <v>2147.0</v>
      </c>
      <c r="AOI1" s="160">
        <v>2149.0</v>
      </c>
      <c r="AOJ1" s="160">
        <v>2151.0</v>
      </c>
      <c r="AOK1" s="160">
        <v>2153.0</v>
      </c>
      <c r="AOL1" s="160">
        <v>2155.0</v>
      </c>
      <c r="AOM1" s="160">
        <v>2157.0</v>
      </c>
      <c r="AON1" s="160">
        <v>2159.0</v>
      </c>
      <c r="AOO1" s="160">
        <v>2161.0</v>
      </c>
      <c r="AOP1" s="160">
        <v>2163.0</v>
      </c>
      <c r="AOQ1" s="160">
        <v>2165.0</v>
      </c>
      <c r="AOR1" s="160">
        <v>2167.0</v>
      </c>
      <c r="AOS1" s="160">
        <v>2169.0</v>
      </c>
      <c r="AOT1" s="160">
        <v>2171.0</v>
      </c>
      <c r="AOU1" s="160">
        <v>2173.0</v>
      </c>
      <c r="AOV1" s="160">
        <v>2175.0</v>
      </c>
      <c r="AOW1" s="160">
        <v>2177.0</v>
      </c>
      <c r="AOX1" s="160">
        <v>2179.0</v>
      </c>
      <c r="AOY1" s="160">
        <v>2181.0</v>
      </c>
      <c r="AOZ1" s="160">
        <v>2183.0</v>
      </c>
      <c r="APA1" s="160">
        <v>2185.0</v>
      </c>
      <c r="APB1" s="160">
        <v>2187.0</v>
      </c>
      <c r="APC1" s="160">
        <v>2189.0</v>
      </c>
      <c r="APD1" s="160">
        <v>2191.0</v>
      </c>
      <c r="APE1" s="160">
        <v>2193.0</v>
      </c>
      <c r="APF1" s="160">
        <v>2195.0</v>
      </c>
      <c r="APG1" s="160">
        <v>2197.0</v>
      </c>
      <c r="APH1" s="160">
        <v>2199.0</v>
      </c>
      <c r="API1" s="160">
        <v>2201.0</v>
      </c>
      <c r="APJ1" s="160">
        <v>2203.0</v>
      </c>
      <c r="APK1" s="160">
        <v>2205.0</v>
      </c>
      <c r="APL1" s="160">
        <v>2207.0</v>
      </c>
      <c r="APM1" s="160">
        <v>2209.0</v>
      </c>
      <c r="APN1" s="160">
        <v>2211.0</v>
      </c>
      <c r="APO1" s="160">
        <v>2213.0</v>
      </c>
      <c r="APP1" s="160">
        <v>2215.0</v>
      </c>
      <c r="APQ1" s="160">
        <v>2217.0</v>
      </c>
      <c r="APR1" s="160">
        <v>2219.0</v>
      </c>
      <c r="APS1" s="160">
        <v>2221.0</v>
      </c>
      <c r="APT1" s="160">
        <v>2223.0</v>
      </c>
      <c r="APU1" s="160">
        <v>2225.0</v>
      </c>
      <c r="APV1" s="160">
        <v>2227.0</v>
      </c>
      <c r="APW1" s="160">
        <v>2229.0</v>
      </c>
      <c r="APX1" s="160">
        <v>2231.0</v>
      </c>
      <c r="APY1" s="160">
        <v>2233.0</v>
      </c>
      <c r="APZ1" s="160">
        <v>2235.0</v>
      </c>
      <c r="AQA1" s="160">
        <v>2237.0</v>
      </c>
      <c r="AQB1" s="160">
        <v>2239.0</v>
      </c>
      <c r="AQC1" s="160">
        <v>2241.0</v>
      </c>
      <c r="AQD1" s="160">
        <v>2243.0</v>
      </c>
      <c r="AQE1" s="160">
        <v>2245.0</v>
      </c>
      <c r="AQF1" s="160">
        <v>2247.0</v>
      </c>
      <c r="AQG1" s="160">
        <v>2249.0</v>
      </c>
      <c r="AQH1" s="160">
        <v>2251.0</v>
      </c>
      <c r="AQI1" s="160">
        <v>2253.0</v>
      </c>
      <c r="AQJ1" s="160">
        <v>2255.0</v>
      </c>
      <c r="AQK1" s="160">
        <v>2257.0</v>
      </c>
      <c r="AQL1" s="160">
        <v>2259.0</v>
      </c>
      <c r="AQM1" s="160">
        <v>2261.0</v>
      </c>
      <c r="AQN1" s="160">
        <v>2263.0</v>
      </c>
      <c r="AQO1" s="160">
        <v>2265.0</v>
      </c>
      <c r="AQP1" s="160">
        <v>2267.0</v>
      </c>
      <c r="AQQ1" s="160">
        <v>2269.0</v>
      </c>
      <c r="AQR1" s="160">
        <v>2271.0</v>
      </c>
      <c r="AQS1" s="160">
        <v>2273.0</v>
      </c>
      <c r="AQT1" s="160">
        <v>2275.0</v>
      </c>
      <c r="AQU1" s="160">
        <v>2277.0</v>
      </c>
      <c r="AQV1" s="160">
        <v>2279.0</v>
      </c>
      <c r="AQW1" s="160">
        <v>2281.0</v>
      </c>
      <c r="AQX1" s="160">
        <v>2283.0</v>
      </c>
      <c r="AQY1" s="160">
        <v>2285.0</v>
      </c>
      <c r="AQZ1" s="160">
        <v>2287.0</v>
      </c>
      <c r="ARA1" s="160">
        <v>2289.0</v>
      </c>
      <c r="ARB1" s="160">
        <v>2291.0</v>
      </c>
      <c r="ARC1" s="160">
        <v>2293.0</v>
      </c>
      <c r="ARD1" s="160">
        <v>2295.0</v>
      </c>
      <c r="ARE1" s="160">
        <v>2297.0</v>
      </c>
      <c r="ARF1" s="160">
        <v>2299.0</v>
      </c>
      <c r="ARG1" s="160">
        <v>2301.0</v>
      </c>
      <c r="ARH1" s="160">
        <v>2303.0</v>
      </c>
      <c r="ARI1" s="160">
        <v>2305.0</v>
      </c>
      <c r="ARJ1" s="160">
        <v>2307.0</v>
      </c>
      <c r="ARK1" s="160">
        <v>2309.0</v>
      </c>
      <c r="ARL1" s="160">
        <v>2311.0</v>
      </c>
      <c r="ARM1" s="160">
        <v>2313.0</v>
      </c>
      <c r="ARN1" s="160">
        <v>2315.0</v>
      </c>
      <c r="ARO1" s="160">
        <v>2317.0</v>
      </c>
      <c r="ARP1" s="160">
        <v>2319.0</v>
      </c>
      <c r="ARQ1" s="160">
        <v>2321.0</v>
      </c>
      <c r="ARR1" s="160">
        <v>2323.0</v>
      </c>
      <c r="ARS1" s="160">
        <v>2325.0</v>
      </c>
      <c r="ART1" s="160">
        <v>2327.0</v>
      </c>
      <c r="ARU1" s="160">
        <v>2329.0</v>
      </c>
      <c r="ARV1" s="160">
        <v>2331.0</v>
      </c>
      <c r="ARW1" s="160">
        <v>2333.0</v>
      </c>
      <c r="ARX1" s="160">
        <v>2335.0</v>
      </c>
      <c r="ARY1" s="160">
        <v>2337.0</v>
      </c>
      <c r="ARZ1" s="160">
        <v>2339.0</v>
      </c>
      <c r="ASA1" s="160">
        <v>2341.0</v>
      </c>
      <c r="ASB1" s="160">
        <v>2343.0</v>
      </c>
      <c r="ASC1" s="160">
        <v>2345.0</v>
      </c>
      <c r="ASD1" s="160">
        <v>2347.0</v>
      </c>
      <c r="ASE1" s="160">
        <v>2349.0</v>
      </c>
      <c r="ASF1" s="160">
        <v>2351.0</v>
      </c>
      <c r="ASG1" s="160">
        <v>2353.0</v>
      </c>
      <c r="ASH1" s="160">
        <v>2355.0</v>
      </c>
      <c r="ASI1" s="160">
        <v>2357.0</v>
      </c>
      <c r="ASJ1" s="160">
        <v>2359.0</v>
      </c>
      <c r="ASK1" s="160">
        <v>2361.0</v>
      </c>
      <c r="ASL1" s="160">
        <v>2363.0</v>
      </c>
      <c r="ASM1" s="160">
        <v>2365.0</v>
      </c>
      <c r="ASN1" s="160">
        <v>2367.0</v>
      </c>
      <c r="ASO1" s="160">
        <v>2369.0</v>
      </c>
      <c r="ASP1" s="160">
        <v>2371.0</v>
      </c>
      <c r="ASQ1" s="160">
        <v>2373.0</v>
      </c>
      <c r="ASR1" s="160">
        <v>2375.0</v>
      </c>
      <c r="ASS1" s="160">
        <v>2377.0</v>
      </c>
      <c r="AST1" s="160">
        <v>2379.0</v>
      </c>
      <c r="ASU1" s="160">
        <v>2381.0</v>
      </c>
      <c r="ASV1" s="160">
        <v>2383.0</v>
      </c>
      <c r="ASW1" s="160">
        <v>2385.0</v>
      </c>
      <c r="ASX1" s="160">
        <v>2387.0</v>
      </c>
      <c r="ASY1" s="160">
        <v>2389.0</v>
      </c>
      <c r="ASZ1" s="160">
        <v>2391.0</v>
      </c>
      <c r="ATA1" s="160">
        <v>2393.0</v>
      </c>
      <c r="ATB1" s="160">
        <v>2395.0</v>
      </c>
      <c r="ATC1" s="160">
        <v>2397.0</v>
      </c>
      <c r="ATD1" s="160">
        <v>2399.0</v>
      </c>
      <c r="ATE1" s="160">
        <v>2401.0</v>
      </c>
      <c r="ATF1" s="160">
        <v>2403.0</v>
      </c>
      <c r="ATG1" s="160">
        <v>2405.0</v>
      </c>
      <c r="ATH1" s="160">
        <v>2407.0</v>
      </c>
      <c r="ATI1" s="160">
        <v>2409.0</v>
      </c>
      <c r="ATJ1" s="160">
        <v>2411.0</v>
      </c>
      <c r="ATK1" s="160">
        <v>2413.0</v>
      </c>
      <c r="ATL1" s="160">
        <v>2415.0</v>
      </c>
      <c r="ATM1" s="160">
        <v>2417.0</v>
      </c>
      <c r="ATN1" s="160">
        <v>2419.0</v>
      </c>
      <c r="ATO1" s="160">
        <v>2421.0</v>
      </c>
      <c r="ATP1" s="160">
        <v>2423.0</v>
      </c>
      <c r="ATQ1" s="160">
        <v>2425.0</v>
      </c>
      <c r="ATR1" s="160">
        <v>2427.0</v>
      </c>
      <c r="ATS1" s="160">
        <v>2429.0</v>
      </c>
      <c r="ATT1" s="160">
        <v>2431.0</v>
      </c>
      <c r="ATU1" s="160">
        <v>2433.0</v>
      </c>
      <c r="ATV1" s="160">
        <v>2435.0</v>
      </c>
      <c r="ATW1" s="160">
        <v>2437.0</v>
      </c>
      <c r="ATX1" s="160">
        <v>2439.0</v>
      </c>
      <c r="ATY1" s="160">
        <v>2441.0</v>
      </c>
      <c r="ATZ1" s="160">
        <v>2443.0</v>
      </c>
      <c r="AUA1" s="160">
        <v>2445.0</v>
      </c>
      <c r="AUB1" s="160">
        <v>2447.0</v>
      </c>
      <c r="AUC1" s="160">
        <v>2449.0</v>
      </c>
      <c r="AUD1" s="160">
        <v>2451.0</v>
      </c>
      <c r="AUE1" s="160">
        <v>2453.0</v>
      </c>
      <c r="AUF1" s="160">
        <v>2455.0</v>
      </c>
      <c r="AUG1" s="160">
        <v>2457.0</v>
      </c>
      <c r="AUH1" s="160">
        <v>2459.0</v>
      </c>
      <c r="AUI1" s="160">
        <v>2461.0</v>
      </c>
      <c r="AUJ1" s="160">
        <v>2463.0</v>
      </c>
      <c r="AUK1" s="160">
        <v>2465.0</v>
      </c>
      <c r="AUL1" s="160">
        <v>2467.0</v>
      </c>
      <c r="AUM1" s="160">
        <v>2469.0</v>
      </c>
      <c r="AUN1" s="160">
        <v>2471.0</v>
      </c>
      <c r="AUO1" s="160">
        <v>2473.0</v>
      </c>
      <c r="AUP1" s="160">
        <v>2475.0</v>
      </c>
      <c r="AUQ1" s="160">
        <v>2477.0</v>
      </c>
      <c r="AUR1" s="160">
        <v>2479.0</v>
      </c>
      <c r="AUS1" s="160">
        <v>2481.0</v>
      </c>
      <c r="AUT1" s="160">
        <v>2483.0</v>
      </c>
      <c r="AUU1" s="160">
        <v>2485.0</v>
      </c>
      <c r="AUV1" s="160">
        <v>2487.0</v>
      </c>
      <c r="AUW1" s="160">
        <v>2489.0</v>
      </c>
      <c r="AUX1" s="160">
        <v>2491.0</v>
      </c>
      <c r="AUY1" s="160">
        <v>2493.0</v>
      </c>
      <c r="AUZ1" s="160">
        <v>2495.0</v>
      </c>
      <c r="AVA1" s="160">
        <v>2497.0</v>
      </c>
      <c r="AVB1" s="160">
        <v>2499.0</v>
      </c>
      <c r="AVC1" s="160">
        <v>2501.0</v>
      </c>
      <c r="AVD1" s="160">
        <v>2503.0</v>
      </c>
      <c r="AVE1" s="160">
        <v>2505.0</v>
      </c>
      <c r="AVF1" s="160">
        <v>2507.0</v>
      </c>
      <c r="AVG1" s="160">
        <v>2509.0</v>
      </c>
      <c r="AVH1" s="160">
        <v>2511.0</v>
      </c>
      <c r="AVI1" s="160">
        <v>2513.0</v>
      </c>
      <c r="AVJ1" s="160">
        <v>2515.0</v>
      </c>
      <c r="AVK1" s="160">
        <v>2517.0</v>
      </c>
      <c r="AVL1" s="160">
        <v>2519.0</v>
      </c>
      <c r="AVM1" s="160">
        <v>2521.0</v>
      </c>
      <c r="AVN1" s="160">
        <v>2523.0</v>
      </c>
      <c r="AVO1" s="160">
        <v>2525.0</v>
      </c>
      <c r="AVP1" s="160">
        <v>2527.0</v>
      </c>
      <c r="AVQ1" s="160">
        <v>2529.0</v>
      </c>
      <c r="AVR1" s="160">
        <v>2531.0</v>
      </c>
      <c r="AVS1" s="160">
        <v>2533.0</v>
      </c>
      <c r="AVT1" s="160">
        <v>2535.0</v>
      </c>
      <c r="AVU1" s="160">
        <v>2537.0</v>
      </c>
      <c r="AVV1" s="160">
        <v>2539.0</v>
      </c>
      <c r="AVW1" s="160">
        <v>2541.0</v>
      </c>
      <c r="AVX1" s="160">
        <v>2543.0</v>
      </c>
      <c r="AVY1" s="160">
        <v>2545.0</v>
      </c>
      <c r="AVZ1" s="160">
        <v>2547.0</v>
      </c>
      <c r="AWA1" s="160">
        <v>2549.0</v>
      </c>
      <c r="AWB1" s="160">
        <v>2551.0</v>
      </c>
      <c r="AWC1" s="160">
        <v>2553.0</v>
      </c>
      <c r="AWD1" s="160">
        <v>2555.0</v>
      </c>
      <c r="AWE1" s="160">
        <v>2557.0</v>
      </c>
      <c r="AWF1" s="160">
        <v>2559.0</v>
      </c>
      <c r="AWG1" s="160">
        <v>2561.0</v>
      </c>
      <c r="AWH1" s="160">
        <v>2563.0</v>
      </c>
      <c r="AWI1" s="160">
        <v>2565.0</v>
      </c>
      <c r="AWJ1" s="160">
        <v>2567.0</v>
      </c>
      <c r="AWK1" s="160">
        <v>2569.0</v>
      </c>
      <c r="AWL1" s="160">
        <v>2571.0</v>
      </c>
      <c r="AWM1" s="160">
        <v>2573.0</v>
      </c>
      <c r="AWN1" s="160">
        <v>2575.0</v>
      </c>
      <c r="AWO1" s="160">
        <v>2577.0</v>
      </c>
      <c r="AWP1" s="160">
        <v>2579.0</v>
      </c>
      <c r="AWQ1" s="160">
        <v>2581.0</v>
      </c>
      <c r="AWR1" s="160">
        <v>2583.0</v>
      </c>
      <c r="AWS1" s="160">
        <v>2585.0</v>
      </c>
      <c r="AWT1" s="160">
        <v>2587.0</v>
      </c>
      <c r="AWU1" s="160">
        <v>2589.0</v>
      </c>
      <c r="AWV1" s="160">
        <v>2591.0</v>
      </c>
      <c r="AWW1" s="160">
        <v>2593.0</v>
      </c>
      <c r="AWX1" s="160">
        <v>2595.0</v>
      </c>
      <c r="AWY1" s="160">
        <v>2597.0</v>
      </c>
      <c r="AWZ1" s="160">
        <v>2599.0</v>
      </c>
      <c r="AXA1" s="160">
        <v>2601.0</v>
      </c>
      <c r="AXB1" s="160">
        <v>2603.0</v>
      </c>
      <c r="AXC1" s="160">
        <v>2605.0</v>
      </c>
      <c r="AXD1" s="160">
        <v>2607.0</v>
      </c>
      <c r="AXE1" s="160">
        <v>2609.0</v>
      </c>
      <c r="AXF1" s="160">
        <v>2611.0</v>
      </c>
      <c r="AXG1" s="160">
        <v>2613.0</v>
      </c>
      <c r="AXH1" s="160">
        <v>2615.0</v>
      </c>
      <c r="AXI1" s="160">
        <v>2617.0</v>
      </c>
      <c r="AXJ1" s="160">
        <v>2619.0</v>
      </c>
      <c r="AXK1" s="160">
        <v>2621.0</v>
      </c>
      <c r="AXL1" s="160">
        <v>2623.0</v>
      </c>
      <c r="AXM1" s="160">
        <v>2625.0</v>
      </c>
      <c r="AXN1" s="160">
        <v>2627.0</v>
      </c>
      <c r="AXO1" s="160">
        <v>2629.0</v>
      </c>
      <c r="AXP1" s="160">
        <v>2631.0</v>
      </c>
      <c r="AXQ1" s="160">
        <v>2633.0</v>
      </c>
      <c r="AXR1" s="160">
        <v>2635.0</v>
      </c>
      <c r="AXS1" s="160">
        <v>2637.0</v>
      </c>
      <c r="AXT1" s="160">
        <v>2639.0</v>
      </c>
      <c r="AXU1" s="160">
        <v>2641.0</v>
      </c>
      <c r="AXV1" s="160">
        <v>2643.0</v>
      </c>
      <c r="AXW1" s="160">
        <v>2645.0</v>
      </c>
      <c r="AXX1" s="160">
        <v>2647.0</v>
      </c>
      <c r="AXY1" s="160">
        <v>2649.0</v>
      </c>
      <c r="AXZ1" s="160">
        <v>2651.0</v>
      </c>
      <c r="AYA1" s="160">
        <v>2653.0</v>
      </c>
      <c r="AYB1" s="160">
        <v>2655.0</v>
      </c>
      <c r="AYC1" s="160">
        <v>2657.0</v>
      </c>
      <c r="AYD1" s="160">
        <v>2659.0</v>
      </c>
      <c r="AYE1" s="160">
        <v>2661.0</v>
      </c>
      <c r="AYF1" s="160">
        <v>2663.0</v>
      </c>
      <c r="AYG1" s="160">
        <v>2665.0</v>
      </c>
      <c r="AYH1" s="160">
        <v>2667.0</v>
      </c>
      <c r="AYI1" s="160">
        <v>2669.0</v>
      </c>
      <c r="AYJ1" s="160">
        <v>2671.0</v>
      </c>
      <c r="AYK1" s="160">
        <v>2673.0</v>
      </c>
      <c r="AYL1" s="160">
        <v>2675.0</v>
      </c>
      <c r="AYM1" s="160">
        <v>2677.0</v>
      </c>
      <c r="AYN1" s="160">
        <v>2679.0</v>
      </c>
      <c r="AYO1" s="160">
        <v>2681.0</v>
      </c>
      <c r="AYP1" s="160">
        <v>2683.0</v>
      </c>
      <c r="AYQ1" s="160">
        <v>2685.0</v>
      </c>
      <c r="AYR1" s="160">
        <v>2687.0</v>
      </c>
      <c r="AYS1" s="160">
        <v>2689.0</v>
      </c>
      <c r="AYT1" s="160">
        <v>2691.0</v>
      </c>
      <c r="AYU1" s="160">
        <v>2693.0</v>
      </c>
      <c r="AYV1" s="160">
        <v>2695.0</v>
      </c>
      <c r="AYW1" s="160">
        <v>2697.0</v>
      </c>
      <c r="AYX1" s="160">
        <v>2699.0</v>
      </c>
      <c r="AYY1" s="160">
        <v>2701.0</v>
      </c>
      <c r="AYZ1" s="160">
        <v>2703.0</v>
      </c>
      <c r="AZA1" s="160">
        <v>2705.0</v>
      </c>
      <c r="AZB1" s="160">
        <v>2707.0</v>
      </c>
      <c r="AZC1" s="160">
        <v>2709.0</v>
      </c>
      <c r="AZD1" s="160">
        <v>2711.0</v>
      </c>
      <c r="AZE1" s="160">
        <v>2713.0</v>
      </c>
      <c r="AZF1" s="160">
        <v>2715.0</v>
      </c>
      <c r="AZG1" s="160">
        <v>2717.0</v>
      </c>
      <c r="AZH1" s="160">
        <v>2719.0</v>
      </c>
      <c r="AZI1" s="160">
        <v>2721.0</v>
      </c>
      <c r="AZJ1" s="160">
        <v>2723.0</v>
      </c>
      <c r="AZK1" s="160">
        <v>2725.0</v>
      </c>
      <c r="AZL1" s="160">
        <v>2727.0</v>
      </c>
      <c r="AZM1" s="160">
        <v>2729.0</v>
      </c>
      <c r="AZN1" s="160">
        <v>2731.0</v>
      </c>
      <c r="AZO1" s="160">
        <v>2733.0</v>
      </c>
      <c r="AZP1" s="160">
        <v>2735.0</v>
      </c>
      <c r="AZQ1" s="160">
        <v>2737.0</v>
      </c>
      <c r="AZR1" s="160">
        <v>2739.0</v>
      </c>
      <c r="AZS1" s="160">
        <v>2741.0</v>
      </c>
      <c r="AZT1" s="160">
        <v>2743.0</v>
      </c>
      <c r="AZU1" s="160">
        <v>2745.0</v>
      </c>
      <c r="AZV1" s="160">
        <v>2747.0</v>
      </c>
      <c r="AZW1" s="160">
        <v>2749.0</v>
      </c>
      <c r="AZX1" s="160">
        <v>2751.0</v>
      </c>
      <c r="AZY1" s="160">
        <v>2753.0</v>
      </c>
      <c r="AZZ1" s="160">
        <v>2755.0</v>
      </c>
      <c r="BAA1" s="160">
        <v>2757.0</v>
      </c>
      <c r="BAB1" s="160">
        <v>2759.0</v>
      </c>
      <c r="BAC1" s="160">
        <v>2761.0</v>
      </c>
      <c r="BAD1" s="160">
        <v>2763.0</v>
      </c>
      <c r="BAE1" s="160">
        <v>2765.0</v>
      </c>
      <c r="BAF1" s="160">
        <v>2767.0</v>
      </c>
      <c r="BAG1" s="160">
        <v>2769.0</v>
      </c>
      <c r="BAH1" s="160">
        <v>2771.0</v>
      </c>
      <c r="BAI1" s="160">
        <v>2773.0</v>
      </c>
      <c r="BAJ1" s="160">
        <v>2775.0</v>
      </c>
      <c r="BAK1" s="160">
        <v>2777.0</v>
      </c>
      <c r="BAL1" s="160">
        <v>2779.0</v>
      </c>
      <c r="BAM1" s="160">
        <v>2781.0</v>
      </c>
      <c r="BAN1" s="160">
        <v>2783.0</v>
      </c>
      <c r="BAO1" s="160">
        <v>2785.0</v>
      </c>
      <c r="BAP1" s="160">
        <v>2787.0</v>
      </c>
      <c r="BAQ1" s="160">
        <v>2789.0</v>
      </c>
      <c r="BAR1" s="160">
        <v>2791.0</v>
      </c>
      <c r="BAS1" s="160">
        <v>2793.0</v>
      </c>
      <c r="BAT1" s="160">
        <v>2795.0</v>
      </c>
      <c r="BAU1" s="160">
        <v>2797.0</v>
      </c>
      <c r="BAV1" s="160">
        <v>2799.0</v>
      </c>
      <c r="BAW1" s="160">
        <v>2801.0</v>
      </c>
      <c r="BAX1" s="160">
        <v>2803.0</v>
      </c>
      <c r="BAY1" s="160">
        <v>2805.0</v>
      </c>
      <c r="BAZ1" s="160">
        <v>2807.0</v>
      </c>
      <c r="BBA1" s="160">
        <v>2809.0</v>
      </c>
      <c r="BBB1" s="160">
        <v>2811.0</v>
      </c>
      <c r="BBC1" s="160">
        <v>2813.0</v>
      </c>
      <c r="BBD1" s="160">
        <v>2815.0</v>
      </c>
      <c r="BBE1" s="160">
        <v>2817.0</v>
      </c>
      <c r="BBF1" s="160">
        <v>2819.0</v>
      </c>
      <c r="BBG1" s="160">
        <v>2821.0</v>
      </c>
      <c r="BBH1" s="160">
        <v>2823.0</v>
      </c>
      <c r="BBI1" s="160">
        <v>2825.0</v>
      </c>
      <c r="BBJ1" s="160">
        <v>2827.0</v>
      </c>
      <c r="BBK1" s="160">
        <v>2829.0</v>
      </c>
      <c r="BBL1" s="160">
        <v>2831.0</v>
      </c>
      <c r="BBM1" s="160">
        <v>2833.0</v>
      </c>
      <c r="BBN1" s="160">
        <v>2835.0</v>
      </c>
      <c r="BBO1" s="160">
        <v>2837.0</v>
      </c>
      <c r="BBP1" s="160">
        <v>2839.0</v>
      </c>
      <c r="BBQ1" s="160">
        <v>2841.0</v>
      </c>
      <c r="BBR1" s="160">
        <v>2843.0</v>
      </c>
      <c r="BBS1" s="160">
        <v>2845.0</v>
      </c>
      <c r="BBT1" s="160">
        <v>2847.0</v>
      </c>
      <c r="BBU1" s="160">
        <v>2849.0</v>
      </c>
      <c r="BBV1" s="160">
        <v>2851.0</v>
      </c>
      <c r="BBW1" s="160">
        <v>2853.0</v>
      </c>
      <c r="BBX1" s="160">
        <v>2855.0</v>
      </c>
      <c r="BBY1" s="160">
        <v>2857.0</v>
      </c>
      <c r="BBZ1" s="160">
        <v>2859.0</v>
      </c>
      <c r="BCA1" s="160">
        <v>2861.0</v>
      </c>
      <c r="BCB1" s="160">
        <v>2863.0</v>
      </c>
      <c r="BCC1" s="160">
        <v>2865.0</v>
      </c>
      <c r="BCD1" s="160">
        <v>2867.0</v>
      </c>
      <c r="BCE1" s="160">
        <v>2869.0</v>
      </c>
      <c r="BCF1" s="160">
        <v>2871.0</v>
      </c>
      <c r="BCG1" s="160">
        <v>2873.0</v>
      </c>
      <c r="BCH1" s="160">
        <v>2875.0</v>
      </c>
      <c r="BCI1" s="160">
        <v>2877.0</v>
      </c>
      <c r="BCJ1" s="160">
        <v>2879.0</v>
      </c>
      <c r="BCK1" s="160">
        <v>2881.0</v>
      </c>
      <c r="BCL1" s="160">
        <v>2883.0</v>
      </c>
      <c r="BCM1" s="160">
        <v>2885.0</v>
      </c>
      <c r="BCN1" s="160">
        <v>2887.0</v>
      </c>
      <c r="BCO1" s="160">
        <v>2889.0</v>
      </c>
      <c r="BCP1" s="160">
        <v>2891.0</v>
      </c>
      <c r="BCQ1" s="160">
        <v>2893.0</v>
      </c>
      <c r="BCR1" s="160">
        <v>2895.0</v>
      </c>
      <c r="BCS1" s="160">
        <v>2897.0</v>
      </c>
      <c r="BCT1" s="160">
        <v>2899.0</v>
      </c>
      <c r="BCU1" s="160">
        <v>2901.0</v>
      </c>
      <c r="BCV1" s="160">
        <v>2903.0</v>
      </c>
      <c r="BCW1" s="160">
        <v>2905.0</v>
      </c>
      <c r="BCX1" s="160">
        <v>2907.0</v>
      </c>
      <c r="BCY1" s="160">
        <v>2909.0</v>
      </c>
      <c r="BCZ1" s="160">
        <v>2911.0</v>
      </c>
      <c r="BDA1" s="160">
        <v>2913.0</v>
      </c>
      <c r="BDB1" s="160">
        <v>2915.0</v>
      </c>
      <c r="BDC1" s="160">
        <v>2917.0</v>
      </c>
      <c r="BDD1" s="160">
        <v>2919.0</v>
      </c>
      <c r="BDE1" s="160">
        <v>2921.0</v>
      </c>
      <c r="BDF1" s="160">
        <v>2923.0</v>
      </c>
      <c r="BDG1" s="160">
        <v>2925.0</v>
      </c>
      <c r="BDH1" s="160">
        <v>2927.0</v>
      </c>
      <c r="BDI1" s="160">
        <v>2929.0</v>
      </c>
      <c r="BDJ1" s="160">
        <v>2931.0</v>
      </c>
      <c r="BDK1" s="160">
        <v>2933.0</v>
      </c>
      <c r="BDL1" s="160">
        <v>2935.0</v>
      </c>
      <c r="BDM1" s="160">
        <v>2937.0</v>
      </c>
      <c r="BDN1" s="160">
        <v>2939.0</v>
      </c>
      <c r="BDO1" s="160">
        <v>2941.0</v>
      </c>
      <c r="BDP1" s="160">
        <v>2943.0</v>
      </c>
      <c r="BDQ1" s="160">
        <v>2945.0</v>
      </c>
      <c r="BDR1" s="160">
        <v>2947.0</v>
      </c>
      <c r="BDS1" s="160">
        <v>2949.0</v>
      </c>
      <c r="BDT1" s="160">
        <v>2951.0</v>
      </c>
      <c r="BDU1" s="160">
        <v>2953.0</v>
      </c>
      <c r="BDV1" s="160">
        <v>2955.0</v>
      </c>
      <c r="BDW1" s="160">
        <v>2957.0</v>
      </c>
      <c r="BDX1" s="160">
        <v>2959.0</v>
      </c>
      <c r="BDY1" s="160">
        <v>2961.0</v>
      </c>
      <c r="BDZ1" s="160">
        <v>2963.0</v>
      </c>
      <c r="BEA1" s="160">
        <v>2965.0</v>
      </c>
      <c r="BEB1" s="160">
        <v>2967.0</v>
      </c>
      <c r="BEC1" s="160">
        <v>2969.0</v>
      </c>
      <c r="BED1" s="160">
        <v>2971.0</v>
      </c>
      <c r="BEE1" s="160">
        <v>2973.0</v>
      </c>
      <c r="BEF1" s="160">
        <v>2975.0</v>
      </c>
      <c r="BEG1" s="160">
        <v>2977.0</v>
      </c>
      <c r="BEH1" s="160">
        <v>2979.0</v>
      </c>
      <c r="BEI1" s="160">
        <v>2981.0</v>
      </c>
      <c r="BEJ1" s="160">
        <v>2983.0</v>
      </c>
      <c r="BEK1" s="160">
        <v>2985.0</v>
      </c>
      <c r="BEL1" s="160">
        <v>2987.0</v>
      </c>
      <c r="BEM1" s="160">
        <v>2989.0</v>
      </c>
      <c r="BEN1" s="160">
        <v>2991.0</v>
      </c>
      <c r="BEO1" s="160">
        <v>2993.0</v>
      </c>
      <c r="BEP1" s="160">
        <v>2995.0</v>
      </c>
      <c r="BEQ1" s="160">
        <v>2997.0</v>
      </c>
      <c r="BER1" s="160">
        <v>2999.0</v>
      </c>
      <c r="BES1" s="160">
        <v>3001.0</v>
      </c>
      <c r="BET1" s="160">
        <v>3003.0</v>
      </c>
      <c r="BEU1" s="160">
        <v>3005.0</v>
      </c>
      <c r="BEV1" s="160">
        <v>3007.0</v>
      </c>
      <c r="BEW1" s="160">
        <v>3009.0</v>
      </c>
      <c r="BEX1" s="160">
        <v>3011.0</v>
      </c>
      <c r="BEY1" s="160">
        <v>3013.0</v>
      </c>
      <c r="BEZ1" s="160">
        <v>3015.0</v>
      </c>
      <c r="BFA1" s="160">
        <v>3017.0</v>
      </c>
      <c r="BFB1" s="160">
        <v>3019.0</v>
      </c>
      <c r="BFC1" s="160">
        <v>3021.0</v>
      </c>
      <c r="BFD1" s="160">
        <v>3023.0</v>
      </c>
      <c r="BFE1" s="160">
        <v>3025.0</v>
      </c>
      <c r="BFF1" s="160">
        <v>3027.0</v>
      </c>
      <c r="BFG1" s="160">
        <v>3029.0</v>
      </c>
      <c r="BFH1" s="160">
        <v>3031.0</v>
      </c>
      <c r="BFI1" s="160">
        <v>3033.0</v>
      </c>
      <c r="BFJ1" s="160">
        <v>3035.0</v>
      </c>
      <c r="BFK1" s="160">
        <v>3037.0</v>
      </c>
      <c r="BFL1" s="160">
        <v>3039.0</v>
      </c>
      <c r="BFM1" s="160">
        <v>3041.0</v>
      </c>
      <c r="BFN1" s="160">
        <v>3043.0</v>
      </c>
      <c r="BFO1" s="160">
        <v>3045.0</v>
      </c>
      <c r="BFP1" s="160">
        <v>3047.0</v>
      </c>
      <c r="BFQ1" s="160">
        <v>3049.0</v>
      </c>
      <c r="BFR1" s="160">
        <v>3051.0</v>
      </c>
      <c r="BFS1" s="160">
        <v>3053.0</v>
      </c>
      <c r="BFT1" s="160">
        <v>3055.0</v>
      </c>
      <c r="BFU1" s="160">
        <v>3057.0</v>
      </c>
      <c r="BFV1" s="160">
        <v>3059.0</v>
      </c>
      <c r="BFW1" s="160">
        <v>3061.0</v>
      </c>
      <c r="BFX1" s="160">
        <v>3063.0</v>
      </c>
      <c r="BFY1" s="160">
        <v>3065.0</v>
      </c>
      <c r="BFZ1" s="160">
        <v>3067.0</v>
      </c>
      <c r="BGA1" s="160">
        <v>3069.0</v>
      </c>
      <c r="BGB1" s="160">
        <v>3071.0</v>
      </c>
      <c r="BGC1" s="160">
        <v>3073.0</v>
      </c>
      <c r="BGD1" s="160">
        <v>3075.0</v>
      </c>
      <c r="BGE1" s="160">
        <v>3077.0</v>
      </c>
      <c r="BGF1" s="160">
        <v>3079.0</v>
      </c>
      <c r="BGG1" s="160">
        <v>3081.0</v>
      </c>
      <c r="BGH1" s="160">
        <v>3083.0</v>
      </c>
      <c r="BGI1" s="160">
        <v>3085.0</v>
      </c>
      <c r="BGJ1" s="160">
        <v>3087.0</v>
      </c>
      <c r="BGK1" s="160">
        <v>3089.0</v>
      </c>
      <c r="BGL1" s="160">
        <v>3091.0</v>
      </c>
      <c r="BGM1" s="160">
        <v>3093.0</v>
      </c>
      <c r="BGN1" s="160">
        <v>3095.0</v>
      </c>
      <c r="BGO1" s="160">
        <v>3097.0</v>
      </c>
      <c r="BGP1" s="160">
        <v>3099.0</v>
      </c>
      <c r="BGQ1" s="160">
        <v>3101.0</v>
      </c>
      <c r="BGR1" s="160">
        <v>3103.0</v>
      </c>
      <c r="BGS1" s="160">
        <v>3105.0</v>
      </c>
      <c r="BGT1" s="160">
        <v>3107.0</v>
      </c>
      <c r="BGU1" s="160">
        <v>3109.0</v>
      </c>
      <c r="BGV1" s="160">
        <v>3111.0</v>
      </c>
      <c r="BGW1" s="160">
        <v>3113.0</v>
      </c>
      <c r="BGX1" s="160">
        <v>3115.0</v>
      </c>
      <c r="BGY1" s="160">
        <v>3117.0</v>
      </c>
      <c r="BGZ1" s="160">
        <v>3119.0</v>
      </c>
      <c r="BHA1" s="160">
        <v>3121.0</v>
      </c>
      <c r="BHB1" s="160">
        <v>3123.0</v>
      </c>
      <c r="BHC1" s="160">
        <v>3125.0</v>
      </c>
      <c r="BHD1" s="160">
        <v>3127.0</v>
      </c>
      <c r="BHE1" s="160">
        <v>3129.0</v>
      </c>
      <c r="BHF1" s="160">
        <v>3131.0</v>
      </c>
      <c r="BHG1" s="160">
        <v>3133.0</v>
      </c>
      <c r="BHH1" s="160">
        <v>3135.0</v>
      </c>
      <c r="BHI1" s="160">
        <v>3137.0</v>
      </c>
      <c r="BHJ1" s="160">
        <v>3139.0</v>
      </c>
      <c r="BHK1" s="160">
        <v>3141.0</v>
      </c>
      <c r="BHL1" s="160">
        <v>3143.0</v>
      </c>
      <c r="BHM1" s="160">
        <v>3145.0</v>
      </c>
      <c r="BHN1" s="160">
        <v>3147.0</v>
      </c>
      <c r="BHO1" s="160">
        <v>3149.0</v>
      </c>
      <c r="BHP1" s="160">
        <v>3151.0</v>
      </c>
      <c r="BHQ1" s="160">
        <v>3153.0</v>
      </c>
      <c r="BHR1" s="160">
        <v>3155.0</v>
      </c>
      <c r="BHS1" s="160">
        <v>3157.0</v>
      </c>
      <c r="BHT1" s="160">
        <v>3159.0</v>
      </c>
      <c r="BHU1" s="160">
        <v>3161.0</v>
      </c>
      <c r="BHV1" s="160">
        <v>3163.0</v>
      </c>
      <c r="BHW1" s="160">
        <v>3165.0</v>
      </c>
      <c r="BHX1" s="160">
        <v>3167.0</v>
      </c>
      <c r="BHY1" s="160">
        <v>3169.0</v>
      </c>
      <c r="BHZ1" s="160">
        <v>3171.0</v>
      </c>
      <c r="BIA1" s="160">
        <v>3173.0</v>
      </c>
      <c r="BIB1" s="160">
        <v>3175.0</v>
      </c>
      <c r="BIC1" s="160">
        <v>3177.0</v>
      </c>
      <c r="BID1" s="160">
        <v>3179.0</v>
      </c>
      <c r="BIE1" s="160">
        <v>3181.0</v>
      </c>
      <c r="BIF1" s="160">
        <v>3183.0</v>
      </c>
      <c r="BIG1" s="160">
        <v>3185.0</v>
      </c>
      <c r="BIH1" s="160">
        <v>3187.0</v>
      </c>
      <c r="BII1" s="160">
        <v>3189.0</v>
      </c>
      <c r="BIJ1" s="160">
        <v>3191.0</v>
      </c>
      <c r="BIK1" s="160">
        <v>3193.0</v>
      </c>
      <c r="BIL1" s="160">
        <v>3195.0</v>
      </c>
      <c r="BIM1" s="160">
        <v>3197.0</v>
      </c>
      <c r="BIN1" s="160">
        <v>3199.0</v>
      </c>
      <c r="BIO1" s="160">
        <v>3201.0</v>
      </c>
      <c r="BIP1" s="160">
        <v>3203.0</v>
      </c>
      <c r="BIQ1" s="160">
        <v>3205.0</v>
      </c>
      <c r="BIR1" s="160">
        <v>3207.0</v>
      </c>
      <c r="BIS1" s="160">
        <v>3209.0</v>
      </c>
      <c r="BIT1" s="160">
        <v>3211.0</v>
      </c>
      <c r="BIU1" s="160">
        <v>3213.0</v>
      </c>
      <c r="BIV1" s="160">
        <v>3215.0</v>
      </c>
      <c r="BIW1" s="160">
        <v>3217.0</v>
      </c>
      <c r="BIX1" s="160">
        <v>3219.0</v>
      </c>
      <c r="BIY1" s="160">
        <v>3221.0</v>
      </c>
      <c r="BIZ1" s="160">
        <v>3223.0</v>
      </c>
      <c r="BJA1" s="160">
        <v>3225.0</v>
      </c>
      <c r="BJB1" s="160">
        <v>3227.0</v>
      </c>
      <c r="BJC1" s="160">
        <v>3229.0</v>
      </c>
      <c r="BJD1" s="160">
        <v>3231.0</v>
      </c>
      <c r="BJE1" s="160">
        <v>3233.0</v>
      </c>
      <c r="BJF1" s="160">
        <v>3235.0</v>
      </c>
      <c r="BJG1" s="160">
        <v>3237.0</v>
      </c>
      <c r="BJH1" s="160">
        <v>3239.0</v>
      </c>
      <c r="BJI1" s="160">
        <v>3241.0</v>
      </c>
      <c r="BJJ1" s="160">
        <v>3243.0</v>
      </c>
      <c r="BJK1" s="160">
        <v>3245.0</v>
      </c>
      <c r="BJL1" s="160">
        <v>3247.0</v>
      </c>
      <c r="BJM1" s="160">
        <v>3249.0</v>
      </c>
      <c r="BJN1" s="160">
        <v>3251.0</v>
      </c>
      <c r="BJO1" s="160">
        <v>3253.0</v>
      </c>
      <c r="BJP1" s="160">
        <v>3255.0</v>
      </c>
      <c r="BJQ1" s="160">
        <v>3257.0</v>
      </c>
      <c r="BJR1" s="160">
        <v>3259.0</v>
      </c>
      <c r="BJS1" s="160">
        <v>3261.0</v>
      </c>
      <c r="BJT1" s="160">
        <v>3263.0</v>
      </c>
      <c r="BJU1" s="160">
        <v>3265.0</v>
      </c>
      <c r="BJV1" s="160">
        <v>3267.0</v>
      </c>
      <c r="BJW1" s="160">
        <v>3269.0</v>
      </c>
      <c r="BJX1" s="160">
        <v>3271.0</v>
      </c>
      <c r="BJY1" s="160">
        <v>3273.0</v>
      </c>
      <c r="BJZ1" s="160">
        <v>3275.0</v>
      </c>
      <c r="BKA1" s="160">
        <v>3277.0</v>
      </c>
      <c r="BKB1" s="160">
        <v>3279.0</v>
      </c>
      <c r="BKC1" s="160">
        <v>3281.0</v>
      </c>
      <c r="BKD1" s="160">
        <v>3283.0</v>
      </c>
      <c r="BKE1" s="160">
        <v>3285.0</v>
      </c>
      <c r="BKF1" s="160">
        <v>3287.0</v>
      </c>
      <c r="BKG1" s="160">
        <v>3289.0</v>
      </c>
      <c r="BKH1" s="160">
        <v>3291.0</v>
      </c>
      <c r="BKI1" s="160">
        <v>3293.0</v>
      </c>
      <c r="BKJ1" s="160">
        <v>3295.0</v>
      </c>
      <c r="BKK1" s="160">
        <v>3297.0</v>
      </c>
      <c r="BKL1" s="160">
        <v>3299.0</v>
      </c>
      <c r="BKM1" s="160">
        <v>3301.0</v>
      </c>
      <c r="BKN1" s="160">
        <v>3303.0</v>
      </c>
      <c r="BKO1" s="160">
        <v>3305.0</v>
      </c>
      <c r="BKP1" s="160">
        <v>3307.0</v>
      </c>
      <c r="BKQ1" s="160">
        <v>3309.0</v>
      </c>
      <c r="BKR1" s="160">
        <v>3311.0</v>
      </c>
      <c r="BKS1" s="160">
        <v>3313.0</v>
      </c>
      <c r="BKT1" s="160">
        <v>3315.0</v>
      </c>
      <c r="BKU1" s="160">
        <v>3317.0</v>
      </c>
      <c r="BKV1" s="160">
        <v>3319.0</v>
      </c>
      <c r="BKW1" s="160">
        <v>3321.0</v>
      </c>
      <c r="BKX1" s="160">
        <v>3323.0</v>
      </c>
      <c r="BKY1" s="160">
        <v>3325.0</v>
      </c>
      <c r="BKZ1" s="160">
        <v>3327.0</v>
      </c>
      <c r="BLA1" s="160">
        <v>3329.0</v>
      </c>
      <c r="BLB1" s="160">
        <v>3331.0</v>
      </c>
      <c r="BLC1" s="160">
        <v>3333.0</v>
      </c>
      <c r="BLD1" s="160">
        <v>3335.0</v>
      </c>
      <c r="BLE1" s="160">
        <v>3337.0</v>
      </c>
      <c r="BLF1" s="160">
        <v>3339.0</v>
      </c>
      <c r="BLG1" s="160">
        <v>3341.0</v>
      </c>
      <c r="BLH1" s="160">
        <v>3343.0</v>
      </c>
      <c r="BLI1" s="160">
        <v>3345.0</v>
      </c>
      <c r="BLJ1" s="160">
        <v>3347.0</v>
      </c>
      <c r="BLK1" s="160">
        <v>3349.0</v>
      </c>
      <c r="BLL1" s="160">
        <v>3351.0</v>
      </c>
      <c r="BLM1" s="160">
        <v>3353.0</v>
      </c>
      <c r="BLN1" s="160">
        <v>3355.0</v>
      </c>
      <c r="BLO1" s="160">
        <v>3357.0</v>
      </c>
      <c r="BLP1" s="160">
        <v>3359.0</v>
      </c>
      <c r="BLQ1" s="160">
        <v>3361.0</v>
      </c>
      <c r="BLR1" s="160">
        <v>3363.0</v>
      </c>
      <c r="BLS1" s="160">
        <v>3365.0</v>
      </c>
      <c r="BLT1" s="160">
        <v>3367.0</v>
      </c>
      <c r="BLU1" s="160">
        <v>3369.0</v>
      </c>
      <c r="BLV1" s="160">
        <v>3371.0</v>
      </c>
      <c r="BLW1" s="160">
        <v>3373.0</v>
      </c>
      <c r="BLX1" s="160">
        <v>3375.0</v>
      </c>
      <c r="BLY1" s="160">
        <v>3377.0</v>
      </c>
      <c r="BLZ1" s="160">
        <v>3379.0</v>
      </c>
      <c r="BMA1" s="160">
        <v>3381.0</v>
      </c>
      <c r="BMB1" s="160">
        <v>3383.0</v>
      </c>
      <c r="BMC1" s="160">
        <v>3385.0</v>
      </c>
      <c r="BMD1" s="160">
        <v>3387.0</v>
      </c>
      <c r="BME1" s="160">
        <v>3389.0</v>
      </c>
      <c r="BMF1" s="160">
        <v>3391.0</v>
      </c>
      <c r="BMG1" s="160">
        <v>3393.0</v>
      </c>
      <c r="BMH1" s="160">
        <v>3395.0</v>
      </c>
      <c r="BMI1" s="160">
        <v>3397.0</v>
      </c>
      <c r="BMJ1" s="160">
        <v>3399.0</v>
      </c>
      <c r="BMK1" s="160">
        <v>3401.0</v>
      </c>
      <c r="BML1" s="160">
        <v>3403.0</v>
      </c>
      <c r="BMM1" s="160">
        <v>3405.0</v>
      </c>
      <c r="BMN1" s="160">
        <v>3407.0</v>
      </c>
      <c r="BMO1" s="160">
        <v>3409.0</v>
      </c>
      <c r="BMP1" s="160">
        <v>3411.0</v>
      </c>
      <c r="BMQ1" s="160">
        <v>3413.0</v>
      </c>
      <c r="BMR1" s="160">
        <v>3415.0</v>
      </c>
      <c r="BMS1" s="160">
        <v>3417.0</v>
      </c>
      <c r="BMT1" s="160">
        <v>3419.0</v>
      </c>
      <c r="BMU1" s="160">
        <v>3421.0</v>
      </c>
      <c r="BMV1" s="160">
        <v>3423.0</v>
      </c>
      <c r="BMW1" s="160">
        <v>3425.0</v>
      </c>
      <c r="BMX1" s="160">
        <v>3427.0</v>
      </c>
      <c r="BMY1" s="160">
        <v>3429.0</v>
      </c>
      <c r="BMZ1" s="160">
        <v>3431.0</v>
      </c>
      <c r="BNA1" s="160">
        <v>3433.0</v>
      </c>
      <c r="BNB1" s="160">
        <v>3435.0</v>
      </c>
      <c r="BNC1" s="160">
        <v>3437.0</v>
      </c>
      <c r="BND1" s="160">
        <v>3439.0</v>
      </c>
      <c r="BNE1" s="160">
        <v>3441.0</v>
      </c>
      <c r="BNF1" s="160">
        <v>3443.0</v>
      </c>
      <c r="BNG1" s="160">
        <v>3445.0</v>
      </c>
      <c r="BNH1" s="160">
        <v>3447.0</v>
      </c>
      <c r="BNI1" s="160">
        <v>3449.0</v>
      </c>
      <c r="BNJ1" s="160">
        <v>3451.0</v>
      </c>
      <c r="BNK1" s="160">
        <v>3453.0</v>
      </c>
      <c r="BNL1" s="160">
        <v>3455.0</v>
      </c>
      <c r="BNM1" s="160">
        <v>3457.0</v>
      </c>
      <c r="BNN1" s="160">
        <v>3459.0</v>
      </c>
      <c r="BNO1" s="160">
        <v>3461.0</v>
      </c>
      <c r="BNP1" s="160">
        <v>3463.0</v>
      </c>
      <c r="BNQ1" s="160">
        <v>3465.0</v>
      </c>
      <c r="BNR1" s="160">
        <v>3467.0</v>
      </c>
      <c r="BNS1" s="160">
        <v>3469.0</v>
      </c>
      <c r="BNT1" s="160">
        <v>3471.0</v>
      </c>
      <c r="BNU1" s="160">
        <v>3473.0</v>
      </c>
      <c r="BNV1" s="160">
        <v>3475.0</v>
      </c>
      <c r="BNW1" s="160">
        <v>3477.0</v>
      </c>
      <c r="BNX1" s="160">
        <v>3479.0</v>
      </c>
      <c r="BNY1" s="160">
        <v>3481.0</v>
      </c>
      <c r="BNZ1" s="160">
        <v>3483.0</v>
      </c>
      <c r="BOA1" s="160">
        <v>3485.0</v>
      </c>
      <c r="BOB1" s="160">
        <v>3487.0</v>
      </c>
      <c r="BOC1" s="160">
        <v>3489.0</v>
      </c>
      <c r="BOD1" s="160">
        <v>3491.0</v>
      </c>
      <c r="BOE1" s="160">
        <v>3493.0</v>
      </c>
      <c r="BOF1" s="160">
        <v>3495.0</v>
      </c>
      <c r="BOG1" s="160">
        <v>3497.0</v>
      </c>
      <c r="BOH1" s="160">
        <v>3499.0</v>
      </c>
      <c r="BOI1" s="160">
        <v>3501.0</v>
      </c>
      <c r="BOJ1" s="160">
        <v>3503.0</v>
      </c>
      <c r="BOK1" s="160">
        <v>3505.0</v>
      </c>
      <c r="BOL1" s="160">
        <v>3507.0</v>
      </c>
      <c r="BOM1" s="160">
        <v>3509.0</v>
      </c>
      <c r="BON1" s="160">
        <v>3511.0</v>
      </c>
      <c r="BOO1" s="160">
        <v>3513.0</v>
      </c>
      <c r="BOP1" s="160">
        <v>3515.0</v>
      </c>
      <c r="BOQ1" s="160">
        <v>3517.0</v>
      </c>
      <c r="BOR1" s="160">
        <v>3519.0</v>
      </c>
      <c r="BOS1" s="160">
        <v>3521.0</v>
      </c>
      <c r="BOT1" s="160">
        <v>3523.0</v>
      </c>
      <c r="BOU1" s="160">
        <v>3525.0</v>
      </c>
      <c r="BOV1" s="160">
        <v>3527.0</v>
      </c>
      <c r="BOW1" s="160">
        <v>3529.0</v>
      </c>
      <c r="BOX1" s="160">
        <v>3531.0</v>
      </c>
      <c r="BOY1" s="160">
        <v>3533.0</v>
      </c>
      <c r="BOZ1" s="160">
        <v>3535.0</v>
      </c>
      <c r="BPA1" s="160">
        <v>3537.0</v>
      </c>
      <c r="BPB1" s="160">
        <v>3539.0</v>
      </c>
      <c r="BPC1" s="160">
        <v>3541.0</v>
      </c>
      <c r="BPD1" s="160">
        <v>3543.0</v>
      </c>
      <c r="BPE1" s="160">
        <v>3545.0</v>
      </c>
      <c r="BPF1" s="160">
        <v>3547.0</v>
      </c>
      <c r="BPG1" s="160">
        <v>3549.0</v>
      </c>
      <c r="BPH1" s="160">
        <v>3551.0</v>
      </c>
      <c r="BPI1" s="160">
        <v>3553.0</v>
      </c>
      <c r="BPJ1" s="160">
        <v>3555.0</v>
      </c>
      <c r="BPK1" s="160">
        <v>3557.0</v>
      </c>
      <c r="BPL1" s="160">
        <v>3559.0</v>
      </c>
      <c r="BPM1" s="160">
        <v>3561.0</v>
      </c>
      <c r="BPN1" s="160">
        <v>3563.0</v>
      </c>
      <c r="BPO1" s="160">
        <v>3565.0</v>
      </c>
      <c r="BPP1" s="160">
        <v>3567.0</v>
      </c>
      <c r="BPQ1" s="160">
        <v>3569.0</v>
      </c>
      <c r="BPR1" s="160">
        <v>3571.0</v>
      </c>
      <c r="BPS1" s="160">
        <v>3573.0</v>
      </c>
      <c r="BPT1" s="160">
        <v>3575.0</v>
      </c>
      <c r="BPU1" s="160">
        <v>3577.0</v>
      </c>
      <c r="BPV1" s="160">
        <v>3579.0</v>
      </c>
      <c r="BPW1" s="160">
        <v>3581.0</v>
      </c>
      <c r="BPX1" s="160">
        <v>3583.0</v>
      </c>
      <c r="BPY1" s="160">
        <v>3585.0</v>
      </c>
      <c r="BPZ1" s="160">
        <v>3587.0</v>
      </c>
      <c r="BQA1" s="160">
        <v>3589.0</v>
      </c>
      <c r="BQB1" s="160">
        <v>3591.0</v>
      </c>
      <c r="BQC1" s="160">
        <v>3593.0</v>
      </c>
      <c r="BQD1" s="160">
        <v>3595.0</v>
      </c>
      <c r="BQE1" s="160">
        <v>3597.0</v>
      </c>
      <c r="BQF1" s="160">
        <v>3599.0</v>
      </c>
      <c r="BQG1" s="160">
        <v>3601.0</v>
      </c>
      <c r="BQH1" s="160">
        <v>3603.0</v>
      </c>
      <c r="BQI1" s="160">
        <v>3605.0</v>
      </c>
      <c r="BQJ1" s="160">
        <v>3607.0</v>
      </c>
      <c r="BQK1" s="160">
        <v>3609.0</v>
      </c>
      <c r="BQL1" s="160">
        <v>3611.0</v>
      </c>
      <c r="BQM1" s="160">
        <v>3613.0</v>
      </c>
      <c r="BQN1" s="160">
        <v>3615.0</v>
      </c>
      <c r="BQO1" s="160">
        <v>3617.0</v>
      </c>
      <c r="BQP1" s="160">
        <v>3619.0</v>
      </c>
      <c r="BQQ1" s="160">
        <v>3621.0</v>
      </c>
      <c r="BQR1" s="160">
        <v>3623.0</v>
      </c>
      <c r="BQS1" s="160">
        <v>3625.0</v>
      </c>
      <c r="BQT1" s="160">
        <v>3627.0</v>
      </c>
      <c r="BQU1" s="160">
        <v>3629.0</v>
      </c>
      <c r="BQV1" s="160">
        <v>3631.0</v>
      </c>
      <c r="BQW1" s="160">
        <v>3633.0</v>
      </c>
      <c r="BQX1" s="160">
        <v>3635.0</v>
      </c>
      <c r="BQY1" s="160">
        <v>3637.0</v>
      </c>
      <c r="BQZ1" s="160">
        <v>3639.0</v>
      </c>
      <c r="BRA1" s="160">
        <v>3641.0</v>
      </c>
      <c r="BRB1" s="160">
        <v>3643.0</v>
      </c>
      <c r="BRC1" s="160">
        <v>3645.0</v>
      </c>
      <c r="BRD1" s="160">
        <v>3647.0</v>
      </c>
      <c r="BRE1" s="160">
        <v>3649.0</v>
      </c>
      <c r="BRF1" s="160">
        <v>3651.0</v>
      </c>
      <c r="BRG1" s="160">
        <v>3653.0</v>
      </c>
      <c r="BRH1" s="160">
        <v>3655.0</v>
      </c>
      <c r="BRI1" s="160">
        <v>3657.0</v>
      </c>
      <c r="BRJ1" s="160">
        <v>3659.0</v>
      </c>
      <c r="BRK1" s="160">
        <v>3661.0</v>
      </c>
      <c r="BRL1" s="160">
        <v>3663.0</v>
      </c>
      <c r="BRM1" s="160">
        <v>3665.0</v>
      </c>
      <c r="BRN1" s="160">
        <v>3667.0</v>
      </c>
      <c r="BRO1" s="160">
        <v>3669.0</v>
      </c>
      <c r="BRP1" s="160">
        <v>3671.0</v>
      </c>
      <c r="BRQ1" s="160">
        <v>3673.0</v>
      </c>
      <c r="BRR1" s="160">
        <v>3675.0</v>
      </c>
      <c r="BRS1" s="160">
        <v>3677.0</v>
      </c>
      <c r="BRT1" s="160">
        <v>3679.0</v>
      </c>
      <c r="BRU1" s="160">
        <v>3681.0</v>
      </c>
      <c r="BRV1" s="160">
        <v>3683.0</v>
      </c>
      <c r="BRW1" s="160">
        <v>3685.0</v>
      </c>
      <c r="BRX1" s="160">
        <v>3687.0</v>
      </c>
      <c r="BRY1" s="160">
        <v>3689.0</v>
      </c>
      <c r="BRZ1" s="160">
        <v>3691.0</v>
      </c>
      <c r="BSA1" s="160">
        <v>3693.0</v>
      </c>
      <c r="BSB1" s="160">
        <v>3695.0</v>
      </c>
      <c r="BSC1" s="160">
        <v>3697.0</v>
      </c>
      <c r="BSD1" s="160">
        <v>3699.0</v>
      </c>
      <c r="BSE1" s="160">
        <v>3701.0</v>
      </c>
      <c r="BSF1" s="160">
        <v>3703.0</v>
      </c>
      <c r="BSG1" s="160">
        <v>3705.0</v>
      </c>
      <c r="BSH1" s="160">
        <v>3707.0</v>
      </c>
      <c r="BSI1" s="160">
        <v>3709.0</v>
      </c>
      <c r="BSJ1" s="160">
        <v>3711.0</v>
      </c>
      <c r="BSK1" s="160">
        <v>3713.0</v>
      </c>
      <c r="BSL1" s="160">
        <v>3715.0</v>
      </c>
      <c r="BSM1" s="160">
        <v>3717.0</v>
      </c>
      <c r="BSN1" s="160">
        <v>3719.0</v>
      </c>
      <c r="BSO1" s="160">
        <v>3721.0</v>
      </c>
      <c r="BSP1" s="160">
        <v>3723.0</v>
      </c>
      <c r="BSQ1" s="160">
        <v>3725.0</v>
      </c>
      <c r="BSR1" s="160">
        <v>3727.0</v>
      </c>
      <c r="BSS1" s="160">
        <v>3729.0</v>
      </c>
      <c r="BST1" s="160">
        <v>3731.0</v>
      </c>
      <c r="BSU1" s="160">
        <v>3733.0</v>
      </c>
      <c r="BSV1" s="160">
        <v>3735.0</v>
      </c>
      <c r="BSW1" s="160">
        <v>3737.0</v>
      </c>
      <c r="BSX1" s="160">
        <v>3739.0</v>
      </c>
      <c r="BSY1" s="160">
        <v>3741.0</v>
      </c>
      <c r="BSZ1" s="160">
        <v>3743.0</v>
      </c>
      <c r="BTA1" s="160">
        <v>3745.0</v>
      </c>
      <c r="BTB1" s="160">
        <v>3747.0</v>
      </c>
      <c r="BTC1" s="160">
        <v>3749.0</v>
      </c>
      <c r="BTD1" s="160">
        <v>3751.0</v>
      </c>
      <c r="BTE1" s="160">
        <v>3753.0</v>
      </c>
      <c r="BTF1" s="160">
        <v>3755.0</v>
      </c>
      <c r="BTG1" s="160">
        <v>3757.0</v>
      </c>
      <c r="BTH1" s="160">
        <v>3759.0</v>
      </c>
      <c r="BTI1" s="160">
        <v>3761.0</v>
      </c>
      <c r="BTJ1" s="160">
        <v>3763.0</v>
      </c>
      <c r="BTK1" s="160">
        <v>3765.0</v>
      </c>
      <c r="BTL1" s="160">
        <v>3767.0</v>
      </c>
      <c r="BTM1" s="160">
        <v>3769.0</v>
      </c>
      <c r="BTN1" s="160">
        <v>3771.0</v>
      </c>
      <c r="BTO1" s="160">
        <v>3773.0</v>
      </c>
      <c r="BTP1" s="160">
        <v>3775.0</v>
      </c>
      <c r="BTQ1" s="160">
        <v>3777.0</v>
      </c>
      <c r="BTR1" s="160">
        <v>3779.0</v>
      </c>
      <c r="BTS1" s="160">
        <v>3781.0</v>
      </c>
      <c r="BTT1" s="160">
        <v>3783.0</v>
      </c>
      <c r="BTU1" s="160">
        <v>3785.0</v>
      </c>
      <c r="BTV1" s="160">
        <v>3787.0</v>
      </c>
      <c r="BTW1" s="160">
        <v>3789.0</v>
      </c>
      <c r="BTX1" s="160">
        <v>3791.0</v>
      </c>
      <c r="BTY1" s="160">
        <v>3793.0</v>
      </c>
      <c r="BTZ1" s="160">
        <v>3795.0</v>
      </c>
      <c r="BUA1" s="160">
        <v>3797.0</v>
      </c>
      <c r="BUB1" s="160">
        <v>3799.0</v>
      </c>
      <c r="BUC1" s="160">
        <v>3801.0</v>
      </c>
      <c r="BUD1" s="160">
        <v>3803.0</v>
      </c>
      <c r="BUE1" s="160">
        <v>3805.0</v>
      </c>
      <c r="BUF1" s="160">
        <v>3807.0</v>
      </c>
      <c r="BUG1" s="160">
        <v>3809.0</v>
      </c>
      <c r="BUH1" s="160">
        <v>3811.0</v>
      </c>
      <c r="BUI1" s="160">
        <v>3813.0</v>
      </c>
      <c r="BUJ1" s="160">
        <v>3815.0</v>
      </c>
      <c r="BUK1" s="160">
        <v>3817.0</v>
      </c>
      <c r="BUL1" s="160">
        <v>3819.0</v>
      </c>
      <c r="BUM1" s="160">
        <v>3821.0</v>
      </c>
      <c r="BUN1" s="160">
        <v>3823.0</v>
      </c>
      <c r="BUO1" s="160">
        <v>3825.0</v>
      </c>
      <c r="BUP1" s="160">
        <v>3827.0</v>
      </c>
      <c r="BUQ1" s="160">
        <v>3829.0</v>
      </c>
      <c r="BUR1" s="160">
        <v>3831.0</v>
      </c>
      <c r="BUS1" s="160">
        <v>3833.0</v>
      </c>
      <c r="BUT1" s="160">
        <v>3835.0</v>
      </c>
      <c r="BUU1" s="160">
        <v>3837.0</v>
      </c>
      <c r="BUV1" s="160">
        <v>3839.0</v>
      </c>
      <c r="BUW1" s="160">
        <v>3841.0</v>
      </c>
      <c r="BUX1" s="160">
        <v>3843.0</v>
      </c>
      <c r="BUY1" s="160">
        <v>3845.0</v>
      </c>
      <c r="BUZ1" s="160">
        <v>3847.0</v>
      </c>
      <c r="BVA1" s="160">
        <v>3849.0</v>
      </c>
      <c r="BVB1" s="160">
        <v>3851.0</v>
      </c>
      <c r="BVC1" s="160">
        <v>3853.0</v>
      </c>
      <c r="BVD1" s="160">
        <v>3855.0</v>
      </c>
      <c r="BVE1" s="160">
        <v>3857.0</v>
      </c>
      <c r="BVF1" s="160">
        <v>3859.0</v>
      </c>
      <c r="BVG1" s="160">
        <v>3861.0</v>
      </c>
      <c r="BVH1" s="160">
        <v>3863.0</v>
      </c>
      <c r="BVI1" s="160">
        <v>3865.0</v>
      </c>
      <c r="BVJ1" s="160">
        <v>3867.0</v>
      </c>
      <c r="BVK1" s="160">
        <v>3869.0</v>
      </c>
      <c r="BVL1" s="160">
        <v>3871.0</v>
      </c>
      <c r="BVM1" s="160">
        <v>3873.0</v>
      </c>
      <c r="BVN1" s="160">
        <v>3875.0</v>
      </c>
      <c r="BVO1" s="160">
        <v>3877.0</v>
      </c>
      <c r="BVP1" s="160">
        <v>3879.0</v>
      </c>
      <c r="BVQ1" s="160">
        <v>3881.0</v>
      </c>
      <c r="BVR1" s="160">
        <v>3883.0</v>
      </c>
      <c r="BVS1" s="160">
        <v>3885.0</v>
      </c>
      <c r="BVT1" s="160">
        <v>3887.0</v>
      </c>
      <c r="BVU1" s="160">
        <v>3889.0</v>
      </c>
      <c r="BVV1" s="160">
        <v>3891.0</v>
      </c>
      <c r="BVW1" s="160">
        <v>3893.0</v>
      </c>
      <c r="BVX1" s="160">
        <v>3895.0</v>
      </c>
      <c r="BVY1" s="160">
        <v>3897.0</v>
      </c>
      <c r="BVZ1" s="160">
        <v>3899.0</v>
      </c>
      <c r="BWA1" s="160">
        <v>3901.0</v>
      </c>
      <c r="BWB1" s="160">
        <v>3903.0</v>
      </c>
      <c r="BWC1" s="160">
        <v>3905.0</v>
      </c>
      <c r="BWD1" s="160">
        <v>3907.0</v>
      </c>
      <c r="BWE1" s="160">
        <v>3909.0</v>
      </c>
      <c r="BWF1" s="160">
        <v>3911.0</v>
      </c>
      <c r="BWG1" s="160">
        <v>3913.0</v>
      </c>
      <c r="BWH1" s="160">
        <v>3915.0</v>
      </c>
      <c r="BWI1" s="160">
        <v>3917.0</v>
      </c>
      <c r="BWJ1" s="160">
        <v>3919.0</v>
      </c>
      <c r="BWK1" s="160">
        <v>3921.0</v>
      </c>
      <c r="BWL1" s="160">
        <v>3923.0</v>
      </c>
      <c r="BWM1" s="160">
        <v>3925.0</v>
      </c>
      <c r="BWN1" s="160">
        <v>3927.0</v>
      </c>
      <c r="BWO1" s="160">
        <v>3929.0</v>
      </c>
      <c r="BWP1" s="160">
        <v>3931.0</v>
      </c>
      <c r="BWQ1" s="160">
        <v>3933.0</v>
      </c>
      <c r="BWR1" s="160">
        <v>3935.0</v>
      </c>
      <c r="BWS1" s="160">
        <v>3937.0</v>
      </c>
      <c r="BWT1" s="160">
        <v>3939.0</v>
      </c>
      <c r="BWU1" s="160">
        <v>3941.0</v>
      </c>
      <c r="BWV1" s="160">
        <v>3943.0</v>
      </c>
      <c r="BWW1" s="160">
        <v>3945.0</v>
      </c>
      <c r="BWX1" s="160">
        <v>3947.0</v>
      </c>
      <c r="BWY1" s="160">
        <v>3949.0</v>
      </c>
      <c r="BWZ1" s="160">
        <v>3951.0</v>
      </c>
      <c r="BXA1" s="160">
        <v>3953.0</v>
      </c>
      <c r="BXB1" s="160">
        <v>3955.0</v>
      </c>
      <c r="BXC1" s="160">
        <v>3957.0</v>
      </c>
      <c r="BXD1" s="160">
        <v>3959.0</v>
      </c>
      <c r="BXE1" s="160">
        <v>3961.0</v>
      </c>
      <c r="BXF1" s="160">
        <v>3963.0</v>
      </c>
      <c r="BXG1" s="160">
        <v>3965.0</v>
      </c>
      <c r="BXH1" s="160">
        <v>3967.0</v>
      </c>
      <c r="BXI1" s="160">
        <v>3969.0</v>
      </c>
      <c r="BXJ1" s="160">
        <v>3971.0</v>
      </c>
      <c r="BXK1" s="160">
        <v>3973.0</v>
      </c>
      <c r="BXL1" s="160">
        <v>3975.0</v>
      </c>
      <c r="BXM1" s="160">
        <v>3977.0</v>
      </c>
      <c r="BXN1" s="160">
        <v>3979.0</v>
      </c>
      <c r="BXO1" s="160">
        <v>3981.0</v>
      </c>
      <c r="BXP1" s="160">
        <v>3983.0</v>
      </c>
      <c r="BXQ1" s="160">
        <v>3985.0</v>
      </c>
      <c r="BXR1" s="160">
        <v>3987.0</v>
      </c>
      <c r="BXS1" s="160">
        <v>3989.0</v>
      </c>
      <c r="BXT1" s="160">
        <v>3991.0</v>
      </c>
      <c r="BXU1" s="160">
        <v>3993.0</v>
      </c>
      <c r="BXV1" s="160">
        <v>3995.0</v>
      </c>
      <c r="BXW1" s="160">
        <v>3997.0</v>
      </c>
      <c r="BXX1" s="160">
        <v>3999.0</v>
      </c>
      <c r="BXY1" s="160">
        <v>4001.0</v>
      </c>
      <c r="BXZ1" s="160">
        <v>4003.0</v>
      </c>
      <c r="BYA1" s="160">
        <v>4005.0</v>
      </c>
      <c r="BYB1" s="160">
        <v>4007.0</v>
      </c>
      <c r="BYC1" s="160">
        <v>4009.0</v>
      </c>
      <c r="BYD1" s="160">
        <v>4011.0</v>
      </c>
      <c r="BYE1" s="160">
        <v>4013.0</v>
      </c>
      <c r="BYF1" s="160">
        <v>4015.0</v>
      </c>
      <c r="BYG1" s="160">
        <v>4017.0</v>
      </c>
      <c r="BYH1" s="160">
        <v>4019.0</v>
      </c>
      <c r="BYI1" s="160">
        <v>4021.0</v>
      </c>
      <c r="BYJ1" s="160">
        <v>4023.0</v>
      </c>
      <c r="BYK1" s="160">
        <v>4025.0</v>
      </c>
      <c r="BYL1" s="160">
        <v>4027.0</v>
      </c>
      <c r="BYM1" s="160">
        <v>4029.0</v>
      </c>
      <c r="BYN1" s="160">
        <v>4031.0</v>
      </c>
      <c r="BYO1" s="160">
        <v>4033.0</v>
      </c>
      <c r="BYP1" s="160">
        <v>4035.0</v>
      </c>
      <c r="BYQ1" s="160">
        <v>4037.0</v>
      </c>
      <c r="BYR1" s="160">
        <v>4039.0</v>
      </c>
      <c r="BYS1" s="160">
        <v>4041.0</v>
      </c>
      <c r="BYT1" s="160">
        <v>4043.0</v>
      </c>
      <c r="BYU1" s="160">
        <v>4045.0</v>
      </c>
      <c r="BYV1" s="160">
        <v>4047.0</v>
      </c>
      <c r="BYW1" s="160">
        <v>4049.0</v>
      </c>
      <c r="BYX1" s="160">
        <v>4051.0</v>
      </c>
      <c r="BYY1" s="160">
        <v>4053.0</v>
      </c>
      <c r="BYZ1" s="160">
        <v>4055.0</v>
      </c>
      <c r="BZA1" s="160">
        <v>4057.0</v>
      </c>
      <c r="BZB1" s="160">
        <v>4059.0</v>
      </c>
      <c r="BZC1" s="160">
        <v>4061.0</v>
      </c>
      <c r="BZD1" s="160">
        <v>4063.0</v>
      </c>
      <c r="BZE1" s="160">
        <v>4065.0</v>
      </c>
      <c r="BZF1" s="160">
        <v>4067.0</v>
      </c>
      <c r="BZG1" s="160">
        <v>4069.0</v>
      </c>
      <c r="BZH1" s="160">
        <v>4071.0</v>
      </c>
      <c r="BZI1" s="160">
        <v>4073.0</v>
      </c>
      <c r="BZJ1" s="160">
        <v>4075.0</v>
      </c>
      <c r="BZK1" s="160">
        <v>4077.0</v>
      </c>
      <c r="BZL1" s="160">
        <v>4079.0</v>
      </c>
      <c r="BZM1" s="160">
        <v>4081.0</v>
      </c>
      <c r="BZN1" s="160">
        <v>4083.0</v>
      </c>
      <c r="BZO1" s="160">
        <v>4085.0</v>
      </c>
      <c r="BZP1" s="160">
        <v>4087.0</v>
      </c>
      <c r="BZQ1" s="160">
        <v>4089.0</v>
      </c>
      <c r="BZR1" s="160">
        <v>4091.0</v>
      </c>
      <c r="BZS1" s="160">
        <v>4093.0</v>
      </c>
      <c r="BZT1" s="160">
        <v>4095.0</v>
      </c>
      <c r="BZU1" s="160">
        <v>4097.0</v>
      </c>
      <c r="BZV1" s="160">
        <v>4099.0</v>
      </c>
      <c r="BZW1" s="160">
        <v>4101.0</v>
      </c>
      <c r="BZX1" s="160">
        <v>4103.0</v>
      </c>
      <c r="BZY1" s="160">
        <v>4105.0</v>
      </c>
      <c r="BZZ1" s="160">
        <v>4107.0</v>
      </c>
      <c r="CAA1" s="160">
        <v>4109.0</v>
      </c>
      <c r="CAB1" s="160">
        <v>4111.0</v>
      </c>
      <c r="CAC1" s="160">
        <v>4113.0</v>
      </c>
      <c r="CAD1" s="160">
        <v>4115.0</v>
      </c>
      <c r="CAE1" s="160">
        <v>4117.0</v>
      </c>
      <c r="CAF1" s="160">
        <v>4119.0</v>
      </c>
      <c r="CAG1" s="160">
        <v>4121.0</v>
      </c>
      <c r="CAH1" s="160">
        <v>4123.0</v>
      </c>
      <c r="CAI1" s="160">
        <v>4125.0</v>
      </c>
      <c r="CAJ1" s="160">
        <v>4127.0</v>
      </c>
      <c r="CAK1" s="160">
        <v>4129.0</v>
      </c>
      <c r="CAL1" s="160">
        <v>4131.0</v>
      </c>
      <c r="CAM1" s="160">
        <v>4133.0</v>
      </c>
      <c r="CAN1" s="160">
        <v>4135.0</v>
      </c>
      <c r="CAO1" s="160">
        <v>4137.0</v>
      </c>
      <c r="CAP1" s="160">
        <v>4139.0</v>
      </c>
      <c r="CAQ1" s="160">
        <v>4141.0</v>
      </c>
      <c r="CAR1" s="160">
        <v>4143.0</v>
      </c>
      <c r="CAS1" s="160">
        <v>4145.0</v>
      </c>
      <c r="CAT1" s="160">
        <v>4147.0</v>
      </c>
      <c r="CAU1" s="160">
        <v>4149.0</v>
      </c>
      <c r="CAV1" s="160">
        <v>4151.0</v>
      </c>
      <c r="CAW1" s="160">
        <v>4153.0</v>
      </c>
      <c r="CAX1" s="160">
        <v>4155.0</v>
      </c>
      <c r="CAY1" s="160">
        <v>4157.0</v>
      </c>
      <c r="CAZ1" s="160">
        <v>4159.0</v>
      </c>
      <c r="CBA1" s="160">
        <v>4161.0</v>
      </c>
      <c r="CBB1" s="160">
        <v>4163.0</v>
      </c>
      <c r="CBC1" s="160">
        <v>4165.0</v>
      </c>
      <c r="CBD1" s="160">
        <v>4167.0</v>
      </c>
      <c r="CBE1" s="160">
        <v>4169.0</v>
      </c>
      <c r="CBF1" s="160">
        <v>4171.0</v>
      </c>
      <c r="CBG1" s="160">
        <v>4173.0</v>
      </c>
      <c r="CBH1" s="160">
        <v>4175.0</v>
      </c>
      <c r="CBI1" s="160">
        <v>4177.0</v>
      </c>
      <c r="CBJ1" s="160">
        <v>4179.0</v>
      </c>
      <c r="CBK1" s="160">
        <v>4181.0</v>
      </c>
      <c r="CBL1" s="160">
        <v>4183.0</v>
      </c>
      <c r="CBM1" s="160">
        <v>4185.0</v>
      </c>
      <c r="CBN1" s="160">
        <v>4187.0</v>
      </c>
      <c r="CBO1" s="160">
        <v>4189.0</v>
      </c>
      <c r="CBP1" s="160">
        <v>4191.0</v>
      </c>
      <c r="CBQ1" s="160">
        <v>4193.0</v>
      </c>
      <c r="CBR1" s="160">
        <v>4195.0</v>
      </c>
      <c r="CBS1" s="160">
        <v>4197.0</v>
      </c>
      <c r="CBT1" s="160">
        <v>4199.0</v>
      </c>
      <c r="CBU1" s="160">
        <v>4201.0</v>
      </c>
      <c r="CBV1" s="160">
        <v>4203.0</v>
      </c>
      <c r="CBW1" s="160">
        <v>4205.0</v>
      </c>
      <c r="CBX1" s="160">
        <v>4207.0</v>
      </c>
      <c r="CBY1" s="160">
        <v>4209.0</v>
      </c>
      <c r="CBZ1" s="160">
        <v>4211.0</v>
      </c>
      <c r="CCA1" s="160">
        <v>4213.0</v>
      </c>
      <c r="CCB1" s="160">
        <v>4215.0</v>
      </c>
      <c r="CCC1" s="160">
        <v>4217.0</v>
      </c>
      <c r="CCD1" s="160">
        <v>4219.0</v>
      </c>
      <c r="CCE1" s="160">
        <v>4221.0</v>
      </c>
      <c r="CCF1" s="160">
        <v>4223.0</v>
      </c>
      <c r="CCG1" s="160">
        <v>4225.0</v>
      </c>
      <c r="CCH1" s="160">
        <v>4227.0</v>
      </c>
      <c r="CCI1" s="160">
        <v>4229.0</v>
      </c>
      <c r="CCJ1" s="160">
        <v>4231.0</v>
      </c>
    </row>
    <row r="2">
      <c r="A2" s="160">
        <v>2.0</v>
      </c>
      <c r="B2" s="160">
        <v>4.0</v>
      </c>
      <c r="C2" s="160">
        <v>6.0</v>
      </c>
      <c r="D2" s="160">
        <v>8.0</v>
      </c>
      <c r="E2" s="160">
        <v>10.0</v>
      </c>
      <c r="F2" s="160">
        <v>12.0</v>
      </c>
      <c r="G2" s="160">
        <v>14.0</v>
      </c>
      <c r="H2" s="160">
        <v>16.0</v>
      </c>
      <c r="I2" s="160">
        <v>18.0</v>
      </c>
      <c r="J2" s="160">
        <v>20.0</v>
      </c>
      <c r="K2" s="160">
        <v>22.0</v>
      </c>
      <c r="L2" s="160">
        <v>24.0</v>
      </c>
      <c r="M2" s="160">
        <v>26.0</v>
      </c>
      <c r="N2" s="160">
        <v>28.0</v>
      </c>
      <c r="O2" s="160">
        <v>30.0</v>
      </c>
      <c r="P2" s="160">
        <v>32.0</v>
      </c>
      <c r="Q2" s="160">
        <v>34.0</v>
      </c>
      <c r="R2" s="160">
        <v>36.0</v>
      </c>
      <c r="S2" s="160">
        <v>38.0</v>
      </c>
      <c r="T2" s="160">
        <v>40.0</v>
      </c>
      <c r="U2" s="160">
        <v>42.0</v>
      </c>
      <c r="V2" s="160">
        <v>44.0</v>
      </c>
      <c r="W2" s="160">
        <v>46.0</v>
      </c>
      <c r="X2" s="160">
        <v>48.0</v>
      </c>
      <c r="Y2" s="160">
        <v>50.0</v>
      </c>
      <c r="Z2" s="160">
        <v>52.0</v>
      </c>
      <c r="AA2" s="160">
        <v>54.0</v>
      </c>
      <c r="AB2" s="160">
        <v>56.0</v>
      </c>
      <c r="AC2" s="160">
        <v>58.0</v>
      </c>
      <c r="AD2" s="160">
        <v>60.0</v>
      </c>
      <c r="AE2" s="160">
        <v>62.0</v>
      </c>
      <c r="AF2" s="160">
        <v>64.0</v>
      </c>
      <c r="AG2" s="160">
        <v>66.0</v>
      </c>
      <c r="AH2" s="160">
        <v>68.0</v>
      </c>
      <c r="AI2" s="160">
        <v>70.0</v>
      </c>
      <c r="AJ2" s="160">
        <v>72.0</v>
      </c>
      <c r="AK2" s="160">
        <v>74.0</v>
      </c>
      <c r="AL2" s="160">
        <v>76.0</v>
      </c>
      <c r="AM2" s="160">
        <v>78.0</v>
      </c>
      <c r="AN2" s="160">
        <v>80.0</v>
      </c>
      <c r="AO2" s="160">
        <v>82.0</v>
      </c>
      <c r="AP2" s="160">
        <v>84.0</v>
      </c>
      <c r="AQ2" s="160">
        <v>86.0</v>
      </c>
      <c r="AR2" s="160">
        <v>88.0</v>
      </c>
      <c r="AS2" s="160">
        <v>90.0</v>
      </c>
      <c r="AT2" s="160">
        <v>92.0</v>
      </c>
      <c r="AU2" s="160">
        <v>94.0</v>
      </c>
      <c r="AV2" s="160">
        <v>96.0</v>
      </c>
      <c r="AW2" s="160">
        <v>98.0</v>
      </c>
      <c r="AX2" s="160">
        <v>100.0</v>
      </c>
      <c r="AY2" s="160">
        <v>102.0</v>
      </c>
      <c r="AZ2" s="160">
        <v>104.0</v>
      </c>
      <c r="BA2" s="160">
        <v>106.0</v>
      </c>
      <c r="BB2" s="160">
        <v>108.0</v>
      </c>
      <c r="BC2" s="160">
        <v>110.0</v>
      </c>
      <c r="BD2" s="160">
        <v>112.0</v>
      </c>
      <c r="BE2" s="160">
        <v>114.0</v>
      </c>
      <c r="BF2" s="160">
        <v>116.0</v>
      </c>
      <c r="BG2" s="160">
        <v>118.0</v>
      </c>
      <c r="BH2" s="160">
        <v>120.0</v>
      </c>
      <c r="BI2" s="160">
        <v>122.0</v>
      </c>
      <c r="BJ2" s="160">
        <v>124.0</v>
      </c>
      <c r="BK2" s="160">
        <v>126.0</v>
      </c>
      <c r="BL2" s="160">
        <v>128.0</v>
      </c>
      <c r="BM2" s="160">
        <v>130.0</v>
      </c>
      <c r="BN2" s="160">
        <v>132.0</v>
      </c>
      <c r="BO2" s="160">
        <v>134.0</v>
      </c>
      <c r="BP2" s="160">
        <v>136.0</v>
      </c>
      <c r="BQ2" s="160">
        <v>138.0</v>
      </c>
      <c r="BR2" s="160">
        <v>140.0</v>
      </c>
      <c r="BS2" s="160">
        <v>142.0</v>
      </c>
      <c r="BT2" s="160">
        <v>144.0</v>
      </c>
      <c r="BU2" s="160">
        <v>146.0</v>
      </c>
      <c r="BV2" s="160">
        <v>148.0</v>
      </c>
      <c r="BW2" s="160">
        <v>150.0</v>
      </c>
      <c r="BX2" s="160">
        <v>152.0</v>
      </c>
      <c r="BY2" s="160">
        <v>154.0</v>
      </c>
      <c r="BZ2" s="160">
        <v>156.0</v>
      </c>
      <c r="CA2" s="160">
        <v>158.0</v>
      </c>
      <c r="CB2" s="160">
        <v>160.0</v>
      </c>
      <c r="CC2" s="160">
        <v>162.0</v>
      </c>
      <c r="CD2" s="160">
        <v>164.0</v>
      </c>
      <c r="CE2" s="160">
        <v>166.0</v>
      </c>
      <c r="CF2" s="160">
        <v>168.0</v>
      </c>
      <c r="CG2" s="160">
        <v>170.0</v>
      </c>
      <c r="CH2" s="160">
        <v>172.0</v>
      </c>
      <c r="CI2" s="160">
        <v>174.0</v>
      </c>
      <c r="CJ2" s="160">
        <v>176.0</v>
      </c>
      <c r="CK2" s="160">
        <v>178.0</v>
      </c>
      <c r="CL2" s="160">
        <v>180.0</v>
      </c>
      <c r="CM2" s="160">
        <v>182.0</v>
      </c>
      <c r="CN2" s="160">
        <v>184.0</v>
      </c>
      <c r="CO2" s="160">
        <v>186.0</v>
      </c>
      <c r="CP2" s="160">
        <v>188.0</v>
      </c>
      <c r="CQ2" s="160">
        <v>190.0</v>
      </c>
      <c r="CR2" s="160">
        <v>192.0</v>
      </c>
      <c r="CS2" s="160">
        <v>194.0</v>
      </c>
      <c r="CT2" s="160">
        <v>196.0</v>
      </c>
      <c r="CU2" s="160">
        <v>198.0</v>
      </c>
      <c r="CV2" s="160">
        <v>200.0</v>
      </c>
      <c r="CW2" s="160">
        <v>202.0</v>
      </c>
      <c r="CX2" s="160">
        <v>204.0</v>
      </c>
      <c r="CY2" s="160">
        <v>206.0</v>
      </c>
      <c r="CZ2" s="160">
        <v>208.0</v>
      </c>
      <c r="DA2" s="160">
        <v>210.0</v>
      </c>
      <c r="DB2" s="160">
        <v>212.0</v>
      </c>
      <c r="DC2" s="160">
        <v>214.0</v>
      </c>
      <c r="DD2" s="160">
        <v>216.0</v>
      </c>
      <c r="DE2" s="160">
        <v>218.0</v>
      </c>
      <c r="DF2" s="160">
        <v>220.0</v>
      </c>
      <c r="DG2" s="160">
        <v>222.0</v>
      </c>
      <c r="DH2" s="160">
        <v>224.0</v>
      </c>
      <c r="DI2" s="160">
        <v>226.0</v>
      </c>
      <c r="DJ2" s="160">
        <v>228.0</v>
      </c>
      <c r="DK2" s="160">
        <v>230.0</v>
      </c>
      <c r="DL2" s="160">
        <v>232.0</v>
      </c>
      <c r="DM2" s="160">
        <v>234.0</v>
      </c>
      <c r="DN2" s="160">
        <v>236.0</v>
      </c>
      <c r="DO2" s="160">
        <v>238.0</v>
      </c>
      <c r="DP2" s="160">
        <v>240.0</v>
      </c>
      <c r="DQ2" s="160">
        <v>242.0</v>
      </c>
      <c r="DR2" s="160">
        <v>244.0</v>
      </c>
      <c r="DS2" s="160">
        <v>246.0</v>
      </c>
      <c r="DT2" s="160">
        <v>248.0</v>
      </c>
      <c r="DU2" s="160">
        <v>250.0</v>
      </c>
      <c r="DV2" s="160">
        <v>252.0</v>
      </c>
      <c r="DW2" s="160">
        <v>254.0</v>
      </c>
      <c r="DX2" s="160">
        <v>256.0</v>
      </c>
      <c r="DY2" s="160">
        <v>258.0</v>
      </c>
      <c r="DZ2" s="160">
        <v>260.0</v>
      </c>
      <c r="EA2" s="160">
        <v>262.0</v>
      </c>
      <c r="EB2" s="160">
        <v>264.0</v>
      </c>
      <c r="EC2" s="160">
        <v>266.0</v>
      </c>
      <c r="ED2" s="160">
        <v>268.0</v>
      </c>
      <c r="EE2" s="160">
        <v>270.0</v>
      </c>
      <c r="EF2" s="160">
        <v>272.0</v>
      </c>
      <c r="EG2" s="160">
        <v>274.0</v>
      </c>
      <c r="EH2" s="160">
        <v>276.0</v>
      </c>
      <c r="EI2" s="160">
        <v>278.0</v>
      </c>
      <c r="EJ2" s="160">
        <v>280.0</v>
      </c>
      <c r="EK2" s="160">
        <v>282.0</v>
      </c>
      <c r="EL2" s="160">
        <v>284.0</v>
      </c>
      <c r="EM2" s="160">
        <v>286.0</v>
      </c>
      <c r="EN2" s="160">
        <v>288.0</v>
      </c>
      <c r="EO2" s="160">
        <v>290.0</v>
      </c>
      <c r="EP2" s="160">
        <v>292.0</v>
      </c>
      <c r="EQ2" s="160">
        <v>294.0</v>
      </c>
      <c r="ER2" s="160">
        <v>296.0</v>
      </c>
      <c r="ES2" s="160">
        <v>298.0</v>
      </c>
      <c r="ET2" s="160">
        <v>300.0</v>
      </c>
      <c r="EU2" s="160">
        <v>302.0</v>
      </c>
      <c r="EV2" s="160">
        <v>304.0</v>
      </c>
      <c r="EW2" s="160">
        <v>306.0</v>
      </c>
      <c r="EX2" s="160">
        <v>308.0</v>
      </c>
      <c r="EY2" s="160">
        <v>310.0</v>
      </c>
      <c r="EZ2" s="160">
        <v>312.0</v>
      </c>
      <c r="FA2" s="160">
        <v>314.0</v>
      </c>
      <c r="FB2" s="160">
        <v>316.0</v>
      </c>
      <c r="FC2" s="160">
        <v>318.0</v>
      </c>
      <c r="FD2" s="160">
        <v>320.0</v>
      </c>
      <c r="FE2" s="160">
        <v>322.0</v>
      </c>
      <c r="FF2" s="160">
        <v>324.0</v>
      </c>
      <c r="FG2" s="160">
        <v>326.0</v>
      </c>
      <c r="FH2" s="160">
        <v>328.0</v>
      </c>
      <c r="FI2" s="160">
        <v>330.0</v>
      </c>
      <c r="FJ2" s="160">
        <v>332.0</v>
      </c>
      <c r="FK2" s="160">
        <v>334.0</v>
      </c>
      <c r="FL2" s="160">
        <v>336.0</v>
      </c>
      <c r="FM2" s="160">
        <v>338.0</v>
      </c>
      <c r="FN2" s="160">
        <v>340.0</v>
      </c>
      <c r="FO2" s="160">
        <v>342.0</v>
      </c>
      <c r="FP2" s="160">
        <v>344.0</v>
      </c>
      <c r="FQ2" s="160">
        <v>346.0</v>
      </c>
      <c r="FR2" s="160">
        <v>348.0</v>
      </c>
      <c r="FS2" s="160">
        <v>350.0</v>
      </c>
      <c r="FT2" s="160">
        <v>352.0</v>
      </c>
      <c r="FU2" s="160">
        <v>354.0</v>
      </c>
      <c r="FV2" s="160">
        <v>356.0</v>
      </c>
      <c r="FW2" s="160">
        <v>358.0</v>
      </c>
      <c r="FX2" s="160">
        <v>360.0</v>
      </c>
      <c r="FY2" s="160">
        <v>362.0</v>
      </c>
      <c r="FZ2" s="160">
        <v>364.0</v>
      </c>
      <c r="GA2" s="160">
        <v>366.0</v>
      </c>
      <c r="GB2" s="160">
        <v>368.0</v>
      </c>
      <c r="GC2" s="160">
        <v>370.0</v>
      </c>
      <c r="GD2" s="160">
        <v>372.0</v>
      </c>
      <c r="GE2" s="160">
        <v>374.0</v>
      </c>
      <c r="GF2" s="160">
        <v>376.0</v>
      </c>
      <c r="GG2" s="160">
        <v>378.0</v>
      </c>
      <c r="GH2" s="160">
        <v>380.0</v>
      </c>
      <c r="GI2" s="160">
        <v>382.0</v>
      </c>
      <c r="GJ2" s="160">
        <v>384.0</v>
      </c>
      <c r="GK2" s="160">
        <v>386.0</v>
      </c>
      <c r="GL2" s="160">
        <v>388.0</v>
      </c>
      <c r="GM2" s="160">
        <v>390.0</v>
      </c>
      <c r="GN2" s="160">
        <v>392.0</v>
      </c>
      <c r="GO2" s="160">
        <v>394.0</v>
      </c>
      <c r="GP2" s="160">
        <v>396.0</v>
      </c>
      <c r="GQ2" s="160">
        <v>398.0</v>
      </c>
      <c r="GR2" s="160">
        <v>400.0</v>
      </c>
      <c r="GS2" s="160">
        <v>402.0</v>
      </c>
      <c r="GT2" s="160">
        <v>404.0</v>
      </c>
      <c r="GU2" s="160">
        <v>406.0</v>
      </c>
      <c r="GV2" s="160">
        <v>408.0</v>
      </c>
      <c r="GW2" s="160">
        <v>410.0</v>
      </c>
      <c r="GX2" s="160">
        <v>412.0</v>
      </c>
      <c r="GY2" s="160">
        <v>414.0</v>
      </c>
      <c r="GZ2" s="160">
        <v>416.0</v>
      </c>
      <c r="HA2" s="160">
        <v>418.0</v>
      </c>
      <c r="HB2" s="160">
        <v>420.0</v>
      </c>
      <c r="HC2" s="160">
        <v>422.0</v>
      </c>
      <c r="HD2" s="160">
        <v>424.0</v>
      </c>
      <c r="HE2" s="160">
        <v>426.0</v>
      </c>
      <c r="HF2" s="160">
        <v>428.0</v>
      </c>
      <c r="HG2" s="160">
        <v>430.0</v>
      </c>
      <c r="HH2" s="160">
        <v>432.0</v>
      </c>
      <c r="HI2" s="160">
        <v>434.0</v>
      </c>
      <c r="HJ2" s="160">
        <v>436.0</v>
      </c>
      <c r="HK2" s="160">
        <v>438.0</v>
      </c>
      <c r="HL2" s="160">
        <v>440.0</v>
      </c>
      <c r="HM2" s="160">
        <v>442.0</v>
      </c>
      <c r="HN2" s="160">
        <v>444.0</v>
      </c>
      <c r="HO2" s="160">
        <v>446.0</v>
      </c>
      <c r="HP2" s="160">
        <v>448.0</v>
      </c>
      <c r="HQ2" s="160">
        <v>450.0</v>
      </c>
      <c r="HR2" s="160">
        <v>452.0</v>
      </c>
      <c r="HS2" s="160">
        <v>454.0</v>
      </c>
      <c r="HT2" s="160">
        <v>456.0</v>
      </c>
      <c r="HU2" s="160">
        <v>458.0</v>
      </c>
      <c r="HV2" s="160">
        <v>460.0</v>
      </c>
      <c r="HW2" s="160">
        <v>462.0</v>
      </c>
      <c r="HX2" s="160">
        <v>464.0</v>
      </c>
      <c r="HY2" s="160">
        <v>466.0</v>
      </c>
      <c r="HZ2" s="160">
        <v>468.0</v>
      </c>
      <c r="IA2" s="160">
        <v>470.0</v>
      </c>
      <c r="IB2" s="160">
        <v>472.0</v>
      </c>
      <c r="IC2" s="160">
        <v>474.0</v>
      </c>
      <c r="ID2" s="160">
        <v>476.0</v>
      </c>
      <c r="IE2" s="160">
        <v>478.0</v>
      </c>
      <c r="IF2" s="160">
        <v>480.0</v>
      </c>
      <c r="IG2" s="160">
        <v>482.0</v>
      </c>
      <c r="IH2" s="160">
        <v>484.0</v>
      </c>
      <c r="II2" s="160">
        <v>486.0</v>
      </c>
      <c r="IJ2" s="160">
        <v>488.0</v>
      </c>
      <c r="IK2" s="160">
        <v>490.0</v>
      </c>
      <c r="IL2" s="160">
        <v>492.0</v>
      </c>
      <c r="IM2" s="160">
        <v>494.0</v>
      </c>
      <c r="IN2" s="160">
        <v>496.0</v>
      </c>
      <c r="IO2" s="160">
        <v>498.0</v>
      </c>
      <c r="IP2" s="160">
        <v>500.0</v>
      </c>
      <c r="IQ2" s="160">
        <v>502.0</v>
      </c>
      <c r="IR2" s="160">
        <v>504.0</v>
      </c>
      <c r="IS2" s="160">
        <v>506.0</v>
      </c>
      <c r="IT2" s="160">
        <v>508.0</v>
      </c>
      <c r="IU2" s="160">
        <v>510.0</v>
      </c>
      <c r="IV2" s="160">
        <v>512.0</v>
      </c>
      <c r="IW2" s="160">
        <v>514.0</v>
      </c>
      <c r="IX2" s="160">
        <v>516.0</v>
      </c>
      <c r="IY2" s="160">
        <v>518.0</v>
      </c>
      <c r="IZ2" s="160">
        <v>520.0</v>
      </c>
      <c r="JA2" s="160">
        <v>522.0</v>
      </c>
      <c r="JB2" s="160">
        <v>524.0</v>
      </c>
      <c r="JC2" s="160">
        <v>526.0</v>
      </c>
      <c r="JD2" s="160">
        <v>528.0</v>
      </c>
      <c r="JE2" s="160">
        <v>530.0</v>
      </c>
      <c r="JF2" s="160">
        <v>532.0</v>
      </c>
      <c r="JG2" s="160">
        <v>534.0</v>
      </c>
      <c r="JH2" s="160">
        <v>536.0</v>
      </c>
      <c r="JI2" s="160">
        <v>538.0</v>
      </c>
      <c r="JJ2" s="160">
        <v>540.0</v>
      </c>
      <c r="JK2" s="160">
        <v>542.0</v>
      </c>
      <c r="JL2" s="160">
        <v>544.0</v>
      </c>
      <c r="JM2" s="160">
        <v>546.0</v>
      </c>
      <c r="JN2" s="160">
        <v>548.0</v>
      </c>
      <c r="JO2" s="160">
        <v>550.0</v>
      </c>
      <c r="JP2" s="160">
        <v>552.0</v>
      </c>
      <c r="JQ2" s="160">
        <v>554.0</v>
      </c>
      <c r="JR2" s="160">
        <v>556.0</v>
      </c>
      <c r="JS2" s="160">
        <v>558.0</v>
      </c>
      <c r="JT2" s="160">
        <v>560.0</v>
      </c>
      <c r="JU2" s="160">
        <v>562.0</v>
      </c>
      <c r="JV2" s="160">
        <v>564.0</v>
      </c>
      <c r="JW2" s="160">
        <v>566.0</v>
      </c>
      <c r="JX2" s="160">
        <v>568.0</v>
      </c>
      <c r="JY2" s="160">
        <v>570.0</v>
      </c>
      <c r="JZ2" s="160">
        <v>572.0</v>
      </c>
      <c r="KA2" s="160">
        <v>574.0</v>
      </c>
      <c r="KB2" s="160">
        <v>576.0</v>
      </c>
      <c r="KC2" s="160">
        <v>578.0</v>
      </c>
      <c r="KD2" s="160">
        <v>580.0</v>
      </c>
      <c r="KE2" s="160">
        <v>582.0</v>
      </c>
      <c r="KF2" s="160">
        <v>584.0</v>
      </c>
      <c r="KG2" s="160">
        <v>586.0</v>
      </c>
      <c r="KH2" s="160">
        <v>588.0</v>
      </c>
      <c r="KI2" s="160">
        <v>590.0</v>
      </c>
      <c r="KJ2" s="160">
        <v>592.0</v>
      </c>
      <c r="KK2" s="160">
        <v>594.0</v>
      </c>
      <c r="KL2" s="160">
        <v>596.0</v>
      </c>
      <c r="KM2" s="160">
        <v>598.0</v>
      </c>
      <c r="KN2" s="160">
        <v>600.0</v>
      </c>
      <c r="KO2" s="160">
        <v>602.0</v>
      </c>
      <c r="KP2" s="160">
        <v>604.0</v>
      </c>
      <c r="KQ2" s="160">
        <v>606.0</v>
      </c>
      <c r="KR2" s="160">
        <v>608.0</v>
      </c>
      <c r="KS2" s="160">
        <v>610.0</v>
      </c>
      <c r="KT2" s="160">
        <v>612.0</v>
      </c>
      <c r="KU2" s="160">
        <v>614.0</v>
      </c>
      <c r="KV2" s="160">
        <v>616.0</v>
      </c>
      <c r="KW2" s="160">
        <v>618.0</v>
      </c>
      <c r="KX2" s="160">
        <v>620.0</v>
      </c>
      <c r="KY2" s="160">
        <v>622.0</v>
      </c>
      <c r="KZ2" s="160">
        <v>624.0</v>
      </c>
      <c r="LA2" s="160">
        <v>626.0</v>
      </c>
      <c r="LB2" s="160">
        <v>628.0</v>
      </c>
      <c r="LC2" s="160">
        <v>630.0</v>
      </c>
      <c r="LD2" s="160">
        <v>632.0</v>
      </c>
      <c r="LE2" s="160">
        <v>634.0</v>
      </c>
      <c r="LF2" s="160">
        <v>636.0</v>
      </c>
      <c r="LG2" s="160">
        <v>638.0</v>
      </c>
      <c r="LH2" s="160">
        <v>640.0</v>
      </c>
      <c r="LI2" s="160">
        <v>642.0</v>
      </c>
      <c r="LJ2" s="160">
        <v>644.0</v>
      </c>
      <c r="LK2" s="160">
        <v>646.0</v>
      </c>
      <c r="LL2" s="160">
        <v>648.0</v>
      </c>
      <c r="LM2" s="160">
        <v>650.0</v>
      </c>
      <c r="LN2" s="160">
        <v>652.0</v>
      </c>
      <c r="LO2" s="160">
        <v>654.0</v>
      </c>
      <c r="LP2" s="160">
        <v>656.0</v>
      </c>
      <c r="LQ2" s="160">
        <v>658.0</v>
      </c>
      <c r="LR2" s="160">
        <v>660.0</v>
      </c>
      <c r="LS2" s="160">
        <v>662.0</v>
      </c>
      <c r="LT2" s="160">
        <v>664.0</v>
      </c>
      <c r="LU2" s="160">
        <v>666.0</v>
      </c>
      <c r="LV2" s="160">
        <v>668.0</v>
      </c>
      <c r="LW2" s="160">
        <v>670.0</v>
      </c>
      <c r="LX2" s="160">
        <v>672.0</v>
      </c>
      <c r="LY2" s="160">
        <v>674.0</v>
      </c>
      <c r="LZ2" s="160">
        <v>676.0</v>
      </c>
      <c r="MA2" s="160">
        <v>678.0</v>
      </c>
      <c r="MB2" s="160">
        <v>680.0</v>
      </c>
      <c r="MC2" s="160">
        <v>682.0</v>
      </c>
      <c r="MD2" s="160">
        <v>684.0</v>
      </c>
      <c r="ME2" s="160">
        <v>686.0</v>
      </c>
      <c r="MF2" s="160">
        <v>688.0</v>
      </c>
      <c r="MG2" s="160">
        <v>690.0</v>
      </c>
      <c r="MH2" s="160">
        <v>692.0</v>
      </c>
      <c r="MI2" s="160">
        <v>694.0</v>
      </c>
      <c r="MJ2" s="160">
        <v>696.0</v>
      </c>
      <c r="MK2" s="160">
        <v>698.0</v>
      </c>
      <c r="ML2" s="160">
        <v>700.0</v>
      </c>
      <c r="MM2" s="160">
        <v>702.0</v>
      </c>
      <c r="MN2" s="160">
        <v>704.0</v>
      </c>
      <c r="MO2" s="160">
        <v>706.0</v>
      </c>
      <c r="MP2" s="160">
        <v>708.0</v>
      </c>
      <c r="MQ2" s="160">
        <v>710.0</v>
      </c>
      <c r="MR2" s="160">
        <v>712.0</v>
      </c>
      <c r="MS2" s="160">
        <v>714.0</v>
      </c>
      <c r="MT2" s="160">
        <v>716.0</v>
      </c>
      <c r="MU2" s="160">
        <v>718.0</v>
      </c>
      <c r="MV2" s="160">
        <v>720.0</v>
      </c>
      <c r="MW2" s="160">
        <v>722.0</v>
      </c>
      <c r="MX2" s="160">
        <v>724.0</v>
      </c>
      <c r="MY2" s="160">
        <v>726.0</v>
      </c>
      <c r="MZ2" s="160">
        <v>728.0</v>
      </c>
      <c r="NA2" s="160">
        <v>730.0</v>
      </c>
      <c r="NB2" s="160">
        <v>732.0</v>
      </c>
      <c r="NC2" s="160">
        <v>734.0</v>
      </c>
      <c r="ND2" s="160">
        <v>736.0</v>
      </c>
      <c r="NE2" s="160">
        <v>738.0</v>
      </c>
      <c r="NF2" s="160">
        <v>740.0</v>
      </c>
      <c r="NG2" s="160">
        <v>742.0</v>
      </c>
      <c r="NH2" s="160">
        <v>744.0</v>
      </c>
      <c r="NI2" s="160">
        <v>746.0</v>
      </c>
      <c r="NJ2" s="160">
        <v>748.0</v>
      </c>
      <c r="NK2" s="160">
        <v>750.0</v>
      </c>
      <c r="NL2" s="160">
        <v>752.0</v>
      </c>
      <c r="NM2" s="160">
        <v>754.0</v>
      </c>
      <c r="NN2" s="160">
        <v>756.0</v>
      </c>
      <c r="NO2" s="160">
        <v>758.0</v>
      </c>
      <c r="NP2" s="160">
        <v>760.0</v>
      </c>
      <c r="NQ2" s="160">
        <v>762.0</v>
      </c>
      <c r="NR2" s="160">
        <v>764.0</v>
      </c>
      <c r="NS2" s="160">
        <v>766.0</v>
      </c>
      <c r="NT2" s="160">
        <v>768.0</v>
      </c>
      <c r="NU2" s="160">
        <v>770.0</v>
      </c>
      <c r="NV2" s="160">
        <v>772.0</v>
      </c>
      <c r="NW2" s="160">
        <v>774.0</v>
      </c>
      <c r="NX2" s="160">
        <v>776.0</v>
      </c>
      <c r="NY2" s="160">
        <v>778.0</v>
      </c>
      <c r="NZ2" s="160">
        <v>780.0</v>
      </c>
      <c r="OA2" s="160">
        <v>782.0</v>
      </c>
      <c r="OB2" s="160">
        <v>784.0</v>
      </c>
      <c r="OC2" s="160">
        <v>786.0</v>
      </c>
      <c r="OD2" s="160">
        <v>788.0</v>
      </c>
      <c r="OE2" s="160">
        <v>790.0</v>
      </c>
      <c r="OF2" s="160">
        <v>792.0</v>
      </c>
      <c r="OG2" s="160">
        <v>794.0</v>
      </c>
      <c r="OH2" s="160">
        <v>796.0</v>
      </c>
      <c r="OI2" s="160">
        <v>798.0</v>
      </c>
      <c r="OJ2" s="160">
        <v>800.0</v>
      </c>
      <c r="OK2" s="160">
        <v>802.0</v>
      </c>
      <c r="OL2" s="160">
        <v>804.0</v>
      </c>
      <c r="OM2" s="160">
        <v>806.0</v>
      </c>
      <c r="ON2" s="160">
        <v>808.0</v>
      </c>
      <c r="OO2" s="160">
        <v>810.0</v>
      </c>
      <c r="OP2" s="160">
        <v>812.0</v>
      </c>
      <c r="OQ2" s="160">
        <v>814.0</v>
      </c>
      <c r="OR2" s="160">
        <v>816.0</v>
      </c>
      <c r="OS2" s="160">
        <v>818.0</v>
      </c>
      <c r="OT2" s="160">
        <v>820.0</v>
      </c>
      <c r="OU2" s="160">
        <v>822.0</v>
      </c>
      <c r="OV2" s="160">
        <v>824.0</v>
      </c>
      <c r="OW2" s="160">
        <v>826.0</v>
      </c>
      <c r="OX2" s="160">
        <v>828.0</v>
      </c>
      <c r="OY2" s="160">
        <v>830.0</v>
      </c>
      <c r="OZ2" s="160">
        <v>832.0</v>
      </c>
      <c r="PA2" s="160">
        <v>834.0</v>
      </c>
      <c r="PB2" s="160">
        <v>836.0</v>
      </c>
      <c r="PC2" s="160">
        <v>838.0</v>
      </c>
      <c r="PD2" s="160">
        <v>840.0</v>
      </c>
      <c r="PE2" s="160">
        <v>842.0</v>
      </c>
      <c r="PF2" s="160">
        <v>844.0</v>
      </c>
      <c r="PG2" s="160">
        <v>846.0</v>
      </c>
      <c r="PH2" s="160">
        <v>848.0</v>
      </c>
      <c r="PI2" s="160">
        <v>850.0</v>
      </c>
      <c r="PJ2" s="160">
        <v>852.0</v>
      </c>
      <c r="PK2" s="160">
        <v>854.0</v>
      </c>
      <c r="PL2" s="160">
        <v>856.0</v>
      </c>
      <c r="PM2" s="160">
        <v>858.0</v>
      </c>
      <c r="PN2" s="160">
        <v>860.0</v>
      </c>
      <c r="PO2" s="160">
        <v>862.0</v>
      </c>
      <c r="PP2" s="160">
        <v>864.0</v>
      </c>
      <c r="PQ2" s="160">
        <v>866.0</v>
      </c>
      <c r="PR2" s="160">
        <v>868.0</v>
      </c>
      <c r="PS2" s="160">
        <v>870.0</v>
      </c>
      <c r="PT2" s="160">
        <v>872.0</v>
      </c>
      <c r="PU2" s="160">
        <v>874.0</v>
      </c>
      <c r="PV2" s="160">
        <v>876.0</v>
      </c>
      <c r="PW2" s="160">
        <v>878.0</v>
      </c>
      <c r="PX2" s="160">
        <v>880.0</v>
      </c>
      <c r="PY2" s="160">
        <v>882.0</v>
      </c>
      <c r="PZ2" s="160">
        <v>884.0</v>
      </c>
      <c r="QA2" s="160">
        <v>886.0</v>
      </c>
      <c r="QB2" s="160">
        <v>888.0</v>
      </c>
      <c r="QC2" s="160">
        <v>890.0</v>
      </c>
      <c r="QD2" s="160">
        <v>892.0</v>
      </c>
      <c r="QE2" s="160">
        <v>894.0</v>
      </c>
      <c r="QF2" s="160">
        <v>896.0</v>
      </c>
      <c r="QG2" s="160">
        <v>898.0</v>
      </c>
      <c r="QH2" s="160">
        <v>900.0</v>
      </c>
      <c r="QI2" s="160">
        <v>902.0</v>
      </c>
      <c r="QJ2" s="160">
        <v>904.0</v>
      </c>
      <c r="QK2" s="160">
        <v>906.0</v>
      </c>
      <c r="QL2" s="160">
        <v>908.0</v>
      </c>
      <c r="QM2" s="160">
        <v>910.0</v>
      </c>
      <c r="QN2" s="160">
        <v>912.0</v>
      </c>
      <c r="QO2" s="160">
        <v>914.0</v>
      </c>
      <c r="QP2" s="160">
        <v>916.0</v>
      </c>
      <c r="QQ2" s="160">
        <v>918.0</v>
      </c>
      <c r="QR2" s="160">
        <v>920.0</v>
      </c>
      <c r="QS2" s="160">
        <v>922.0</v>
      </c>
      <c r="QT2" s="160">
        <v>924.0</v>
      </c>
      <c r="QU2" s="160">
        <v>926.0</v>
      </c>
      <c r="QV2" s="160">
        <v>928.0</v>
      </c>
      <c r="QW2" s="160">
        <v>930.0</v>
      </c>
      <c r="QX2" s="160">
        <v>932.0</v>
      </c>
      <c r="QY2" s="160">
        <v>934.0</v>
      </c>
      <c r="QZ2" s="160">
        <v>936.0</v>
      </c>
      <c r="RA2" s="160">
        <v>938.0</v>
      </c>
      <c r="RB2" s="160">
        <v>940.0</v>
      </c>
      <c r="RC2" s="160">
        <v>942.0</v>
      </c>
      <c r="RD2" s="160">
        <v>944.0</v>
      </c>
      <c r="RE2" s="160">
        <v>946.0</v>
      </c>
      <c r="RF2" s="160">
        <v>948.0</v>
      </c>
      <c r="RG2" s="160">
        <v>950.0</v>
      </c>
      <c r="RH2" s="160">
        <v>952.0</v>
      </c>
      <c r="RI2" s="160">
        <v>954.0</v>
      </c>
      <c r="RJ2" s="160">
        <v>956.0</v>
      </c>
      <c r="RK2" s="160">
        <v>958.0</v>
      </c>
      <c r="RL2" s="160">
        <v>960.0</v>
      </c>
      <c r="RM2" s="160">
        <v>962.0</v>
      </c>
      <c r="RN2" s="160">
        <v>964.0</v>
      </c>
      <c r="RO2" s="160">
        <v>966.0</v>
      </c>
      <c r="RP2" s="160">
        <v>968.0</v>
      </c>
      <c r="RQ2" s="160">
        <v>970.0</v>
      </c>
      <c r="RR2" s="160">
        <v>972.0</v>
      </c>
      <c r="RS2" s="160">
        <v>974.0</v>
      </c>
      <c r="RT2" s="160">
        <v>976.0</v>
      </c>
      <c r="RU2" s="160">
        <v>978.0</v>
      </c>
      <c r="RV2" s="160">
        <v>980.0</v>
      </c>
      <c r="RW2" s="160">
        <v>982.0</v>
      </c>
      <c r="RX2" s="160">
        <v>984.0</v>
      </c>
      <c r="RY2" s="160">
        <v>986.0</v>
      </c>
      <c r="RZ2" s="160">
        <v>988.0</v>
      </c>
      <c r="SA2" s="160">
        <v>990.0</v>
      </c>
      <c r="SB2" s="160">
        <v>992.0</v>
      </c>
      <c r="SC2" s="160">
        <v>994.0</v>
      </c>
      <c r="SD2" s="160">
        <v>996.0</v>
      </c>
      <c r="SE2" s="160">
        <v>998.0</v>
      </c>
      <c r="SF2" s="160">
        <v>1000.0</v>
      </c>
      <c r="SG2" s="160">
        <v>1002.0</v>
      </c>
      <c r="SH2" s="160">
        <v>1004.0</v>
      </c>
      <c r="SI2" s="160">
        <v>1006.0</v>
      </c>
      <c r="SJ2" s="160">
        <v>1008.0</v>
      </c>
      <c r="SK2" s="160">
        <v>1010.0</v>
      </c>
      <c r="SL2" s="160">
        <v>1012.0</v>
      </c>
      <c r="SM2" s="160">
        <v>1014.0</v>
      </c>
      <c r="SN2" s="160">
        <v>1016.0</v>
      </c>
      <c r="SO2" s="160">
        <v>1018.0</v>
      </c>
      <c r="SP2" s="160">
        <v>1020.0</v>
      </c>
      <c r="SQ2" s="160">
        <v>1022.0</v>
      </c>
      <c r="SR2" s="160">
        <v>1024.0</v>
      </c>
      <c r="SS2" s="160">
        <v>1026.0</v>
      </c>
      <c r="ST2" s="160">
        <v>1028.0</v>
      </c>
      <c r="SU2" s="160">
        <v>1030.0</v>
      </c>
      <c r="SV2" s="160">
        <v>1032.0</v>
      </c>
      <c r="SW2" s="160">
        <v>1034.0</v>
      </c>
      <c r="SX2" s="160">
        <v>1036.0</v>
      </c>
      <c r="SY2" s="160">
        <v>1038.0</v>
      </c>
      <c r="SZ2" s="160">
        <v>1040.0</v>
      </c>
      <c r="TA2" s="160">
        <v>1042.0</v>
      </c>
      <c r="TB2" s="160">
        <v>1044.0</v>
      </c>
      <c r="TC2" s="160">
        <v>1046.0</v>
      </c>
      <c r="TD2" s="160">
        <v>1048.0</v>
      </c>
      <c r="TE2" s="160">
        <v>1050.0</v>
      </c>
      <c r="TF2" s="160">
        <v>1052.0</v>
      </c>
      <c r="TG2" s="160">
        <v>1054.0</v>
      </c>
      <c r="TH2" s="160">
        <v>1056.0</v>
      </c>
      <c r="TI2" s="160">
        <v>1058.0</v>
      </c>
      <c r="TJ2" s="160">
        <v>1060.0</v>
      </c>
      <c r="TK2" s="160">
        <v>1062.0</v>
      </c>
      <c r="TL2" s="160">
        <v>1064.0</v>
      </c>
      <c r="TM2" s="160">
        <v>1066.0</v>
      </c>
      <c r="TN2" s="160">
        <v>1068.0</v>
      </c>
      <c r="TO2" s="160">
        <v>1070.0</v>
      </c>
      <c r="TP2" s="160">
        <v>1072.0</v>
      </c>
      <c r="TQ2" s="160">
        <v>1074.0</v>
      </c>
      <c r="TR2" s="160">
        <v>1076.0</v>
      </c>
      <c r="TS2" s="160">
        <v>1078.0</v>
      </c>
      <c r="TT2" s="160">
        <v>1080.0</v>
      </c>
      <c r="TU2" s="160">
        <v>1082.0</v>
      </c>
      <c r="TV2" s="160">
        <v>1084.0</v>
      </c>
      <c r="TW2" s="160">
        <v>1086.0</v>
      </c>
      <c r="TX2" s="160">
        <v>1088.0</v>
      </c>
      <c r="TY2" s="160">
        <v>1090.0</v>
      </c>
      <c r="TZ2" s="160">
        <v>1092.0</v>
      </c>
      <c r="UA2" s="160">
        <v>1094.0</v>
      </c>
      <c r="UB2" s="160">
        <v>1096.0</v>
      </c>
      <c r="UC2" s="160">
        <v>1098.0</v>
      </c>
      <c r="UD2" s="160">
        <v>1100.0</v>
      </c>
      <c r="UE2" s="160">
        <v>1102.0</v>
      </c>
      <c r="UF2" s="160">
        <v>1104.0</v>
      </c>
      <c r="UG2" s="160">
        <v>1106.0</v>
      </c>
      <c r="UH2" s="160">
        <v>1108.0</v>
      </c>
      <c r="UI2" s="160">
        <v>1110.0</v>
      </c>
      <c r="UJ2" s="160">
        <v>1112.0</v>
      </c>
      <c r="UK2" s="160">
        <v>1114.0</v>
      </c>
      <c r="UL2" s="160">
        <v>1116.0</v>
      </c>
      <c r="UM2" s="160">
        <v>1118.0</v>
      </c>
      <c r="UN2" s="160">
        <v>1120.0</v>
      </c>
      <c r="UO2" s="160">
        <v>1122.0</v>
      </c>
      <c r="UP2" s="160">
        <v>1124.0</v>
      </c>
      <c r="UQ2" s="160">
        <v>1126.0</v>
      </c>
      <c r="UR2" s="160">
        <v>1128.0</v>
      </c>
      <c r="US2" s="160">
        <v>1130.0</v>
      </c>
      <c r="UT2" s="160">
        <v>1132.0</v>
      </c>
      <c r="UU2" s="160">
        <v>1134.0</v>
      </c>
      <c r="UV2" s="160">
        <v>1136.0</v>
      </c>
      <c r="UW2" s="160">
        <v>1138.0</v>
      </c>
      <c r="UX2" s="160">
        <v>1140.0</v>
      </c>
      <c r="UY2" s="160">
        <v>1142.0</v>
      </c>
      <c r="UZ2" s="160">
        <v>1144.0</v>
      </c>
      <c r="VA2" s="160">
        <v>1146.0</v>
      </c>
      <c r="VB2" s="160">
        <v>1148.0</v>
      </c>
      <c r="VC2" s="160">
        <v>1150.0</v>
      </c>
      <c r="VD2" s="160">
        <v>1152.0</v>
      </c>
      <c r="VE2" s="160">
        <v>1154.0</v>
      </c>
      <c r="VF2" s="160">
        <v>1156.0</v>
      </c>
      <c r="VG2" s="160">
        <v>1158.0</v>
      </c>
      <c r="VH2" s="160">
        <v>1160.0</v>
      </c>
      <c r="VI2" s="160">
        <v>1162.0</v>
      </c>
      <c r="VJ2" s="160">
        <v>1164.0</v>
      </c>
      <c r="VK2" s="160">
        <v>1166.0</v>
      </c>
      <c r="VL2" s="160">
        <v>1168.0</v>
      </c>
      <c r="VM2" s="160">
        <v>1170.0</v>
      </c>
      <c r="VN2" s="160">
        <v>1172.0</v>
      </c>
      <c r="VO2" s="160">
        <v>1174.0</v>
      </c>
      <c r="VP2" s="160">
        <v>1176.0</v>
      </c>
      <c r="VQ2" s="160">
        <v>1178.0</v>
      </c>
      <c r="VR2" s="160">
        <v>1180.0</v>
      </c>
      <c r="VS2" s="160">
        <v>1182.0</v>
      </c>
      <c r="VT2" s="160">
        <v>1184.0</v>
      </c>
      <c r="VU2" s="160">
        <v>1186.0</v>
      </c>
      <c r="VV2" s="160">
        <v>1188.0</v>
      </c>
      <c r="VW2" s="160">
        <v>1190.0</v>
      </c>
      <c r="VX2" s="160">
        <v>1192.0</v>
      </c>
      <c r="VY2" s="160">
        <v>1194.0</v>
      </c>
      <c r="VZ2" s="160">
        <v>1196.0</v>
      </c>
      <c r="WA2" s="160">
        <v>1198.0</v>
      </c>
      <c r="WB2" s="160">
        <v>1200.0</v>
      </c>
      <c r="WC2" s="160">
        <v>1202.0</v>
      </c>
      <c r="WD2" s="160">
        <v>1204.0</v>
      </c>
      <c r="WE2" s="160">
        <v>1206.0</v>
      </c>
      <c r="WF2" s="160">
        <v>1208.0</v>
      </c>
      <c r="WG2" s="160">
        <v>1210.0</v>
      </c>
      <c r="WH2" s="160">
        <v>1212.0</v>
      </c>
      <c r="WI2" s="160">
        <v>1214.0</v>
      </c>
      <c r="WJ2" s="160">
        <v>1216.0</v>
      </c>
      <c r="WK2" s="160">
        <v>1218.0</v>
      </c>
      <c r="WL2" s="160">
        <v>1220.0</v>
      </c>
      <c r="WM2" s="160">
        <v>1222.0</v>
      </c>
      <c r="WN2" s="160">
        <v>1224.0</v>
      </c>
      <c r="WO2" s="160">
        <v>1226.0</v>
      </c>
      <c r="WP2" s="160">
        <v>1228.0</v>
      </c>
      <c r="WQ2" s="160">
        <v>1230.0</v>
      </c>
      <c r="WR2" s="160">
        <v>1232.0</v>
      </c>
      <c r="WS2" s="160">
        <v>1234.0</v>
      </c>
      <c r="WT2" s="160">
        <v>1236.0</v>
      </c>
      <c r="WU2" s="160">
        <v>1238.0</v>
      </c>
      <c r="WV2" s="160">
        <v>1240.0</v>
      </c>
      <c r="WW2" s="160">
        <v>1242.0</v>
      </c>
      <c r="WX2" s="160">
        <v>1244.0</v>
      </c>
      <c r="WY2" s="160">
        <v>1246.0</v>
      </c>
      <c r="WZ2" s="160">
        <v>1248.0</v>
      </c>
      <c r="XA2" s="160">
        <v>1250.0</v>
      </c>
      <c r="XB2" s="160">
        <v>1252.0</v>
      </c>
      <c r="XC2" s="160">
        <v>1254.0</v>
      </c>
      <c r="XD2" s="160">
        <v>1256.0</v>
      </c>
      <c r="XE2" s="160">
        <v>1258.0</v>
      </c>
      <c r="XF2" s="160">
        <v>1260.0</v>
      </c>
      <c r="XG2" s="160">
        <v>1262.0</v>
      </c>
      <c r="XH2" s="160">
        <v>1264.0</v>
      </c>
      <c r="XI2" s="160">
        <v>1266.0</v>
      </c>
      <c r="XJ2" s="160">
        <v>1268.0</v>
      </c>
      <c r="XK2" s="160">
        <v>1270.0</v>
      </c>
      <c r="XL2" s="160">
        <v>1272.0</v>
      </c>
      <c r="XM2" s="160">
        <v>1274.0</v>
      </c>
      <c r="XN2" s="160">
        <v>1276.0</v>
      </c>
      <c r="XO2" s="160">
        <v>1278.0</v>
      </c>
      <c r="XP2" s="160">
        <v>1280.0</v>
      </c>
      <c r="XQ2" s="160">
        <v>1282.0</v>
      </c>
      <c r="XR2" s="160">
        <v>1284.0</v>
      </c>
      <c r="XS2" s="160">
        <v>1286.0</v>
      </c>
      <c r="XT2" s="160">
        <v>1288.0</v>
      </c>
      <c r="XU2" s="160">
        <v>1290.0</v>
      </c>
      <c r="XV2" s="160">
        <v>1292.0</v>
      </c>
      <c r="XW2" s="160">
        <v>1294.0</v>
      </c>
      <c r="XX2" s="160">
        <v>1296.0</v>
      </c>
      <c r="XY2" s="160">
        <v>1298.0</v>
      </c>
      <c r="XZ2" s="160">
        <v>1300.0</v>
      </c>
      <c r="YA2" s="160">
        <v>1302.0</v>
      </c>
      <c r="YB2" s="160">
        <v>1304.0</v>
      </c>
      <c r="YC2" s="160">
        <v>1306.0</v>
      </c>
      <c r="YD2" s="160">
        <v>1308.0</v>
      </c>
      <c r="YE2" s="160">
        <v>1310.0</v>
      </c>
      <c r="YF2" s="160">
        <v>1312.0</v>
      </c>
      <c r="YG2" s="160">
        <v>1314.0</v>
      </c>
      <c r="YH2" s="160">
        <v>1316.0</v>
      </c>
      <c r="YI2" s="160">
        <v>1318.0</v>
      </c>
      <c r="YJ2" s="160">
        <v>1320.0</v>
      </c>
      <c r="YK2" s="160">
        <v>1322.0</v>
      </c>
      <c r="YL2" s="160">
        <v>1324.0</v>
      </c>
      <c r="YM2" s="160">
        <v>1326.0</v>
      </c>
      <c r="YN2" s="160">
        <v>1328.0</v>
      </c>
      <c r="YO2" s="160">
        <v>1330.0</v>
      </c>
      <c r="YP2" s="160">
        <v>1332.0</v>
      </c>
      <c r="YQ2" s="160">
        <v>1334.0</v>
      </c>
      <c r="YR2" s="160">
        <v>1336.0</v>
      </c>
      <c r="YS2" s="160">
        <v>1338.0</v>
      </c>
      <c r="YT2" s="160">
        <v>1340.0</v>
      </c>
      <c r="YU2" s="160">
        <v>1342.0</v>
      </c>
      <c r="YV2" s="160">
        <v>1344.0</v>
      </c>
      <c r="YW2" s="160">
        <v>1346.0</v>
      </c>
      <c r="YX2" s="160">
        <v>1348.0</v>
      </c>
      <c r="YY2" s="160">
        <v>1350.0</v>
      </c>
      <c r="YZ2" s="160">
        <v>1352.0</v>
      </c>
      <c r="ZA2" s="160">
        <v>1354.0</v>
      </c>
      <c r="ZB2" s="160">
        <v>1356.0</v>
      </c>
      <c r="ZC2" s="160">
        <v>1358.0</v>
      </c>
      <c r="ZD2" s="160">
        <v>1360.0</v>
      </c>
      <c r="ZE2" s="160">
        <v>1362.0</v>
      </c>
      <c r="ZF2" s="160">
        <v>1364.0</v>
      </c>
      <c r="ZG2" s="160">
        <v>1366.0</v>
      </c>
      <c r="ZH2" s="160">
        <v>1368.0</v>
      </c>
      <c r="ZI2" s="160">
        <v>1370.0</v>
      </c>
      <c r="ZJ2" s="160">
        <v>1372.0</v>
      </c>
      <c r="ZK2" s="160">
        <v>1374.0</v>
      </c>
      <c r="ZL2" s="160">
        <v>1376.0</v>
      </c>
      <c r="ZM2" s="160">
        <v>1378.0</v>
      </c>
      <c r="ZN2" s="160">
        <v>1380.0</v>
      </c>
      <c r="ZO2" s="160">
        <v>1382.0</v>
      </c>
      <c r="ZP2" s="160">
        <v>1384.0</v>
      </c>
      <c r="ZQ2" s="160">
        <v>1386.0</v>
      </c>
      <c r="ZR2" s="160">
        <v>1388.0</v>
      </c>
      <c r="ZS2" s="160">
        <v>1390.0</v>
      </c>
      <c r="ZT2" s="160">
        <v>1392.0</v>
      </c>
      <c r="ZU2" s="160">
        <v>1394.0</v>
      </c>
      <c r="ZV2" s="160">
        <v>1396.0</v>
      </c>
      <c r="ZW2" s="160">
        <v>1398.0</v>
      </c>
      <c r="ZX2" s="160">
        <v>1400.0</v>
      </c>
      <c r="ZY2" s="160">
        <v>1402.0</v>
      </c>
      <c r="ZZ2" s="160">
        <v>1404.0</v>
      </c>
      <c r="AAA2" s="160">
        <v>1406.0</v>
      </c>
      <c r="AAB2" s="160">
        <v>1408.0</v>
      </c>
      <c r="AAC2" s="160">
        <v>1410.0</v>
      </c>
      <c r="AAD2" s="160">
        <v>1412.0</v>
      </c>
      <c r="AAE2" s="160">
        <v>1414.0</v>
      </c>
      <c r="AAF2" s="160">
        <v>1416.0</v>
      </c>
      <c r="AAG2" s="160">
        <v>1418.0</v>
      </c>
      <c r="AAH2" s="160">
        <v>1420.0</v>
      </c>
      <c r="AAI2" s="160">
        <v>1422.0</v>
      </c>
      <c r="AAJ2" s="160">
        <v>1424.0</v>
      </c>
      <c r="AAK2" s="160">
        <v>1426.0</v>
      </c>
      <c r="AAL2" s="160">
        <v>1428.0</v>
      </c>
      <c r="AAM2" s="160">
        <v>1430.0</v>
      </c>
      <c r="AAN2" s="160">
        <v>1432.0</v>
      </c>
      <c r="AAO2" s="160">
        <v>1434.0</v>
      </c>
      <c r="AAP2" s="160">
        <v>1436.0</v>
      </c>
      <c r="AAQ2" s="160">
        <v>1438.0</v>
      </c>
      <c r="AAR2" s="160">
        <v>1440.0</v>
      </c>
      <c r="AAS2" s="160">
        <v>1442.0</v>
      </c>
      <c r="AAT2" s="160">
        <v>1444.0</v>
      </c>
      <c r="AAU2" s="160">
        <v>1446.0</v>
      </c>
      <c r="AAV2" s="160">
        <v>1448.0</v>
      </c>
      <c r="AAW2" s="160">
        <v>1450.0</v>
      </c>
      <c r="AAX2" s="160">
        <v>1452.0</v>
      </c>
      <c r="AAY2" s="160">
        <v>1454.0</v>
      </c>
      <c r="AAZ2" s="160">
        <v>1456.0</v>
      </c>
      <c r="ABA2" s="160">
        <v>1458.0</v>
      </c>
      <c r="ABB2" s="160">
        <v>1460.0</v>
      </c>
      <c r="ABC2" s="160">
        <v>1462.0</v>
      </c>
      <c r="ABD2" s="160">
        <v>1464.0</v>
      </c>
      <c r="ABE2" s="160">
        <v>1466.0</v>
      </c>
      <c r="ABF2" s="160">
        <v>1468.0</v>
      </c>
      <c r="ABG2" s="160">
        <v>1470.0</v>
      </c>
      <c r="ABH2" s="160">
        <v>1472.0</v>
      </c>
      <c r="ABI2" s="160">
        <v>1474.0</v>
      </c>
      <c r="ABJ2" s="160">
        <v>1476.0</v>
      </c>
      <c r="ABK2" s="160">
        <v>1478.0</v>
      </c>
      <c r="ABL2" s="160">
        <v>1480.0</v>
      </c>
      <c r="ABM2" s="160">
        <v>1482.0</v>
      </c>
      <c r="ABN2" s="160">
        <v>1484.0</v>
      </c>
      <c r="ABO2" s="160">
        <v>1486.0</v>
      </c>
      <c r="ABP2" s="160">
        <v>1488.0</v>
      </c>
      <c r="ABQ2" s="160">
        <v>1490.0</v>
      </c>
      <c r="ABR2" s="160">
        <v>1492.0</v>
      </c>
      <c r="ABS2" s="160">
        <v>1494.0</v>
      </c>
      <c r="ABT2" s="160">
        <v>1496.0</v>
      </c>
      <c r="ABU2" s="160">
        <v>1498.0</v>
      </c>
      <c r="ABV2" s="160">
        <v>1500.0</v>
      </c>
      <c r="ABW2" s="160">
        <v>1502.0</v>
      </c>
      <c r="ABX2" s="160">
        <v>1504.0</v>
      </c>
      <c r="ABY2" s="160">
        <v>1506.0</v>
      </c>
      <c r="ABZ2" s="160">
        <v>1508.0</v>
      </c>
      <c r="ACA2" s="160">
        <v>1510.0</v>
      </c>
      <c r="ACB2" s="160">
        <v>1512.0</v>
      </c>
      <c r="ACC2" s="160">
        <v>1514.0</v>
      </c>
      <c r="ACD2" s="160">
        <v>1516.0</v>
      </c>
      <c r="ACE2" s="160">
        <v>1518.0</v>
      </c>
      <c r="ACF2" s="160">
        <v>1520.0</v>
      </c>
      <c r="ACG2" s="160">
        <v>1522.0</v>
      </c>
      <c r="ACH2" s="160">
        <v>1524.0</v>
      </c>
      <c r="ACI2" s="160">
        <v>1526.0</v>
      </c>
      <c r="ACJ2" s="160">
        <v>1528.0</v>
      </c>
      <c r="ACK2" s="160">
        <v>1530.0</v>
      </c>
      <c r="ACL2" s="160">
        <v>1532.0</v>
      </c>
      <c r="ACM2" s="160">
        <v>1534.0</v>
      </c>
      <c r="ACN2" s="160">
        <v>1536.0</v>
      </c>
      <c r="ACO2" s="160">
        <v>1538.0</v>
      </c>
      <c r="ACP2" s="160">
        <v>1540.0</v>
      </c>
      <c r="ACQ2" s="160">
        <v>1542.0</v>
      </c>
      <c r="ACR2" s="160">
        <v>1544.0</v>
      </c>
      <c r="ACS2" s="160">
        <v>1546.0</v>
      </c>
      <c r="ACT2" s="160">
        <v>1548.0</v>
      </c>
      <c r="ACU2" s="160">
        <v>1550.0</v>
      </c>
      <c r="ACV2" s="160">
        <v>1552.0</v>
      </c>
      <c r="ACW2" s="160">
        <v>1554.0</v>
      </c>
      <c r="ACX2" s="160">
        <v>1556.0</v>
      </c>
      <c r="ACY2" s="160">
        <v>1558.0</v>
      </c>
      <c r="ACZ2" s="160">
        <v>1560.0</v>
      </c>
      <c r="ADA2" s="160">
        <v>1562.0</v>
      </c>
      <c r="ADB2" s="160">
        <v>1564.0</v>
      </c>
      <c r="ADC2" s="160">
        <v>1566.0</v>
      </c>
      <c r="ADD2" s="160">
        <v>1568.0</v>
      </c>
      <c r="ADE2" s="160">
        <v>1570.0</v>
      </c>
      <c r="ADF2" s="160">
        <v>1572.0</v>
      </c>
      <c r="ADG2" s="160">
        <v>1574.0</v>
      </c>
      <c r="ADH2" s="160">
        <v>1576.0</v>
      </c>
      <c r="ADI2" s="160">
        <v>1578.0</v>
      </c>
      <c r="ADJ2" s="160">
        <v>1580.0</v>
      </c>
      <c r="ADK2" s="160">
        <v>1582.0</v>
      </c>
      <c r="ADL2" s="160">
        <v>1584.0</v>
      </c>
      <c r="ADM2" s="160">
        <v>1586.0</v>
      </c>
      <c r="ADN2" s="160">
        <v>1588.0</v>
      </c>
      <c r="ADO2" s="160">
        <v>1590.0</v>
      </c>
      <c r="ADP2" s="160">
        <v>1592.0</v>
      </c>
      <c r="ADQ2" s="160">
        <v>1594.0</v>
      </c>
      <c r="ADR2" s="160">
        <v>1596.0</v>
      </c>
      <c r="ADS2" s="160">
        <v>1598.0</v>
      </c>
      <c r="ADT2" s="160">
        <v>1600.0</v>
      </c>
      <c r="ADU2" s="160">
        <v>1602.0</v>
      </c>
      <c r="ADV2" s="160">
        <v>1604.0</v>
      </c>
      <c r="ADW2" s="160">
        <v>1606.0</v>
      </c>
      <c r="ADX2" s="160">
        <v>1608.0</v>
      </c>
      <c r="ADY2" s="160">
        <v>1610.0</v>
      </c>
      <c r="ADZ2" s="160">
        <v>1612.0</v>
      </c>
      <c r="AEA2" s="160">
        <v>1614.0</v>
      </c>
      <c r="AEB2" s="160">
        <v>1616.0</v>
      </c>
      <c r="AEC2" s="160">
        <v>1618.0</v>
      </c>
      <c r="AED2" s="160">
        <v>1620.0</v>
      </c>
      <c r="AEE2" s="160">
        <v>1622.0</v>
      </c>
      <c r="AEF2" s="160">
        <v>1624.0</v>
      </c>
      <c r="AEG2" s="160">
        <v>1626.0</v>
      </c>
      <c r="AEH2" s="160">
        <v>1628.0</v>
      </c>
      <c r="AEI2" s="160">
        <v>1630.0</v>
      </c>
      <c r="AEJ2" s="160">
        <v>1632.0</v>
      </c>
      <c r="AEK2" s="160">
        <v>1634.0</v>
      </c>
      <c r="AEL2" s="160">
        <v>1636.0</v>
      </c>
      <c r="AEM2" s="160">
        <v>1638.0</v>
      </c>
      <c r="AEN2" s="160">
        <v>1640.0</v>
      </c>
      <c r="AEO2" s="160">
        <v>1642.0</v>
      </c>
      <c r="AEP2" s="160">
        <v>1644.0</v>
      </c>
      <c r="AEQ2" s="160">
        <v>1646.0</v>
      </c>
      <c r="AER2" s="160">
        <v>1648.0</v>
      </c>
      <c r="AES2" s="160">
        <v>1650.0</v>
      </c>
      <c r="AET2" s="160">
        <v>1652.0</v>
      </c>
      <c r="AEU2" s="160">
        <v>1654.0</v>
      </c>
      <c r="AEV2" s="160">
        <v>1656.0</v>
      </c>
      <c r="AEW2" s="160">
        <v>1658.0</v>
      </c>
      <c r="AEX2" s="160">
        <v>1660.0</v>
      </c>
      <c r="AEY2" s="160">
        <v>1662.0</v>
      </c>
      <c r="AEZ2" s="160">
        <v>1664.0</v>
      </c>
      <c r="AFA2" s="160">
        <v>1666.0</v>
      </c>
      <c r="AFB2" s="160">
        <v>1668.0</v>
      </c>
      <c r="AFC2" s="160">
        <v>1670.0</v>
      </c>
      <c r="AFD2" s="160">
        <v>1672.0</v>
      </c>
      <c r="AFE2" s="160">
        <v>1674.0</v>
      </c>
      <c r="AFF2" s="160">
        <v>1676.0</v>
      </c>
      <c r="AFG2" s="160">
        <v>1678.0</v>
      </c>
      <c r="AFH2" s="160">
        <v>1680.0</v>
      </c>
      <c r="AFI2" s="160">
        <v>1682.0</v>
      </c>
      <c r="AFJ2" s="160">
        <v>1684.0</v>
      </c>
      <c r="AFK2" s="160">
        <v>1686.0</v>
      </c>
      <c r="AFL2" s="160">
        <v>1688.0</v>
      </c>
      <c r="AFM2" s="160">
        <v>1690.0</v>
      </c>
      <c r="AFN2" s="160">
        <v>1692.0</v>
      </c>
      <c r="AFO2" s="160">
        <v>1694.0</v>
      </c>
      <c r="AFP2" s="160">
        <v>1696.0</v>
      </c>
      <c r="AFQ2" s="160">
        <v>1698.0</v>
      </c>
      <c r="AFR2" s="160">
        <v>1700.0</v>
      </c>
      <c r="AFS2" s="160">
        <v>1702.0</v>
      </c>
      <c r="AFT2" s="160">
        <v>1704.0</v>
      </c>
      <c r="AFU2" s="160">
        <v>1706.0</v>
      </c>
      <c r="AFV2" s="160">
        <v>1708.0</v>
      </c>
      <c r="AFW2" s="160">
        <v>1710.0</v>
      </c>
      <c r="AFX2" s="160">
        <v>1712.0</v>
      </c>
      <c r="AFY2" s="160">
        <v>1714.0</v>
      </c>
      <c r="AFZ2" s="160">
        <v>1716.0</v>
      </c>
      <c r="AGA2" s="160">
        <v>1718.0</v>
      </c>
      <c r="AGB2" s="160">
        <v>1720.0</v>
      </c>
      <c r="AGC2" s="160">
        <v>1722.0</v>
      </c>
      <c r="AGD2" s="160">
        <v>1724.0</v>
      </c>
      <c r="AGE2" s="160">
        <v>1726.0</v>
      </c>
      <c r="AGF2" s="160">
        <v>1728.0</v>
      </c>
      <c r="AGG2" s="160">
        <v>1730.0</v>
      </c>
      <c r="AGH2" s="160">
        <v>1732.0</v>
      </c>
      <c r="AGI2" s="160">
        <v>1734.0</v>
      </c>
      <c r="AGJ2" s="160">
        <v>1736.0</v>
      </c>
      <c r="AGK2" s="160">
        <v>1738.0</v>
      </c>
      <c r="AGL2" s="160">
        <v>1740.0</v>
      </c>
      <c r="AGM2" s="160">
        <v>1742.0</v>
      </c>
      <c r="AGN2" s="160">
        <v>1744.0</v>
      </c>
      <c r="AGO2" s="160">
        <v>1746.0</v>
      </c>
      <c r="AGP2" s="160">
        <v>1748.0</v>
      </c>
      <c r="AGQ2" s="160">
        <v>1750.0</v>
      </c>
      <c r="AGR2" s="160">
        <v>1752.0</v>
      </c>
      <c r="AGS2" s="160">
        <v>1754.0</v>
      </c>
      <c r="AGT2" s="160">
        <v>1756.0</v>
      </c>
      <c r="AGU2" s="160">
        <v>1758.0</v>
      </c>
      <c r="AGV2" s="160">
        <v>1760.0</v>
      </c>
      <c r="AGW2" s="160">
        <v>1762.0</v>
      </c>
      <c r="AGX2" s="160">
        <v>1764.0</v>
      </c>
      <c r="AGY2" s="160">
        <v>1766.0</v>
      </c>
      <c r="AGZ2" s="160">
        <v>1768.0</v>
      </c>
      <c r="AHA2" s="160">
        <v>1770.0</v>
      </c>
      <c r="AHB2" s="160">
        <v>1772.0</v>
      </c>
      <c r="AHC2" s="160">
        <v>1774.0</v>
      </c>
      <c r="AHD2" s="160">
        <v>1776.0</v>
      </c>
      <c r="AHE2" s="160">
        <v>1778.0</v>
      </c>
      <c r="AHF2" s="160">
        <v>1780.0</v>
      </c>
      <c r="AHG2" s="160">
        <v>1782.0</v>
      </c>
      <c r="AHH2" s="160">
        <v>1784.0</v>
      </c>
      <c r="AHI2" s="160">
        <v>1786.0</v>
      </c>
      <c r="AHJ2" s="160">
        <v>1788.0</v>
      </c>
      <c r="AHK2" s="160">
        <v>1790.0</v>
      </c>
      <c r="AHL2" s="160">
        <v>1792.0</v>
      </c>
      <c r="AHM2" s="160">
        <v>1794.0</v>
      </c>
      <c r="AHN2" s="160">
        <v>1796.0</v>
      </c>
      <c r="AHO2" s="160">
        <v>1798.0</v>
      </c>
      <c r="AHP2" s="160">
        <v>1800.0</v>
      </c>
      <c r="AHQ2" s="160">
        <v>1802.0</v>
      </c>
      <c r="AHR2" s="160">
        <v>1804.0</v>
      </c>
      <c r="AHS2" s="160">
        <v>1806.0</v>
      </c>
      <c r="AHT2" s="160">
        <v>1808.0</v>
      </c>
      <c r="AHU2" s="160">
        <v>1810.0</v>
      </c>
      <c r="AHV2" s="160">
        <v>1812.0</v>
      </c>
      <c r="AHW2" s="160">
        <v>1814.0</v>
      </c>
      <c r="AHX2" s="160">
        <v>1816.0</v>
      </c>
      <c r="AHY2" s="160">
        <v>1818.0</v>
      </c>
      <c r="AHZ2" s="160">
        <v>1820.0</v>
      </c>
      <c r="AIA2" s="160">
        <v>1822.0</v>
      </c>
      <c r="AIB2" s="160">
        <v>1824.0</v>
      </c>
      <c r="AIC2" s="160">
        <v>1826.0</v>
      </c>
      <c r="AID2" s="160">
        <v>1828.0</v>
      </c>
      <c r="AIE2" s="160">
        <v>1830.0</v>
      </c>
      <c r="AIF2" s="160">
        <v>1832.0</v>
      </c>
      <c r="AIG2" s="160">
        <v>1834.0</v>
      </c>
      <c r="AIH2" s="160">
        <v>1836.0</v>
      </c>
      <c r="AII2" s="160">
        <v>1838.0</v>
      </c>
      <c r="AIJ2" s="160">
        <v>1840.0</v>
      </c>
      <c r="AIK2" s="160">
        <v>1842.0</v>
      </c>
      <c r="AIL2" s="160">
        <v>1844.0</v>
      </c>
      <c r="AIM2" s="160">
        <v>1846.0</v>
      </c>
      <c r="AIN2" s="160">
        <v>1848.0</v>
      </c>
      <c r="AIO2" s="160">
        <v>1850.0</v>
      </c>
      <c r="AIP2" s="160">
        <v>1852.0</v>
      </c>
      <c r="AIQ2" s="160">
        <v>1854.0</v>
      </c>
      <c r="AIR2" s="160">
        <v>1856.0</v>
      </c>
      <c r="AIS2" s="160">
        <v>1858.0</v>
      </c>
      <c r="AIT2" s="160">
        <v>1860.0</v>
      </c>
      <c r="AIU2" s="160">
        <v>1862.0</v>
      </c>
      <c r="AIV2" s="160">
        <v>1864.0</v>
      </c>
      <c r="AIW2" s="160">
        <v>1866.0</v>
      </c>
      <c r="AIX2" s="160">
        <v>1868.0</v>
      </c>
      <c r="AIY2" s="160">
        <v>1870.0</v>
      </c>
      <c r="AIZ2" s="160">
        <v>1872.0</v>
      </c>
      <c r="AJA2" s="160">
        <v>1874.0</v>
      </c>
      <c r="AJB2" s="160">
        <v>1876.0</v>
      </c>
      <c r="AJC2" s="160">
        <v>1878.0</v>
      </c>
      <c r="AJD2" s="160">
        <v>1880.0</v>
      </c>
      <c r="AJE2" s="160">
        <v>1882.0</v>
      </c>
      <c r="AJF2" s="160">
        <v>1884.0</v>
      </c>
      <c r="AJG2" s="160">
        <v>1886.0</v>
      </c>
      <c r="AJH2" s="160">
        <v>1888.0</v>
      </c>
      <c r="AJI2" s="160">
        <v>1890.0</v>
      </c>
      <c r="AJJ2" s="160">
        <v>1892.0</v>
      </c>
      <c r="AJK2" s="160">
        <v>1894.0</v>
      </c>
      <c r="AJL2" s="160">
        <v>1896.0</v>
      </c>
      <c r="AJM2" s="160">
        <v>1898.0</v>
      </c>
      <c r="AJN2" s="160">
        <v>1900.0</v>
      </c>
      <c r="AJO2" s="160">
        <v>1902.0</v>
      </c>
      <c r="AJP2" s="160">
        <v>1904.0</v>
      </c>
      <c r="AJQ2" s="160">
        <v>1906.0</v>
      </c>
      <c r="AJR2" s="160">
        <v>1908.0</v>
      </c>
      <c r="AJS2" s="160">
        <v>1910.0</v>
      </c>
      <c r="AJT2" s="160">
        <v>1912.0</v>
      </c>
      <c r="AJU2" s="160">
        <v>1914.0</v>
      </c>
      <c r="AJV2" s="160">
        <v>1916.0</v>
      </c>
      <c r="AJW2" s="160">
        <v>1918.0</v>
      </c>
      <c r="AJX2" s="160">
        <v>1920.0</v>
      </c>
      <c r="AJY2" s="160">
        <v>1922.0</v>
      </c>
      <c r="AJZ2" s="160">
        <v>1924.0</v>
      </c>
      <c r="AKA2" s="160">
        <v>1926.0</v>
      </c>
      <c r="AKB2" s="160">
        <v>1928.0</v>
      </c>
      <c r="AKC2" s="160">
        <v>1930.0</v>
      </c>
      <c r="AKD2" s="160">
        <v>1932.0</v>
      </c>
      <c r="AKE2" s="160">
        <v>1934.0</v>
      </c>
      <c r="AKF2" s="160">
        <v>1936.0</v>
      </c>
      <c r="AKG2" s="160">
        <v>1938.0</v>
      </c>
      <c r="AKH2" s="160">
        <v>1940.0</v>
      </c>
      <c r="AKI2" s="160">
        <v>1942.0</v>
      </c>
      <c r="AKJ2" s="160">
        <v>1944.0</v>
      </c>
      <c r="AKK2" s="160">
        <v>1946.0</v>
      </c>
      <c r="AKL2" s="160">
        <v>1948.0</v>
      </c>
      <c r="AKM2" s="160">
        <v>1950.0</v>
      </c>
      <c r="AKN2" s="160">
        <v>1952.0</v>
      </c>
      <c r="AKO2" s="160">
        <v>1954.0</v>
      </c>
      <c r="AKP2" s="160">
        <v>1956.0</v>
      </c>
      <c r="AKQ2" s="160">
        <v>1958.0</v>
      </c>
      <c r="AKR2" s="160">
        <v>1960.0</v>
      </c>
      <c r="AKS2" s="160">
        <v>1962.0</v>
      </c>
      <c r="AKT2" s="160">
        <v>1964.0</v>
      </c>
      <c r="AKU2" s="160">
        <v>1966.0</v>
      </c>
      <c r="AKV2" s="160">
        <v>1968.0</v>
      </c>
      <c r="AKW2" s="160">
        <v>1970.0</v>
      </c>
      <c r="AKX2" s="160">
        <v>1972.0</v>
      </c>
      <c r="AKY2" s="160">
        <v>1974.0</v>
      </c>
      <c r="AKZ2" s="160">
        <v>1976.0</v>
      </c>
      <c r="ALA2" s="160">
        <v>1978.0</v>
      </c>
      <c r="ALB2" s="160">
        <v>1980.0</v>
      </c>
      <c r="ALC2" s="160">
        <v>1982.0</v>
      </c>
      <c r="ALD2" s="160">
        <v>1984.0</v>
      </c>
      <c r="ALE2" s="160">
        <v>1986.0</v>
      </c>
      <c r="ALF2" s="160">
        <v>1988.0</v>
      </c>
      <c r="ALG2" s="160">
        <v>1990.0</v>
      </c>
      <c r="ALH2" s="160">
        <v>1992.0</v>
      </c>
      <c r="ALI2" s="160">
        <v>1994.0</v>
      </c>
      <c r="ALJ2" s="160">
        <v>1996.0</v>
      </c>
      <c r="ALK2" s="160">
        <v>1998.0</v>
      </c>
      <c r="ALL2" s="160">
        <v>2000.0</v>
      </c>
      <c r="ALM2" s="160">
        <v>2002.0</v>
      </c>
      <c r="ALN2" s="160">
        <v>2004.0</v>
      </c>
      <c r="ALO2" s="160">
        <v>2006.0</v>
      </c>
      <c r="ALP2" s="160">
        <v>2008.0</v>
      </c>
      <c r="ALQ2" s="160">
        <v>2010.0</v>
      </c>
      <c r="ALR2" s="160">
        <v>2012.0</v>
      </c>
      <c r="ALS2" s="160">
        <v>2014.0</v>
      </c>
      <c r="ALT2" s="160">
        <v>2016.0</v>
      </c>
      <c r="ALU2" s="160">
        <v>2018.0</v>
      </c>
      <c r="ALV2" s="160">
        <v>2020.0</v>
      </c>
      <c r="ALW2" s="160">
        <v>2022.0</v>
      </c>
      <c r="ALX2" s="160">
        <v>2024.0</v>
      </c>
      <c r="ALY2" s="160">
        <v>2026.0</v>
      </c>
      <c r="ALZ2" s="160">
        <v>2028.0</v>
      </c>
      <c r="AMA2" s="160">
        <v>2030.0</v>
      </c>
      <c r="AMB2" s="160">
        <v>2032.0</v>
      </c>
      <c r="AMC2" s="160">
        <v>2034.0</v>
      </c>
      <c r="AMD2" s="160">
        <v>2036.0</v>
      </c>
      <c r="AME2" s="160">
        <v>2038.0</v>
      </c>
      <c r="AMF2" s="160">
        <v>2040.0</v>
      </c>
      <c r="AMG2" s="160">
        <v>2042.0</v>
      </c>
      <c r="AMH2" s="160">
        <v>2044.0</v>
      </c>
      <c r="AMI2" s="160">
        <v>2046.0</v>
      </c>
      <c r="AMJ2" s="160">
        <v>2048.0</v>
      </c>
      <c r="AMK2" s="160">
        <v>2050.0</v>
      </c>
      <c r="AML2" s="160">
        <v>2052.0</v>
      </c>
      <c r="AMM2" s="160">
        <v>2054.0</v>
      </c>
      <c r="AMN2" s="160">
        <v>2056.0</v>
      </c>
      <c r="AMO2" s="160">
        <v>2058.0</v>
      </c>
      <c r="AMP2" s="160">
        <v>2060.0</v>
      </c>
      <c r="AMQ2" s="160">
        <v>2062.0</v>
      </c>
      <c r="AMR2" s="160">
        <v>2064.0</v>
      </c>
      <c r="AMS2" s="160">
        <v>2066.0</v>
      </c>
      <c r="AMT2" s="160">
        <v>2068.0</v>
      </c>
      <c r="AMU2" s="160">
        <v>2070.0</v>
      </c>
      <c r="AMV2" s="160">
        <v>2072.0</v>
      </c>
      <c r="AMW2" s="160">
        <v>2074.0</v>
      </c>
      <c r="AMX2" s="160">
        <v>2076.0</v>
      </c>
      <c r="AMY2" s="160">
        <v>2078.0</v>
      </c>
      <c r="AMZ2" s="160">
        <v>2080.0</v>
      </c>
      <c r="ANA2" s="160">
        <v>2082.0</v>
      </c>
      <c r="ANB2" s="160">
        <v>2084.0</v>
      </c>
      <c r="ANC2" s="160">
        <v>2086.0</v>
      </c>
      <c r="AND2" s="160">
        <v>2088.0</v>
      </c>
      <c r="ANE2" s="160">
        <v>2090.0</v>
      </c>
      <c r="ANF2" s="160">
        <v>2092.0</v>
      </c>
      <c r="ANG2" s="160">
        <v>2094.0</v>
      </c>
      <c r="ANH2" s="160">
        <v>2096.0</v>
      </c>
      <c r="ANI2" s="160">
        <v>2098.0</v>
      </c>
      <c r="ANJ2" s="160">
        <v>2100.0</v>
      </c>
      <c r="ANK2" s="160">
        <v>2102.0</v>
      </c>
      <c r="ANL2" s="160">
        <v>2104.0</v>
      </c>
      <c r="ANM2" s="160">
        <v>2106.0</v>
      </c>
      <c r="ANN2" s="160">
        <v>2108.0</v>
      </c>
      <c r="ANO2" s="160">
        <v>2110.0</v>
      </c>
      <c r="ANP2" s="160">
        <v>2112.0</v>
      </c>
      <c r="ANQ2" s="160">
        <v>2114.0</v>
      </c>
      <c r="ANR2" s="160">
        <v>2116.0</v>
      </c>
      <c r="ANS2" s="160">
        <v>2118.0</v>
      </c>
      <c r="ANT2" s="160">
        <v>2120.0</v>
      </c>
      <c r="ANU2" s="160">
        <v>2122.0</v>
      </c>
      <c r="ANV2" s="160">
        <v>2124.0</v>
      </c>
      <c r="ANW2" s="160">
        <v>2126.0</v>
      </c>
      <c r="ANX2" s="160">
        <v>2128.0</v>
      </c>
      <c r="ANY2" s="160">
        <v>2130.0</v>
      </c>
      <c r="ANZ2" s="160">
        <v>2132.0</v>
      </c>
      <c r="AOA2" s="160">
        <v>2134.0</v>
      </c>
      <c r="AOB2" s="160">
        <v>2136.0</v>
      </c>
      <c r="AOC2" s="160">
        <v>2138.0</v>
      </c>
      <c r="AOD2" s="160">
        <v>2140.0</v>
      </c>
      <c r="AOE2" s="160">
        <v>2142.0</v>
      </c>
      <c r="AOF2" s="160">
        <v>2144.0</v>
      </c>
      <c r="AOG2" s="160">
        <v>2146.0</v>
      </c>
      <c r="AOH2" s="160">
        <v>2148.0</v>
      </c>
      <c r="AOI2" s="160">
        <v>2150.0</v>
      </c>
      <c r="AOJ2" s="160">
        <v>2152.0</v>
      </c>
      <c r="AOK2" s="160">
        <v>2154.0</v>
      </c>
      <c r="AOL2" s="160">
        <v>2156.0</v>
      </c>
      <c r="AOM2" s="160">
        <v>2158.0</v>
      </c>
      <c r="AON2" s="160">
        <v>2160.0</v>
      </c>
      <c r="AOO2" s="160">
        <v>2162.0</v>
      </c>
      <c r="AOP2" s="160">
        <v>2164.0</v>
      </c>
      <c r="AOQ2" s="160">
        <v>2166.0</v>
      </c>
      <c r="AOR2" s="160">
        <v>2168.0</v>
      </c>
      <c r="AOS2" s="160">
        <v>2170.0</v>
      </c>
      <c r="AOT2" s="160">
        <v>2172.0</v>
      </c>
      <c r="AOU2" s="160">
        <v>2174.0</v>
      </c>
      <c r="AOV2" s="160">
        <v>2176.0</v>
      </c>
      <c r="AOW2" s="160">
        <v>2178.0</v>
      </c>
      <c r="AOX2" s="160">
        <v>2180.0</v>
      </c>
      <c r="AOY2" s="160">
        <v>2182.0</v>
      </c>
      <c r="AOZ2" s="160">
        <v>2184.0</v>
      </c>
      <c r="APA2" s="160">
        <v>2186.0</v>
      </c>
      <c r="APB2" s="160">
        <v>2188.0</v>
      </c>
      <c r="APC2" s="160">
        <v>2190.0</v>
      </c>
      <c r="APD2" s="160">
        <v>2192.0</v>
      </c>
      <c r="APE2" s="160">
        <v>2194.0</v>
      </c>
      <c r="APF2" s="160">
        <v>2196.0</v>
      </c>
      <c r="APG2" s="160">
        <v>2198.0</v>
      </c>
      <c r="APH2" s="160">
        <v>2200.0</v>
      </c>
      <c r="API2" s="160">
        <v>2202.0</v>
      </c>
      <c r="APJ2" s="160">
        <v>2204.0</v>
      </c>
      <c r="APK2" s="160">
        <v>2206.0</v>
      </c>
      <c r="APL2" s="160">
        <v>2208.0</v>
      </c>
      <c r="APM2" s="160">
        <v>2210.0</v>
      </c>
      <c r="APN2" s="160">
        <v>2212.0</v>
      </c>
      <c r="APO2" s="160">
        <v>2214.0</v>
      </c>
      <c r="APP2" s="160">
        <v>2216.0</v>
      </c>
      <c r="APQ2" s="160">
        <v>2218.0</v>
      </c>
      <c r="APR2" s="160">
        <v>2220.0</v>
      </c>
      <c r="APS2" s="160">
        <v>2222.0</v>
      </c>
      <c r="APT2" s="160">
        <v>2224.0</v>
      </c>
      <c r="APU2" s="160">
        <v>2226.0</v>
      </c>
      <c r="APV2" s="160">
        <v>2228.0</v>
      </c>
      <c r="APW2" s="160">
        <v>2230.0</v>
      </c>
      <c r="APX2" s="160">
        <v>2232.0</v>
      </c>
      <c r="APY2" s="160">
        <v>2234.0</v>
      </c>
      <c r="APZ2" s="160">
        <v>2236.0</v>
      </c>
      <c r="AQA2" s="160">
        <v>2238.0</v>
      </c>
      <c r="AQB2" s="160">
        <v>2240.0</v>
      </c>
      <c r="AQC2" s="160">
        <v>2242.0</v>
      </c>
      <c r="AQD2" s="160">
        <v>2244.0</v>
      </c>
      <c r="AQE2" s="160">
        <v>2246.0</v>
      </c>
      <c r="AQF2" s="160">
        <v>2248.0</v>
      </c>
      <c r="AQG2" s="160">
        <v>2250.0</v>
      </c>
      <c r="AQH2" s="160">
        <v>2252.0</v>
      </c>
      <c r="AQI2" s="160">
        <v>2254.0</v>
      </c>
      <c r="AQJ2" s="160">
        <v>2256.0</v>
      </c>
      <c r="AQK2" s="160">
        <v>2258.0</v>
      </c>
      <c r="AQL2" s="160">
        <v>2260.0</v>
      </c>
      <c r="AQM2" s="160">
        <v>2262.0</v>
      </c>
      <c r="AQN2" s="160">
        <v>2264.0</v>
      </c>
      <c r="AQO2" s="160">
        <v>2266.0</v>
      </c>
      <c r="AQP2" s="160">
        <v>2268.0</v>
      </c>
      <c r="AQQ2" s="160">
        <v>2270.0</v>
      </c>
      <c r="AQR2" s="160">
        <v>2272.0</v>
      </c>
      <c r="AQS2" s="160">
        <v>2274.0</v>
      </c>
      <c r="AQT2" s="160">
        <v>2276.0</v>
      </c>
      <c r="AQU2" s="160">
        <v>2278.0</v>
      </c>
      <c r="AQV2" s="160">
        <v>2280.0</v>
      </c>
      <c r="AQW2" s="160">
        <v>2282.0</v>
      </c>
      <c r="AQX2" s="160">
        <v>2284.0</v>
      </c>
      <c r="AQY2" s="160">
        <v>2286.0</v>
      </c>
      <c r="AQZ2" s="160">
        <v>2288.0</v>
      </c>
      <c r="ARA2" s="160">
        <v>2290.0</v>
      </c>
      <c r="ARB2" s="160">
        <v>2292.0</v>
      </c>
      <c r="ARC2" s="160">
        <v>2294.0</v>
      </c>
      <c r="ARD2" s="160">
        <v>2296.0</v>
      </c>
      <c r="ARE2" s="160">
        <v>2298.0</v>
      </c>
      <c r="ARF2" s="160">
        <v>2300.0</v>
      </c>
      <c r="ARG2" s="160">
        <v>2302.0</v>
      </c>
      <c r="ARH2" s="160">
        <v>2304.0</v>
      </c>
      <c r="ARI2" s="160">
        <v>2306.0</v>
      </c>
      <c r="ARJ2" s="160">
        <v>2308.0</v>
      </c>
      <c r="ARK2" s="160">
        <v>2310.0</v>
      </c>
      <c r="ARL2" s="160">
        <v>2312.0</v>
      </c>
      <c r="ARM2" s="160">
        <v>2314.0</v>
      </c>
      <c r="ARN2" s="160">
        <v>2316.0</v>
      </c>
      <c r="ARO2" s="160">
        <v>2318.0</v>
      </c>
      <c r="ARP2" s="160">
        <v>2320.0</v>
      </c>
      <c r="ARQ2" s="160">
        <v>2322.0</v>
      </c>
      <c r="ARR2" s="160">
        <v>2324.0</v>
      </c>
      <c r="ARS2" s="160">
        <v>2326.0</v>
      </c>
      <c r="ART2" s="160">
        <v>2328.0</v>
      </c>
      <c r="ARU2" s="160">
        <v>2330.0</v>
      </c>
      <c r="ARV2" s="160">
        <v>2332.0</v>
      </c>
      <c r="ARW2" s="160">
        <v>2334.0</v>
      </c>
      <c r="ARX2" s="160">
        <v>2336.0</v>
      </c>
      <c r="ARY2" s="160">
        <v>2338.0</v>
      </c>
      <c r="ARZ2" s="160">
        <v>2340.0</v>
      </c>
      <c r="ASA2" s="160">
        <v>2342.0</v>
      </c>
      <c r="ASB2" s="160">
        <v>2344.0</v>
      </c>
      <c r="ASC2" s="160">
        <v>2346.0</v>
      </c>
      <c r="ASD2" s="160">
        <v>2348.0</v>
      </c>
      <c r="ASE2" s="160">
        <v>2350.0</v>
      </c>
      <c r="ASF2" s="160">
        <v>2352.0</v>
      </c>
      <c r="ASG2" s="160">
        <v>2354.0</v>
      </c>
      <c r="ASH2" s="160">
        <v>2356.0</v>
      </c>
      <c r="ASI2" s="160">
        <v>2358.0</v>
      </c>
      <c r="ASJ2" s="160">
        <v>2360.0</v>
      </c>
      <c r="ASK2" s="160">
        <v>2362.0</v>
      </c>
      <c r="ASL2" s="160">
        <v>2364.0</v>
      </c>
      <c r="ASM2" s="160">
        <v>2366.0</v>
      </c>
      <c r="ASN2" s="160">
        <v>2368.0</v>
      </c>
      <c r="ASO2" s="160">
        <v>2370.0</v>
      </c>
      <c r="ASP2" s="160">
        <v>2372.0</v>
      </c>
      <c r="ASQ2" s="160">
        <v>2374.0</v>
      </c>
      <c r="ASR2" s="160">
        <v>2376.0</v>
      </c>
      <c r="ASS2" s="160">
        <v>2378.0</v>
      </c>
      <c r="AST2" s="160">
        <v>2380.0</v>
      </c>
      <c r="ASU2" s="160">
        <v>2382.0</v>
      </c>
      <c r="ASV2" s="160">
        <v>2384.0</v>
      </c>
      <c r="ASW2" s="160">
        <v>2386.0</v>
      </c>
      <c r="ASX2" s="160">
        <v>2388.0</v>
      </c>
      <c r="ASY2" s="160">
        <v>2390.0</v>
      </c>
      <c r="ASZ2" s="160">
        <v>2392.0</v>
      </c>
      <c r="ATA2" s="160">
        <v>2394.0</v>
      </c>
      <c r="ATB2" s="160">
        <v>2396.0</v>
      </c>
      <c r="ATC2" s="160">
        <v>2398.0</v>
      </c>
      <c r="ATD2" s="160">
        <v>2400.0</v>
      </c>
      <c r="ATE2" s="160">
        <v>2402.0</v>
      </c>
      <c r="ATF2" s="160">
        <v>2404.0</v>
      </c>
      <c r="ATG2" s="160">
        <v>2406.0</v>
      </c>
      <c r="ATH2" s="160">
        <v>2408.0</v>
      </c>
      <c r="ATI2" s="160">
        <v>2410.0</v>
      </c>
      <c r="ATJ2" s="160">
        <v>2412.0</v>
      </c>
      <c r="ATK2" s="160">
        <v>2414.0</v>
      </c>
      <c r="ATL2" s="160">
        <v>2416.0</v>
      </c>
      <c r="ATM2" s="160">
        <v>2418.0</v>
      </c>
      <c r="ATN2" s="160">
        <v>2420.0</v>
      </c>
      <c r="ATO2" s="160">
        <v>2422.0</v>
      </c>
      <c r="ATP2" s="160">
        <v>2424.0</v>
      </c>
      <c r="ATQ2" s="160">
        <v>2426.0</v>
      </c>
      <c r="ATR2" s="160">
        <v>2428.0</v>
      </c>
      <c r="ATS2" s="160">
        <v>2430.0</v>
      </c>
      <c r="ATT2" s="160">
        <v>2432.0</v>
      </c>
      <c r="ATU2" s="160">
        <v>2434.0</v>
      </c>
      <c r="ATV2" s="160">
        <v>2436.0</v>
      </c>
      <c r="ATW2" s="160">
        <v>2438.0</v>
      </c>
      <c r="ATX2" s="160">
        <v>2440.0</v>
      </c>
      <c r="ATY2" s="160">
        <v>2442.0</v>
      </c>
      <c r="ATZ2" s="160">
        <v>2444.0</v>
      </c>
      <c r="AUA2" s="160">
        <v>2446.0</v>
      </c>
      <c r="AUB2" s="160">
        <v>2448.0</v>
      </c>
      <c r="AUC2" s="160">
        <v>2450.0</v>
      </c>
      <c r="AUD2" s="160">
        <v>2452.0</v>
      </c>
      <c r="AUE2" s="160">
        <v>2454.0</v>
      </c>
      <c r="AUF2" s="160">
        <v>2456.0</v>
      </c>
      <c r="AUG2" s="160">
        <v>2458.0</v>
      </c>
      <c r="AUH2" s="160">
        <v>2460.0</v>
      </c>
      <c r="AUI2" s="160">
        <v>2462.0</v>
      </c>
      <c r="AUJ2" s="160">
        <v>2464.0</v>
      </c>
      <c r="AUK2" s="160">
        <v>2466.0</v>
      </c>
      <c r="AUL2" s="160">
        <v>2468.0</v>
      </c>
      <c r="AUM2" s="160">
        <v>2470.0</v>
      </c>
      <c r="AUN2" s="160">
        <v>2472.0</v>
      </c>
      <c r="AUO2" s="160">
        <v>2474.0</v>
      </c>
      <c r="AUP2" s="160">
        <v>2476.0</v>
      </c>
      <c r="AUQ2" s="160">
        <v>2478.0</v>
      </c>
      <c r="AUR2" s="160">
        <v>2480.0</v>
      </c>
      <c r="AUS2" s="160">
        <v>2482.0</v>
      </c>
      <c r="AUT2" s="160">
        <v>2484.0</v>
      </c>
      <c r="AUU2" s="160">
        <v>2486.0</v>
      </c>
      <c r="AUV2" s="160">
        <v>2488.0</v>
      </c>
      <c r="AUW2" s="160">
        <v>2490.0</v>
      </c>
      <c r="AUX2" s="160">
        <v>2492.0</v>
      </c>
      <c r="AUY2" s="160">
        <v>2494.0</v>
      </c>
      <c r="AUZ2" s="160">
        <v>2496.0</v>
      </c>
      <c r="AVA2" s="160">
        <v>2498.0</v>
      </c>
      <c r="AVB2" s="160">
        <v>2500.0</v>
      </c>
      <c r="AVC2" s="160">
        <v>2502.0</v>
      </c>
      <c r="AVD2" s="160">
        <v>2504.0</v>
      </c>
      <c r="AVE2" s="160">
        <v>2506.0</v>
      </c>
      <c r="AVF2" s="160">
        <v>2508.0</v>
      </c>
      <c r="AVG2" s="160">
        <v>2510.0</v>
      </c>
      <c r="AVH2" s="160">
        <v>2512.0</v>
      </c>
      <c r="AVI2" s="160">
        <v>2514.0</v>
      </c>
      <c r="AVJ2" s="160">
        <v>2516.0</v>
      </c>
      <c r="AVK2" s="160">
        <v>2518.0</v>
      </c>
      <c r="AVL2" s="160">
        <v>2520.0</v>
      </c>
      <c r="AVM2" s="160">
        <v>2522.0</v>
      </c>
      <c r="AVN2" s="160">
        <v>2524.0</v>
      </c>
      <c r="AVO2" s="160">
        <v>2526.0</v>
      </c>
      <c r="AVP2" s="160">
        <v>2528.0</v>
      </c>
      <c r="AVQ2" s="160">
        <v>2530.0</v>
      </c>
      <c r="AVR2" s="160">
        <v>2532.0</v>
      </c>
      <c r="AVS2" s="160">
        <v>2534.0</v>
      </c>
      <c r="AVT2" s="160">
        <v>2536.0</v>
      </c>
      <c r="AVU2" s="160">
        <v>2538.0</v>
      </c>
      <c r="AVV2" s="160">
        <v>2540.0</v>
      </c>
      <c r="AVW2" s="160">
        <v>2542.0</v>
      </c>
      <c r="AVX2" s="160">
        <v>2544.0</v>
      </c>
      <c r="AVY2" s="160">
        <v>2546.0</v>
      </c>
      <c r="AVZ2" s="160">
        <v>2548.0</v>
      </c>
      <c r="AWA2" s="160">
        <v>2550.0</v>
      </c>
      <c r="AWB2" s="160">
        <v>2552.0</v>
      </c>
      <c r="AWC2" s="160">
        <v>2554.0</v>
      </c>
      <c r="AWD2" s="160">
        <v>2556.0</v>
      </c>
      <c r="AWE2" s="160">
        <v>2558.0</v>
      </c>
      <c r="AWF2" s="160">
        <v>2560.0</v>
      </c>
      <c r="AWG2" s="160">
        <v>2562.0</v>
      </c>
      <c r="AWH2" s="160">
        <v>2564.0</v>
      </c>
      <c r="AWI2" s="160">
        <v>2566.0</v>
      </c>
      <c r="AWJ2" s="160">
        <v>2568.0</v>
      </c>
      <c r="AWK2" s="160">
        <v>2570.0</v>
      </c>
      <c r="AWL2" s="160">
        <v>2572.0</v>
      </c>
      <c r="AWM2" s="160">
        <v>2574.0</v>
      </c>
      <c r="AWN2" s="160">
        <v>2576.0</v>
      </c>
      <c r="AWO2" s="160">
        <v>2578.0</v>
      </c>
      <c r="AWP2" s="160">
        <v>2580.0</v>
      </c>
      <c r="AWQ2" s="160">
        <v>2582.0</v>
      </c>
      <c r="AWR2" s="160">
        <v>2584.0</v>
      </c>
      <c r="AWS2" s="160">
        <v>2586.0</v>
      </c>
      <c r="AWT2" s="160">
        <v>2588.0</v>
      </c>
      <c r="AWU2" s="160">
        <v>2590.0</v>
      </c>
      <c r="AWV2" s="160">
        <v>2592.0</v>
      </c>
      <c r="AWW2" s="160">
        <v>2594.0</v>
      </c>
      <c r="AWX2" s="160">
        <v>2596.0</v>
      </c>
      <c r="AWY2" s="160">
        <v>2598.0</v>
      </c>
      <c r="AWZ2" s="160">
        <v>2600.0</v>
      </c>
      <c r="AXA2" s="160">
        <v>2602.0</v>
      </c>
      <c r="AXB2" s="160">
        <v>2604.0</v>
      </c>
      <c r="AXC2" s="160">
        <v>2606.0</v>
      </c>
      <c r="AXD2" s="160">
        <v>2608.0</v>
      </c>
      <c r="AXE2" s="160">
        <v>2610.0</v>
      </c>
      <c r="AXF2" s="160">
        <v>2612.0</v>
      </c>
      <c r="AXG2" s="160">
        <v>2614.0</v>
      </c>
      <c r="AXH2" s="160">
        <v>2616.0</v>
      </c>
      <c r="AXI2" s="160">
        <v>2618.0</v>
      </c>
      <c r="AXJ2" s="160">
        <v>2620.0</v>
      </c>
      <c r="AXK2" s="160">
        <v>2622.0</v>
      </c>
      <c r="AXL2" s="160">
        <v>2624.0</v>
      </c>
      <c r="AXM2" s="160">
        <v>2626.0</v>
      </c>
      <c r="AXN2" s="160">
        <v>2628.0</v>
      </c>
      <c r="AXO2" s="160">
        <v>2630.0</v>
      </c>
      <c r="AXP2" s="160">
        <v>2632.0</v>
      </c>
      <c r="AXQ2" s="160">
        <v>2634.0</v>
      </c>
      <c r="AXR2" s="160">
        <v>2636.0</v>
      </c>
      <c r="AXS2" s="160">
        <v>2638.0</v>
      </c>
      <c r="AXT2" s="160">
        <v>2640.0</v>
      </c>
      <c r="AXU2" s="160">
        <v>2642.0</v>
      </c>
      <c r="AXV2" s="160">
        <v>2644.0</v>
      </c>
      <c r="AXW2" s="160">
        <v>2646.0</v>
      </c>
      <c r="AXX2" s="160">
        <v>2648.0</v>
      </c>
      <c r="AXY2" s="160">
        <v>2650.0</v>
      </c>
      <c r="AXZ2" s="160">
        <v>2652.0</v>
      </c>
      <c r="AYA2" s="160">
        <v>2654.0</v>
      </c>
      <c r="AYB2" s="160">
        <v>2656.0</v>
      </c>
      <c r="AYC2" s="160">
        <v>2658.0</v>
      </c>
      <c r="AYD2" s="160">
        <v>2660.0</v>
      </c>
      <c r="AYE2" s="160">
        <v>2662.0</v>
      </c>
      <c r="AYF2" s="160">
        <v>2664.0</v>
      </c>
      <c r="AYG2" s="160">
        <v>2666.0</v>
      </c>
      <c r="AYH2" s="160">
        <v>2668.0</v>
      </c>
      <c r="AYI2" s="160">
        <v>2670.0</v>
      </c>
      <c r="AYJ2" s="160">
        <v>2672.0</v>
      </c>
      <c r="AYK2" s="160">
        <v>2674.0</v>
      </c>
      <c r="AYL2" s="160">
        <v>2676.0</v>
      </c>
      <c r="AYM2" s="160">
        <v>2678.0</v>
      </c>
      <c r="AYN2" s="160">
        <v>2680.0</v>
      </c>
      <c r="AYO2" s="160">
        <v>2682.0</v>
      </c>
      <c r="AYP2" s="160">
        <v>2684.0</v>
      </c>
      <c r="AYQ2" s="160">
        <v>2686.0</v>
      </c>
      <c r="AYR2" s="160">
        <v>2688.0</v>
      </c>
      <c r="AYS2" s="160">
        <v>2690.0</v>
      </c>
      <c r="AYT2" s="160">
        <v>2692.0</v>
      </c>
      <c r="AYU2" s="160">
        <v>2694.0</v>
      </c>
      <c r="AYV2" s="160">
        <v>2696.0</v>
      </c>
      <c r="AYW2" s="160">
        <v>2698.0</v>
      </c>
      <c r="AYX2" s="160">
        <v>2700.0</v>
      </c>
      <c r="AYY2" s="160">
        <v>2702.0</v>
      </c>
      <c r="AYZ2" s="160">
        <v>2704.0</v>
      </c>
      <c r="AZA2" s="160">
        <v>2706.0</v>
      </c>
      <c r="AZB2" s="160">
        <v>2708.0</v>
      </c>
      <c r="AZC2" s="160">
        <v>2710.0</v>
      </c>
      <c r="AZD2" s="160">
        <v>2712.0</v>
      </c>
      <c r="AZE2" s="160">
        <v>2714.0</v>
      </c>
      <c r="AZF2" s="160">
        <v>2716.0</v>
      </c>
      <c r="AZG2" s="160">
        <v>2718.0</v>
      </c>
      <c r="AZH2" s="160">
        <v>2720.0</v>
      </c>
      <c r="AZI2" s="160">
        <v>2722.0</v>
      </c>
      <c r="AZJ2" s="160">
        <v>2724.0</v>
      </c>
      <c r="AZK2" s="160">
        <v>2726.0</v>
      </c>
      <c r="AZL2" s="160">
        <v>2728.0</v>
      </c>
      <c r="AZM2" s="160">
        <v>2730.0</v>
      </c>
      <c r="AZN2" s="160">
        <v>2732.0</v>
      </c>
      <c r="AZO2" s="160">
        <v>2734.0</v>
      </c>
      <c r="AZP2" s="160">
        <v>2736.0</v>
      </c>
      <c r="AZQ2" s="160">
        <v>2738.0</v>
      </c>
      <c r="AZR2" s="160">
        <v>2740.0</v>
      </c>
      <c r="AZS2" s="160">
        <v>2742.0</v>
      </c>
      <c r="AZT2" s="160">
        <v>2744.0</v>
      </c>
      <c r="AZU2" s="160">
        <v>2746.0</v>
      </c>
      <c r="AZV2" s="160">
        <v>2748.0</v>
      </c>
      <c r="AZW2" s="160">
        <v>2750.0</v>
      </c>
      <c r="AZX2" s="160">
        <v>2752.0</v>
      </c>
      <c r="AZY2" s="160">
        <v>2754.0</v>
      </c>
      <c r="AZZ2" s="160">
        <v>2756.0</v>
      </c>
      <c r="BAA2" s="160">
        <v>2758.0</v>
      </c>
      <c r="BAB2" s="160">
        <v>2760.0</v>
      </c>
      <c r="BAC2" s="160">
        <v>2762.0</v>
      </c>
      <c r="BAD2" s="160">
        <v>2764.0</v>
      </c>
      <c r="BAE2" s="160">
        <v>2766.0</v>
      </c>
      <c r="BAF2" s="160">
        <v>2768.0</v>
      </c>
      <c r="BAG2" s="160">
        <v>2770.0</v>
      </c>
      <c r="BAH2" s="160">
        <v>2772.0</v>
      </c>
      <c r="BAI2" s="160">
        <v>2774.0</v>
      </c>
      <c r="BAJ2" s="160">
        <v>2776.0</v>
      </c>
      <c r="BAK2" s="160">
        <v>2778.0</v>
      </c>
      <c r="BAL2" s="160">
        <v>2780.0</v>
      </c>
      <c r="BAM2" s="160">
        <v>2782.0</v>
      </c>
      <c r="BAN2" s="160">
        <v>2784.0</v>
      </c>
      <c r="BAO2" s="160">
        <v>2786.0</v>
      </c>
      <c r="BAP2" s="160">
        <v>2788.0</v>
      </c>
      <c r="BAQ2" s="160">
        <v>2790.0</v>
      </c>
      <c r="BAR2" s="160">
        <v>2792.0</v>
      </c>
      <c r="BAS2" s="160">
        <v>2794.0</v>
      </c>
      <c r="BAT2" s="160">
        <v>2796.0</v>
      </c>
      <c r="BAU2" s="160">
        <v>2798.0</v>
      </c>
      <c r="BAV2" s="160">
        <v>2800.0</v>
      </c>
      <c r="BAW2" s="160">
        <v>2802.0</v>
      </c>
      <c r="BAX2" s="160">
        <v>2804.0</v>
      </c>
      <c r="BAY2" s="160">
        <v>2806.0</v>
      </c>
      <c r="BAZ2" s="160">
        <v>2808.0</v>
      </c>
      <c r="BBA2" s="160">
        <v>2810.0</v>
      </c>
      <c r="BBB2" s="160">
        <v>2812.0</v>
      </c>
      <c r="BBC2" s="160">
        <v>2814.0</v>
      </c>
      <c r="BBD2" s="160">
        <v>2816.0</v>
      </c>
      <c r="BBE2" s="160">
        <v>2818.0</v>
      </c>
      <c r="BBF2" s="160">
        <v>2820.0</v>
      </c>
      <c r="BBG2" s="160">
        <v>2822.0</v>
      </c>
      <c r="BBH2" s="160">
        <v>2824.0</v>
      </c>
      <c r="BBI2" s="160">
        <v>2826.0</v>
      </c>
      <c r="BBJ2" s="160">
        <v>2828.0</v>
      </c>
      <c r="BBK2" s="160">
        <v>2830.0</v>
      </c>
      <c r="BBL2" s="160">
        <v>2832.0</v>
      </c>
      <c r="BBM2" s="160">
        <v>2834.0</v>
      </c>
      <c r="BBN2" s="160">
        <v>2836.0</v>
      </c>
      <c r="BBO2" s="160">
        <v>2838.0</v>
      </c>
      <c r="BBP2" s="160">
        <v>2840.0</v>
      </c>
      <c r="BBQ2" s="160">
        <v>2842.0</v>
      </c>
      <c r="BBR2" s="160">
        <v>2844.0</v>
      </c>
      <c r="BBS2" s="160">
        <v>2846.0</v>
      </c>
      <c r="BBT2" s="160">
        <v>2848.0</v>
      </c>
      <c r="BBU2" s="160">
        <v>2850.0</v>
      </c>
      <c r="BBV2" s="160">
        <v>2852.0</v>
      </c>
      <c r="BBW2" s="160">
        <v>2854.0</v>
      </c>
      <c r="BBX2" s="160">
        <v>2856.0</v>
      </c>
      <c r="BBY2" s="160">
        <v>2858.0</v>
      </c>
      <c r="BBZ2" s="160">
        <v>2860.0</v>
      </c>
      <c r="BCA2" s="160">
        <v>2862.0</v>
      </c>
      <c r="BCB2" s="160">
        <v>2864.0</v>
      </c>
      <c r="BCC2" s="160">
        <v>2866.0</v>
      </c>
      <c r="BCD2" s="160">
        <v>2868.0</v>
      </c>
      <c r="BCE2" s="160">
        <v>2870.0</v>
      </c>
      <c r="BCF2" s="160">
        <v>2872.0</v>
      </c>
      <c r="BCG2" s="160">
        <v>2874.0</v>
      </c>
      <c r="BCH2" s="160">
        <v>2876.0</v>
      </c>
      <c r="BCI2" s="160">
        <v>2878.0</v>
      </c>
      <c r="BCJ2" s="160">
        <v>2880.0</v>
      </c>
      <c r="BCK2" s="160">
        <v>2882.0</v>
      </c>
      <c r="BCL2" s="160">
        <v>2884.0</v>
      </c>
      <c r="BCM2" s="160">
        <v>2886.0</v>
      </c>
      <c r="BCN2" s="160">
        <v>2888.0</v>
      </c>
      <c r="BCO2" s="160">
        <v>2890.0</v>
      </c>
      <c r="BCP2" s="160">
        <v>2892.0</v>
      </c>
      <c r="BCQ2" s="160">
        <v>2894.0</v>
      </c>
      <c r="BCR2" s="160">
        <v>2896.0</v>
      </c>
      <c r="BCS2" s="160">
        <v>2898.0</v>
      </c>
      <c r="BCT2" s="160">
        <v>2900.0</v>
      </c>
      <c r="BCU2" s="160">
        <v>2902.0</v>
      </c>
      <c r="BCV2" s="160">
        <v>2904.0</v>
      </c>
      <c r="BCW2" s="160">
        <v>2906.0</v>
      </c>
      <c r="BCX2" s="160">
        <v>2908.0</v>
      </c>
      <c r="BCY2" s="160">
        <v>2910.0</v>
      </c>
      <c r="BCZ2" s="160">
        <v>2912.0</v>
      </c>
      <c r="BDA2" s="160">
        <v>2914.0</v>
      </c>
      <c r="BDB2" s="160">
        <v>2916.0</v>
      </c>
      <c r="BDC2" s="160">
        <v>2918.0</v>
      </c>
      <c r="BDD2" s="160">
        <v>2920.0</v>
      </c>
      <c r="BDE2" s="160">
        <v>2922.0</v>
      </c>
      <c r="BDF2" s="160">
        <v>2924.0</v>
      </c>
      <c r="BDG2" s="160">
        <v>2926.0</v>
      </c>
      <c r="BDH2" s="160">
        <v>2928.0</v>
      </c>
      <c r="BDI2" s="160">
        <v>2930.0</v>
      </c>
      <c r="BDJ2" s="160">
        <v>2932.0</v>
      </c>
      <c r="BDK2" s="160">
        <v>2934.0</v>
      </c>
      <c r="BDL2" s="160">
        <v>2936.0</v>
      </c>
      <c r="BDM2" s="160">
        <v>2938.0</v>
      </c>
      <c r="BDN2" s="160">
        <v>2940.0</v>
      </c>
      <c r="BDO2" s="160">
        <v>2942.0</v>
      </c>
      <c r="BDP2" s="160">
        <v>2944.0</v>
      </c>
      <c r="BDQ2" s="160">
        <v>2946.0</v>
      </c>
      <c r="BDR2" s="160">
        <v>2948.0</v>
      </c>
      <c r="BDS2" s="160">
        <v>2950.0</v>
      </c>
      <c r="BDT2" s="160">
        <v>2952.0</v>
      </c>
      <c r="BDU2" s="160">
        <v>2954.0</v>
      </c>
      <c r="BDV2" s="160">
        <v>2956.0</v>
      </c>
      <c r="BDW2" s="160">
        <v>2958.0</v>
      </c>
      <c r="BDX2" s="160">
        <v>2960.0</v>
      </c>
      <c r="BDY2" s="160">
        <v>2962.0</v>
      </c>
      <c r="BDZ2" s="160">
        <v>2964.0</v>
      </c>
      <c r="BEA2" s="160">
        <v>2966.0</v>
      </c>
      <c r="BEB2" s="160">
        <v>2968.0</v>
      </c>
      <c r="BEC2" s="160">
        <v>2970.0</v>
      </c>
      <c r="BED2" s="160">
        <v>2972.0</v>
      </c>
      <c r="BEE2" s="160">
        <v>2974.0</v>
      </c>
      <c r="BEF2" s="160">
        <v>2976.0</v>
      </c>
      <c r="BEG2" s="160">
        <v>2978.0</v>
      </c>
      <c r="BEH2" s="160">
        <v>2980.0</v>
      </c>
      <c r="BEI2" s="160">
        <v>2982.0</v>
      </c>
      <c r="BEJ2" s="160">
        <v>2984.0</v>
      </c>
      <c r="BEK2" s="160">
        <v>2986.0</v>
      </c>
      <c r="BEL2" s="160">
        <v>2988.0</v>
      </c>
      <c r="BEM2" s="160">
        <v>2990.0</v>
      </c>
      <c r="BEN2" s="160">
        <v>2992.0</v>
      </c>
      <c r="BEO2" s="160">
        <v>2994.0</v>
      </c>
      <c r="BEP2" s="160">
        <v>2996.0</v>
      </c>
      <c r="BEQ2" s="160">
        <v>2998.0</v>
      </c>
      <c r="BER2" s="160">
        <v>3000.0</v>
      </c>
      <c r="BES2" s="160">
        <v>3002.0</v>
      </c>
      <c r="BET2" s="160">
        <v>3004.0</v>
      </c>
      <c r="BEU2" s="160">
        <v>3006.0</v>
      </c>
      <c r="BEV2" s="160">
        <v>3008.0</v>
      </c>
      <c r="BEW2" s="160">
        <v>3010.0</v>
      </c>
      <c r="BEX2" s="160">
        <v>3012.0</v>
      </c>
      <c r="BEY2" s="160">
        <v>3014.0</v>
      </c>
      <c r="BEZ2" s="160">
        <v>3016.0</v>
      </c>
      <c r="BFA2" s="160">
        <v>3018.0</v>
      </c>
      <c r="BFB2" s="160">
        <v>3020.0</v>
      </c>
      <c r="BFC2" s="160">
        <v>3022.0</v>
      </c>
      <c r="BFD2" s="160">
        <v>3024.0</v>
      </c>
      <c r="BFE2" s="160">
        <v>3026.0</v>
      </c>
      <c r="BFF2" s="160">
        <v>3028.0</v>
      </c>
      <c r="BFG2" s="160">
        <v>3030.0</v>
      </c>
      <c r="BFH2" s="160">
        <v>3032.0</v>
      </c>
      <c r="BFI2" s="160">
        <v>3034.0</v>
      </c>
      <c r="BFJ2" s="160">
        <v>3036.0</v>
      </c>
      <c r="BFK2" s="160">
        <v>3038.0</v>
      </c>
      <c r="BFL2" s="160">
        <v>3040.0</v>
      </c>
      <c r="BFM2" s="160">
        <v>3042.0</v>
      </c>
      <c r="BFN2" s="160">
        <v>3044.0</v>
      </c>
      <c r="BFO2" s="160">
        <v>3046.0</v>
      </c>
      <c r="BFP2" s="160">
        <v>3048.0</v>
      </c>
      <c r="BFQ2" s="160">
        <v>3050.0</v>
      </c>
      <c r="BFR2" s="160">
        <v>3052.0</v>
      </c>
      <c r="BFS2" s="160">
        <v>3054.0</v>
      </c>
      <c r="BFT2" s="160">
        <v>3056.0</v>
      </c>
      <c r="BFU2" s="160">
        <v>3058.0</v>
      </c>
      <c r="BFV2" s="160">
        <v>3060.0</v>
      </c>
      <c r="BFW2" s="160">
        <v>3062.0</v>
      </c>
      <c r="BFX2" s="160">
        <v>3064.0</v>
      </c>
      <c r="BFY2" s="160">
        <v>3066.0</v>
      </c>
      <c r="BFZ2" s="160">
        <v>3068.0</v>
      </c>
      <c r="BGA2" s="160">
        <v>3070.0</v>
      </c>
      <c r="BGB2" s="160">
        <v>3072.0</v>
      </c>
      <c r="BGC2" s="160">
        <v>3074.0</v>
      </c>
      <c r="BGD2" s="160">
        <v>3076.0</v>
      </c>
      <c r="BGE2" s="160">
        <v>3078.0</v>
      </c>
      <c r="BGF2" s="160">
        <v>3080.0</v>
      </c>
      <c r="BGG2" s="160">
        <v>3082.0</v>
      </c>
      <c r="BGH2" s="160">
        <v>3084.0</v>
      </c>
      <c r="BGI2" s="160">
        <v>3086.0</v>
      </c>
      <c r="BGJ2" s="160">
        <v>3088.0</v>
      </c>
      <c r="BGK2" s="160">
        <v>3090.0</v>
      </c>
      <c r="BGL2" s="160">
        <v>3092.0</v>
      </c>
      <c r="BGM2" s="160">
        <v>3094.0</v>
      </c>
      <c r="BGN2" s="160">
        <v>3096.0</v>
      </c>
      <c r="BGO2" s="160">
        <v>3098.0</v>
      </c>
      <c r="BGP2" s="160">
        <v>3100.0</v>
      </c>
      <c r="BGQ2" s="160">
        <v>3102.0</v>
      </c>
      <c r="BGR2" s="160">
        <v>3104.0</v>
      </c>
      <c r="BGS2" s="160">
        <v>3106.0</v>
      </c>
      <c r="BGT2" s="160">
        <v>3108.0</v>
      </c>
      <c r="BGU2" s="160">
        <v>3110.0</v>
      </c>
      <c r="BGV2" s="160">
        <v>3112.0</v>
      </c>
      <c r="BGW2" s="160">
        <v>3114.0</v>
      </c>
      <c r="BGX2" s="160">
        <v>3116.0</v>
      </c>
      <c r="BGY2" s="160">
        <v>3118.0</v>
      </c>
      <c r="BGZ2" s="160">
        <v>3120.0</v>
      </c>
      <c r="BHA2" s="160">
        <v>3122.0</v>
      </c>
      <c r="BHB2" s="160">
        <v>3124.0</v>
      </c>
      <c r="BHC2" s="160">
        <v>3126.0</v>
      </c>
      <c r="BHD2" s="160">
        <v>3128.0</v>
      </c>
      <c r="BHE2" s="160">
        <v>3130.0</v>
      </c>
      <c r="BHF2" s="160">
        <v>3132.0</v>
      </c>
      <c r="BHG2" s="160">
        <v>3134.0</v>
      </c>
      <c r="BHH2" s="160">
        <v>3136.0</v>
      </c>
      <c r="BHI2" s="160">
        <v>3138.0</v>
      </c>
      <c r="BHJ2" s="160">
        <v>3140.0</v>
      </c>
      <c r="BHK2" s="160">
        <v>3142.0</v>
      </c>
      <c r="BHL2" s="160">
        <v>3144.0</v>
      </c>
      <c r="BHM2" s="160">
        <v>3146.0</v>
      </c>
      <c r="BHN2" s="160">
        <v>3148.0</v>
      </c>
      <c r="BHO2" s="160">
        <v>3150.0</v>
      </c>
      <c r="BHP2" s="160">
        <v>3152.0</v>
      </c>
      <c r="BHQ2" s="160">
        <v>3154.0</v>
      </c>
      <c r="BHR2" s="160">
        <v>3156.0</v>
      </c>
      <c r="BHS2" s="160">
        <v>3158.0</v>
      </c>
      <c r="BHT2" s="160">
        <v>3160.0</v>
      </c>
      <c r="BHU2" s="160">
        <v>3162.0</v>
      </c>
      <c r="BHV2" s="160">
        <v>3164.0</v>
      </c>
      <c r="BHW2" s="160">
        <v>3166.0</v>
      </c>
      <c r="BHX2" s="160">
        <v>3168.0</v>
      </c>
      <c r="BHY2" s="160">
        <v>3170.0</v>
      </c>
      <c r="BHZ2" s="160">
        <v>3172.0</v>
      </c>
      <c r="BIA2" s="160">
        <v>3174.0</v>
      </c>
      <c r="BIB2" s="160">
        <v>3176.0</v>
      </c>
      <c r="BIC2" s="160">
        <v>3178.0</v>
      </c>
      <c r="BID2" s="160">
        <v>3180.0</v>
      </c>
      <c r="BIE2" s="160">
        <v>3182.0</v>
      </c>
      <c r="BIF2" s="160">
        <v>3184.0</v>
      </c>
      <c r="BIG2" s="160">
        <v>3186.0</v>
      </c>
      <c r="BIH2" s="160">
        <v>3188.0</v>
      </c>
      <c r="BII2" s="160">
        <v>3190.0</v>
      </c>
      <c r="BIJ2" s="160">
        <v>3192.0</v>
      </c>
      <c r="BIK2" s="160">
        <v>3194.0</v>
      </c>
      <c r="BIL2" s="160">
        <v>3196.0</v>
      </c>
      <c r="BIM2" s="160">
        <v>3198.0</v>
      </c>
      <c r="BIN2" s="160">
        <v>3200.0</v>
      </c>
      <c r="BIO2" s="160">
        <v>3202.0</v>
      </c>
      <c r="BIP2" s="160">
        <v>3204.0</v>
      </c>
      <c r="BIQ2" s="160">
        <v>3206.0</v>
      </c>
      <c r="BIR2" s="160">
        <v>3208.0</v>
      </c>
      <c r="BIS2" s="160">
        <v>3210.0</v>
      </c>
      <c r="BIT2" s="160">
        <v>3212.0</v>
      </c>
      <c r="BIU2" s="160">
        <v>3214.0</v>
      </c>
      <c r="BIV2" s="160">
        <v>3216.0</v>
      </c>
      <c r="BIW2" s="160">
        <v>3218.0</v>
      </c>
      <c r="BIX2" s="160">
        <v>3220.0</v>
      </c>
      <c r="BIY2" s="160">
        <v>3222.0</v>
      </c>
      <c r="BIZ2" s="160">
        <v>3224.0</v>
      </c>
      <c r="BJA2" s="160">
        <v>3226.0</v>
      </c>
      <c r="BJB2" s="160">
        <v>3228.0</v>
      </c>
      <c r="BJC2" s="160">
        <v>3230.0</v>
      </c>
      <c r="BJD2" s="160">
        <v>3232.0</v>
      </c>
      <c r="BJE2" s="160">
        <v>3234.0</v>
      </c>
      <c r="BJF2" s="160">
        <v>3236.0</v>
      </c>
      <c r="BJG2" s="160">
        <v>3238.0</v>
      </c>
      <c r="BJH2" s="160">
        <v>3240.0</v>
      </c>
      <c r="BJI2" s="160">
        <v>3242.0</v>
      </c>
      <c r="BJJ2" s="160">
        <v>3244.0</v>
      </c>
      <c r="BJK2" s="160">
        <v>3246.0</v>
      </c>
      <c r="BJL2" s="160">
        <v>3248.0</v>
      </c>
      <c r="BJM2" s="160">
        <v>3250.0</v>
      </c>
      <c r="BJN2" s="160">
        <v>3252.0</v>
      </c>
      <c r="BJO2" s="160">
        <v>3254.0</v>
      </c>
      <c r="BJP2" s="160">
        <v>3256.0</v>
      </c>
      <c r="BJQ2" s="160">
        <v>3258.0</v>
      </c>
      <c r="BJR2" s="160">
        <v>3260.0</v>
      </c>
      <c r="BJS2" s="160">
        <v>3262.0</v>
      </c>
      <c r="BJT2" s="160">
        <v>3264.0</v>
      </c>
      <c r="BJU2" s="160">
        <v>3266.0</v>
      </c>
      <c r="BJV2" s="160">
        <v>3268.0</v>
      </c>
      <c r="BJW2" s="160">
        <v>3270.0</v>
      </c>
      <c r="BJX2" s="160">
        <v>3272.0</v>
      </c>
      <c r="BJY2" s="160">
        <v>3274.0</v>
      </c>
      <c r="BJZ2" s="160">
        <v>3276.0</v>
      </c>
      <c r="BKA2" s="160">
        <v>3278.0</v>
      </c>
      <c r="BKB2" s="160">
        <v>3280.0</v>
      </c>
      <c r="BKC2" s="160">
        <v>3282.0</v>
      </c>
      <c r="BKD2" s="160">
        <v>3284.0</v>
      </c>
      <c r="BKE2" s="160">
        <v>3286.0</v>
      </c>
      <c r="BKF2" s="160">
        <v>3288.0</v>
      </c>
      <c r="BKG2" s="160">
        <v>3290.0</v>
      </c>
      <c r="BKH2" s="160">
        <v>3292.0</v>
      </c>
      <c r="BKI2" s="160">
        <v>3294.0</v>
      </c>
      <c r="BKJ2" s="160">
        <v>3296.0</v>
      </c>
      <c r="BKK2" s="160">
        <v>3298.0</v>
      </c>
      <c r="BKL2" s="160">
        <v>3300.0</v>
      </c>
      <c r="BKM2" s="160">
        <v>3302.0</v>
      </c>
      <c r="BKN2" s="160">
        <v>3304.0</v>
      </c>
      <c r="BKO2" s="160">
        <v>3306.0</v>
      </c>
      <c r="BKP2" s="160">
        <v>3308.0</v>
      </c>
      <c r="BKQ2" s="160">
        <v>3310.0</v>
      </c>
      <c r="BKR2" s="160">
        <v>3312.0</v>
      </c>
      <c r="BKS2" s="160">
        <v>3314.0</v>
      </c>
      <c r="BKT2" s="160">
        <v>3316.0</v>
      </c>
      <c r="BKU2" s="160">
        <v>3318.0</v>
      </c>
      <c r="BKV2" s="160">
        <v>3320.0</v>
      </c>
      <c r="BKW2" s="160">
        <v>3322.0</v>
      </c>
      <c r="BKX2" s="160">
        <v>3324.0</v>
      </c>
      <c r="BKY2" s="160">
        <v>3326.0</v>
      </c>
      <c r="BKZ2" s="160">
        <v>3328.0</v>
      </c>
      <c r="BLA2" s="160">
        <v>3330.0</v>
      </c>
      <c r="BLB2" s="160">
        <v>3332.0</v>
      </c>
      <c r="BLC2" s="160">
        <v>3334.0</v>
      </c>
      <c r="BLD2" s="160">
        <v>3336.0</v>
      </c>
      <c r="BLE2" s="160">
        <v>3338.0</v>
      </c>
      <c r="BLF2" s="160">
        <v>3340.0</v>
      </c>
      <c r="BLG2" s="160">
        <v>3342.0</v>
      </c>
      <c r="BLH2" s="160">
        <v>3344.0</v>
      </c>
      <c r="BLI2" s="160">
        <v>3346.0</v>
      </c>
      <c r="BLJ2" s="160">
        <v>3348.0</v>
      </c>
      <c r="BLK2" s="160">
        <v>3350.0</v>
      </c>
      <c r="BLL2" s="160">
        <v>3352.0</v>
      </c>
      <c r="BLM2" s="160">
        <v>3354.0</v>
      </c>
      <c r="BLN2" s="160">
        <v>3356.0</v>
      </c>
      <c r="BLO2" s="160">
        <v>3358.0</v>
      </c>
      <c r="BLP2" s="160">
        <v>3360.0</v>
      </c>
      <c r="BLQ2" s="160">
        <v>3362.0</v>
      </c>
      <c r="BLR2" s="160">
        <v>3364.0</v>
      </c>
      <c r="BLS2" s="160">
        <v>3366.0</v>
      </c>
      <c r="BLT2" s="160">
        <v>3368.0</v>
      </c>
      <c r="BLU2" s="160">
        <v>3370.0</v>
      </c>
      <c r="BLV2" s="160">
        <v>3372.0</v>
      </c>
      <c r="BLW2" s="160">
        <v>3374.0</v>
      </c>
      <c r="BLX2" s="160">
        <v>3376.0</v>
      </c>
      <c r="BLY2" s="160">
        <v>3378.0</v>
      </c>
      <c r="BLZ2" s="160">
        <v>3380.0</v>
      </c>
      <c r="BMA2" s="160">
        <v>3382.0</v>
      </c>
      <c r="BMB2" s="160">
        <v>3384.0</v>
      </c>
      <c r="BMC2" s="160">
        <v>3386.0</v>
      </c>
      <c r="BMD2" s="160">
        <v>3388.0</v>
      </c>
      <c r="BME2" s="160">
        <v>3390.0</v>
      </c>
      <c r="BMF2" s="160">
        <v>3392.0</v>
      </c>
      <c r="BMG2" s="160">
        <v>3394.0</v>
      </c>
      <c r="BMH2" s="160">
        <v>3396.0</v>
      </c>
      <c r="BMI2" s="160">
        <v>3398.0</v>
      </c>
      <c r="BMJ2" s="160">
        <v>3400.0</v>
      </c>
      <c r="BMK2" s="160">
        <v>3402.0</v>
      </c>
      <c r="BML2" s="160">
        <v>3404.0</v>
      </c>
      <c r="BMM2" s="160">
        <v>3406.0</v>
      </c>
      <c r="BMN2" s="160">
        <v>3408.0</v>
      </c>
      <c r="BMO2" s="160">
        <v>3410.0</v>
      </c>
      <c r="BMP2" s="160">
        <v>3412.0</v>
      </c>
      <c r="BMQ2" s="160">
        <v>3414.0</v>
      </c>
      <c r="BMR2" s="160">
        <v>3416.0</v>
      </c>
      <c r="BMS2" s="160">
        <v>3418.0</v>
      </c>
      <c r="BMT2" s="160">
        <v>3420.0</v>
      </c>
      <c r="BMU2" s="160">
        <v>3422.0</v>
      </c>
      <c r="BMV2" s="160">
        <v>3424.0</v>
      </c>
      <c r="BMW2" s="160">
        <v>3426.0</v>
      </c>
      <c r="BMX2" s="160">
        <v>3428.0</v>
      </c>
      <c r="BMY2" s="160">
        <v>3430.0</v>
      </c>
      <c r="BMZ2" s="160">
        <v>3432.0</v>
      </c>
      <c r="BNA2" s="160">
        <v>3434.0</v>
      </c>
      <c r="BNB2" s="160">
        <v>3436.0</v>
      </c>
      <c r="BNC2" s="160">
        <v>3438.0</v>
      </c>
      <c r="BND2" s="160">
        <v>3440.0</v>
      </c>
      <c r="BNE2" s="160">
        <v>3442.0</v>
      </c>
      <c r="BNF2" s="160">
        <v>3444.0</v>
      </c>
      <c r="BNG2" s="160">
        <v>3446.0</v>
      </c>
      <c r="BNH2" s="160">
        <v>3448.0</v>
      </c>
      <c r="BNI2" s="160">
        <v>3450.0</v>
      </c>
      <c r="BNJ2" s="160">
        <v>3452.0</v>
      </c>
      <c r="BNK2" s="160">
        <v>3454.0</v>
      </c>
      <c r="BNL2" s="160">
        <v>3456.0</v>
      </c>
      <c r="BNM2" s="160">
        <v>3458.0</v>
      </c>
      <c r="BNN2" s="160">
        <v>3460.0</v>
      </c>
      <c r="BNO2" s="160">
        <v>3462.0</v>
      </c>
      <c r="BNP2" s="160">
        <v>3464.0</v>
      </c>
      <c r="BNQ2" s="160">
        <v>3466.0</v>
      </c>
      <c r="BNR2" s="160">
        <v>3468.0</v>
      </c>
      <c r="BNS2" s="160">
        <v>3470.0</v>
      </c>
      <c r="BNT2" s="160">
        <v>3472.0</v>
      </c>
      <c r="BNU2" s="160">
        <v>3474.0</v>
      </c>
      <c r="BNV2" s="160">
        <v>3476.0</v>
      </c>
      <c r="BNW2" s="160">
        <v>3478.0</v>
      </c>
      <c r="BNX2" s="160">
        <v>3480.0</v>
      </c>
      <c r="BNY2" s="160">
        <v>3482.0</v>
      </c>
      <c r="BNZ2" s="160">
        <v>3484.0</v>
      </c>
      <c r="BOA2" s="160">
        <v>3486.0</v>
      </c>
      <c r="BOB2" s="160">
        <v>3488.0</v>
      </c>
      <c r="BOC2" s="160">
        <v>3490.0</v>
      </c>
      <c r="BOD2" s="160">
        <v>3492.0</v>
      </c>
      <c r="BOE2" s="160">
        <v>3494.0</v>
      </c>
      <c r="BOF2" s="160">
        <v>3496.0</v>
      </c>
      <c r="BOG2" s="160">
        <v>3498.0</v>
      </c>
      <c r="BOH2" s="160">
        <v>3500.0</v>
      </c>
      <c r="BOI2" s="160">
        <v>3502.0</v>
      </c>
      <c r="BOJ2" s="160">
        <v>3504.0</v>
      </c>
      <c r="BOK2" s="160">
        <v>3506.0</v>
      </c>
      <c r="BOL2" s="160">
        <v>3508.0</v>
      </c>
      <c r="BOM2" s="160">
        <v>3510.0</v>
      </c>
      <c r="BON2" s="160">
        <v>3512.0</v>
      </c>
      <c r="BOO2" s="160">
        <v>3514.0</v>
      </c>
      <c r="BOP2" s="160">
        <v>3516.0</v>
      </c>
      <c r="BOQ2" s="160">
        <v>3518.0</v>
      </c>
      <c r="BOR2" s="160">
        <v>3520.0</v>
      </c>
      <c r="BOS2" s="160">
        <v>3522.0</v>
      </c>
      <c r="BOT2" s="160">
        <v>3524.0</v>
      </c>
      <c r="BOU2" s="160">
        <v>3526.0</v>
      </c>
      <c r="BOV2" s="160">
        <v>3528.0</v>
      </c>
      <c r="BOW2" s="160">
        <v>3530.0</v>
      </c>
      <c r="BOX2" s="160">
        <v>3532.0</v>
      </c>
      <c r="BOY2" s="160">
        <v>3534.0</v>
      </c>
      <c r="BOZ2" s="160">
        <v>3536.0</v>
      </c>
      <c r="BPA2" s="160">
        <v>3538.0</v>
      </c>
      <c r="BPB2" s="160">
        <v>3540.0</v>
      </c>
      <c r="BPC2" s="160">
        <v>3542.0</v>
      </c>
      <c r="BPD2" s="160">
        <v>3544.0</v>
      </c>
      <c r="BPE2" s="160">
        <v>3546.0</v>
      </c>
      <c r="BPF2" s="160">
        <v>3548.0</v>
      </c>
      <c r="BPG2" s="160">
        <v>3550.0</v>
      </c>
      <c r="BPH2" s="160">
        <v>3552.0</v>
      </c>
      <c r="BPI2" s="160">
        <v>3554.0</v>
      </c>
      <c r="BPJ2" s="160">
        <v>3556.0</v>
      </c>
      <c r="BPK2" s="160">
        <v>3558.0</v>
      </c>
      <c r="BPL2" s="160">
        <v>3560.0</v>
      </c>
      <c r="BPM2" s="160">
        <v>3562.0</v>
      </c>
      <c r="BPN2" s="160">
        <v>3564.0</v>
      </c>
      <c r="BPO2" s="160">
        <v>3566.0</v>
      </c>
      <c r="BPP2" s="160">
        <v>3568.0</v>
      </c>
      <c r="BPQ2" s="160">
        <v>3570.0</v>
      </c>
      <c r="BPR2" s="160">
        <v>3572.0</v>
      </c>
      <c r="BPS2" s="160">
        <v>3574.0</v>
      </c>
      <c r="BPT2" s="160">
        <v>3576.0</v>
      </c>
      <c r="BPU2" s="160">
        <v>3578.0</v>
      </c>
      <c r="BPV2" s="160">
        <v>3580.0</v>
      </c>
      <c r="BPW2" s="160">
        <v>3582.0</v>
      </c>
      <c r="BPX2" s="160">
        <v>3584.0</v>
      </c>
      <c r="BPY2" s="160">
        <v>3586.0</v>
      </c>
      <c r="BPZ2" s="160">
        <v>3588.0</v>
      </c>
      <c r="BQA2" s="160">
        <v>3590.0</v>
      </c>
      <c r="BQB2" s="160">
        <v>3592.0</v>
      </c>
      <c r="BQC2" s="160">
        <v>3594.0</v>
      </c>
      <c r="BQD2" s="160">
        <v>3596.0</v>
      </c>
      <c r="BQE2" s="160">
        <v>3598.0</v>
      </c>
      <c r="BQF2" s="160">
        <v>3600.0</v>
      </c>
      <c r="BQG2" s="160">
        <v>3602.0</v>
      </c>
      <c r="BQH2" s="160">
        <v>3604.0</v>
      </c>
      <c r="BQI2" s="160">
        <v>3606.0</v>
      </c>
      <c r="BQJ2" s="160">
        <v>3608.0</v>
      </c>
      <c r="BQK2" s="160">
        <v>3610.0</v>
      </c>
      <c r="BQL2" s="160">
        <v>3612.0</v>
      </c>
      <c r="BQM2" s="160">
        <v>3614.0</v>
      </c>
      <c r="BQN2" s="160">
        <v>3616.0</v>
      </c>
      <c r="BQO2" s="160">
        <v>3618.0</v>
      </c>
      <c r="BQP2" s="160">
        <v>3620.0</v>
      </c>
      <c r="BQQ2" s="160">
        <v>3622.0</v>
      </c>
      <c r="BQR2" s="160">
        <v>3624.0</v>
      </c>
      <c r="BQS2" s="160">
        <v>3626.0</v>
      </c>
      <c r="BQT2" s="160">
        <v>3628.0</v>
      </c>
      <c r="BQU2" s="160">
        <v>3630.0</v>
      </c>
      <c r="BQV2" s="160">
        <v>3632.0</v>
      </c>
      <c r="BQW2" s="160">
        <v>3634.0</v>
      </c>
      <c r="BQX2" s="160">
        <v>3636.0</v>
      </c>
      <c r="BQY2" s="160">
        <v>3638.0</v>
      </c>
      <c r="BQZ2" s="160">
        <v>3640.0</v>
      </c>
      <c r="BRA2" s="160">
        <v>3642.0</v>
      </c>
      <c r="BRB2" s="160">
        <v>3644.0</v>
      </c>
      <c r="BRC2" s="160">
        <v>3646.0</v>
      </c>
      <c r="BRD2" s="160">
        <v>3648.0</v>
      </c>
      <c r="BRE2" s="160">
        <v>3650.0</v>
      </c>
      <c r="BRF2" s="160">
        <v>3652.0</v>
      </c>
      <c r="BRG2" s="160">
        <v>3654.0</v>
      </c>
      <c r="BRH2" s="160">
        <v>3656.0</v>
      </c>
      <c r="BRI2" s="160">
        <v>3658.0</v>
      </c>
      <c r="BRJ2" s="160">
        <v>3660.0</v>
      </c>
      <c r="BRK2" s="160">
        <v>3662.0</v>
      </c>
      <c r="BRL2" s="160">
        <v>3664.0</v>
      </c>
      <c r="BRM2" s="160">
        <v>3666.0</v>
      </c>
      <c r="BRN2" s="160">
        <v>3668.0</v>
      </c>
      <c r="BRO2" s="160">
        <v>3670.0</v>
      </c>
      <c r="BRP2" s="160">
        <v>3672.0</v>
      </c>
      <c r="BRQ2" s="160">
        <v>3674.0</v>
      </c>
      <c r="BRR2" s="160">
        <v>3676.0</v>
      </c>
      <c r="BRS2" s="160">
        <v>3678.0</v>
      </c>
      <c r="BRT2" s="160">
        <v>3680.0</v>
      </c>
      <c r="BRU2" s="160">
        <v>3682.0</v>
      </c>
      <c r="BRV2" s="160">
        <v>3684.0</v>
      </c>
      <c r="BRW2" s="160">
        <v>3686.0</v>
      </c>
      <c r="BRX2" s="160">
        <v>3688.0</v>
      </c>
      <c r="BRY2" s="160">
        <v>3690.0</v>
      </c>
      <c r="BRZ2" s="160">
        <v>3692.0</v>
      </c>
      <c r="BSA2" s="160">
        <v>3694.0</v>
      </c>
      <c r="BSB2" s="160">
        <v>3696.0</v>
      </c>
      <c r="BSC2" s="160">
        <v>3698.0</v>
      </c>
      <c r="BSD2" s="160">
        <v>3700.0</v>
      </c>
      <c r="BSE2" s="160">
        <v>3702.0</v>
      </c>
      <c r="BSF2" s="160">
        <v>3704.0</v>
      </c>
      <c r="BSG2" s="160">
        <v>3706.0</v>
      </c>
      <c r="BSH2" s="160">
        <v>3708.0</v>
      </c>
      <c r="BSI2" s="160">
        <v>3710.0</v>
      </c>
      <c r="BSJ2" s="160">
        <v>3712.0</v>
      </c>
      <c r="BSK2" s="160">
        <v>3714.0</v>
      </c>
      <c r="BSL2" s="160">
        <v>3716.0</v>
      </c>
      <c r="BSM2" s="160">
        <v>3718.0</v>
      </c>
      <c r="BSN2" s="160">
        <v>3720.0</v>
      </c>
      <c r="BSO2" s="160">
        <v>3722.0</v>
      </c>
      <c r="BSP2" s="160">
        <v>3724.0</v>
      </c>
      <c r="BSQ2" s="160">
        <v>3726.0</v>
      </c>
      <c r="BSR2" s="160">
        <v>3728.0</v>
      </c>
      <c r="BSS2" s="160">
        <v>3730.0</v>
      </c>
      <c r="BST2" s="160">
        <v>3732.0</v>
      </c>
      <c r="BSU2" s="160">
        <v>3734.0</v>
      </c>
      <c r="BSV2" s="160">
        <v>3736.0</v>
      </c>
      <c r="BSW2" s="160">
        <v>3738.0</v>
      </c>
      <c r="BSX2" s="160">
        <v>3740.0</v>
      </c>
      <c r="BSY2" s="160">
        <v>3742.0</v>
      </c>
      <c r="BSZ2" s="160">
        <v>3744.0</v>
      </c>
      <c r="BTA2" s="160">
        <v>3746.0</v>
      </c>
      <c r="BTB2" s="160">
        <v>3748.0</v>
      </c>
      <c r="BTC2" s="160">
        <v>3750.0</v>
      </c>
      <c r="BTD2" s="160">
        <v>3752.0</v>
      </c>
      <c r="BTE2" s="160">
        <v>3754.0</v>
      </c>
      <c r="BTF2" s="160">
        <v>3756.0</v>
      </c>
      <c r="BTG2" s="160">
        <v>3758.0</v>
      </c>
      <c r="BTH2" s="160">
        <v>3760.0</v>
      </c>
      <c r="BTI2" s="160">
        <v>3762.0</v>
      </c>
      <c r="BTJ2" s="160">
        <v>3764.0</v>
      </c>
      <c r="BTK2" s="160">
        <v>3766.0</v>
      </c>
      <c r="BTL2" s="160">
        <v>3768.0</v>
      </c>
      <c r="BTM2" s="160">
        <v>3770.0</v>
      </c>
      <c r="BTN2" s="160">
        <v>3772.0</v>
      </c>
      <c r="BTO2" s="160">
        <v>3774.0</v>
      </c>
      <c r="BTP2" s="160">
        <v>3776.0</v>
      </c>
      <c r="BTQ2" s="160">
        <v>3778.0</v>
      </c>
      <c r="BTR2" s="160">
        <v>3780.0</v>
      </c>
      <c r="BTS2" s="160">
        <v>3782.0</v>
      </c>
      <c r="BTT2" s="160">
        <v>3784.0</v>
      </c>
      <c r="BTU2" s="160">
        <v>3786.0</v>
      </c>
      <c r="BTV2" s="160">
        <v>3788.0</v>
      </c>
      <c r="BTW2" s="160">
        <v>3790.0</v>
      </c>
      <c r="BTX2" s="160">
        <v>3792.0</v>
      </c>
      <c r="BTY2" s="160">
        <v>3794.0</v>
      </c>
      <c r="BTZ2" s="160">
        <v>3796.0</v>
      </c>
      <c r="BUA2" s="160">
        <v>3798.0</v>
      </c>
      <c r="BUB2" s="160">
        <v>3800.0</v>
      </c>
      <c r="BUC2" s="160">
        <v>3802.0</v>
      </c>
      <c r="BUD2" s="160">
        <v>3804.0</v>
      </c>
      <c r="BUE2" s="160">
        <v>3806.0</v>
      </c>
      <c r="BUF2" s="160">
        <v>3808.0</v>
      </c>
      <c r="BUG2" s="160">
        <v>3810.0</v>
      </c>
      <c r="BUH2" s="160">
        <v>3812.0</v>
      </c>
      <c r="BUI2" s="160">
        <v>3814.0</v>
      </c>
      <c r="BUJ2" s="160">
        <v>3816.0</v>
      </c>
      <c r="BUK2" s="160">
        <v>3818.0</v>
      </c>
      <c r="BUL2" s="160">
        <v>3820.0</v>
      </c>
      <c r="BUM2" s="160">
        <v>3822.0</v>
      </c>
      <c r="BUN2" s="160">
        <v>3824.0</v>
      </c>
      <c r="BUO2" s="160">
        <v>3826.0</v>
      </c>
      <c r="BUP2" s="160">
        <v>3828.0</v>
      </c>
      <c r="BUQ2" s="160">
        <v>3830.0</v>
      </c>
      <c r="BUR2" s="160">
        <v>3832.0</v>
      </c>
      <c r="BUS2" s="160">
        <v>3834.0</v>
      </c>
      <c r="BUT2" s="160">
        <v>3836.0</v>
      </c>
      <c r="BUU2" s="160">
        <v>3838.0</v>
      </c>
      <c r="BUV2" s="160">
        <v>3840.0</v>
      </c>
      <c r="BUW2" s="160">
        <v>3842.0</v>
      </c>
      <c r="BUX2" s="160">
        <v>3844.0</v>
      </c>
      <c r="BUY2" s="160">
        <v>3846.0</v>
      </c>
      <c r="BUZ2" s="160">
        <v>3848.0</v>
      </c>
      <c r="BVA2" s="160">
        <v>3850.0</v>
      </c>
      <c r="BVB2" s="160">
        <v>3852.0</v>
      </c>
      <c r="BVC2" s="160">
        <v>3854.0</v>
      </c>
      <c r="BVD2" s="160">
        <v>3856.0</v>
      </c>
      <c r="BVE2" s="160">
        <v>3858.0</v>
      </c>
      <c r="BVF2" s="160">
        <v>3860.0</v>
      </c>
      <c r="BVG2" s="160">
        <v>3862.0</v>
      </c>
      <c r="BVH2" s="160">
        <v>3864.0</v>
      </c>
      <c r="BVI2" s="160">
        <v>3866.0</v>
      </c>
      <c r="BVJ2" s="160">
        <v>3868.0</v>
      </c>
      <c r="BVK2" s="160">
        <v>3870.0</v>
      </c>
      <c r="BVL2" s="160">
        <v>3872.0</v>
      </c>
      <c r="BVM2" s="160">
        <v>3874.0</v>
      </c>
      <c r="BVN2" s="160">
        <v>3876.0</v>
      </c>
      <c r="BVO2" s="160">
        <v>3878.0</v>
      </c>
      <c r="BVP2" s="160">
        <v>3880.0</v>
      </c>
      <c r="BVQ2" s="160">
        <v>3882.0</v>
      </c>
      <c r="BVR2" s="160">
        <v>3884.0</v>
      </c>
      <c r="BVS2" s="160">
        <v>3886.0</v>
      </c>
      <c r="BVT2" s="160">
        <v>3888.0</v>
      </c>
      <c r="BVU2" s="160">
        <v>3890.0</v>
      </c>
      <c r="BVV2" s="160">
        <v>3892.0</v>
      </c>
      <c r="BVW2" s="160">
        <v>3894.0</v>
      </c>
      <c r="BVX2" s="160">
        <v>3896.0</v>
      </c>
      <c r="BVY2" s="160">
        <v>3898.0</v>
      </c>
      <c r="BVZ2" s="160">
        <v>3900.0</v>
      </c>
      <c r="BWA2" s="160">
        <v>3902.0</v>
      </c>
      <c r="BWB2" s="160">
        <v>3904.0</v>
      </c>
      <c r="BWC2" s="160">
        <v>3906.0</v>
      </c>
      <c r="BWD2" s="160">
        <v>3908.0</v>
      </c>
      <c r="BWE2" s="160">
        <v>3910.0</v>
      </c>
      <c r="BWF2" s="160">
        <v>3912.0</v>
      </c>
      <c r="BWG2" s="160">
        <v>3914.0</v>
      </c>
      <c r="BWH2" s="160">
        <v>3916.0</v>
      </c>
      <c r="BWI2" s="160">
        <v>3918.0</v>
      </c>
      <c r="BWJ2" s="160">
        <v>3920.0</v>
      </c>
      <c r="BWK2" s="160">
        <v>3922.0</v>
      </c>
      <c r="BWL2" s="160">
        <v>3924.0</v>
      </c>
      <c r="BWM2" s="160">
        <v>3926.0</v>
      </c>
      <c r="BWN2" s="160">
        <v>3928.0</v>
      </c>
      <c r="BWO2" s="160">
        <v>3930.0</v>
      </c>
      <c r="BWP2" s="160">
        <v>3932.0</v>
      </c>
      <c r="BWQ2" s="160">
        <v>3934.0</v>
      </c>
      <c r="BWR2" s="160">
        <v>3936.0</v>
      </c>
      <c r="BWS2" s="160">
        <v>3938.0</v>
      </c>
      <c r="BWT2" s="160">
        <v>3940.0</v>
      </c>
      <c r="BWU2" s="160">
        <v>3942.0</v>
      </c>
      <c r="BWV2" s="160">
        <v>3944.0</v>
      </c>
      <c r="BWW2" s="160">
        <v>3946.0</v>
      </c>
      <c r="BWX2" s="160">
        <v>3948.0</v>
      </c>
      <c r="BWY2" s="160">
        <v>3950.0</v>
      </c>
      <c r="BWZ2" s="160">
        <v>3952.0</v>
      </c>
      <c r="BXA2" s="160">
        <v>3954.0</v>
      </c>
      <c r="BXB2" s="160">
        <v>3956.0</v>
      </c>
      <c r="BXC2" s="160">
        <v>3958.0</v>
      </c>
      <c r="BXD2" s="160">
        <v>3960.0</v>
      </c>
      <c r="BXE2" s="160">
        <v>3962.0</v>
      </c>
      <c r="BXF2" s="160">
        <v>3964.0</v>
      </c>
      <c r="BXG2" s="160">
        <v>3966.0</v>
      </c>
      <c r="BXH2" s="160">
        <v>3968.0</v>
      </c>
      <c r="BXI2" s="160">
        <v>3970.0</v>
      </c>
      <c r="BXJ2" s="160">
        <v>3972.0</v>
      </c>
      <c r="BXK2" s="160">
        <v>3974.0</v>
      </c>
      <c r="BXL2" s="160">
        <v>3976.0</v>
      </c>
      <c r="BXM2" s="160">
        <v>3978.0</v>
      </c>
      <c r="BXN2" s="160">
        <v>3980.0</v>
      </c>
      <c r="BXO2" s="160">
        <v>3982.0</v>
      </c>
      <c r="BXP2" s="160">
        <v>3984.0</v>
      </c>
      <c r="BXQ2" s="160">
        <v>3986.0</v>
      </c>
      <c r="BXR2" s="160">
        <v>3988.0</v>
      </c>
      <c r="BXS2" s="160">
        <v>3990.0</v>
      </c>
      <c r="BXT2" s="160">
        <v>3992.0</v>
      </c>
      <c r="BXU2" s="160">
        <v>3994.0</v>
      </c>
      <c r="BXV2" s="160">
        <v>3996.0</v>
      </c>
      <c r="BXW2" s="160">
        <v>3998.0</v>
      </c>
      <c r="BXX2" s="160">
        <v>4000.0</v>
      </c>
      <c r="BXY2" s="160">
        <v>4002.0</v>
      </c>
      <c r="BXZ2" s="160">
        <v>4004.0</v>
      </c>
      <c r="BYA2" s="160">
        <v>4006.0</v>
      </c>
      <c r="BYB2" s="160">
        <v>4008.0</v>
      </c>
      <c r="BYC2" s="160">
        <v>4010.0</v>
      </c>
      <c r="BYD2" s="160">
        <v>4012.0</v>
      </c>
      <c r="BYE2" s="160">
        <v>4014.0</v>
      </c>
      <c r="BYF2" s="160">
        <v>4016.0</v>
      </c>
      <c r="BYG2" s="160">
        <v>4018.0</v>
      </c>
      <c r="BYH2" s="160">
        <v>4020.0</v>
      </c>
      <c r="BYI2" s="160">
        <v>4022.0</v>
      </c>
      <c r="BYJ2" s="160">
        <v>4024.0</v>
      </c>
      <c r="BYK2" s="160">
        <v>4026.0</v>
      </c>
      <c r="BYL2" s="160">
        <v>4028.0</v>
      </c>
      <c r="BYM2" s="160">
        <v>4030.0</v>
      </c>
      <c r="BYN2" s="160">
        <v>4032.0</v>
      </c>
      <c r="BYO2" s="160">
        <v>4034.0</v>
      </c>
      <c r="BYP2" s="160">
        <v>4036.0</v>
      </c>
      <c r="BYQ2" s="160">
        <v>4038.0</v>
      </c>
      <c r="BYR2" s="160">
        <v>4040.0</v>
      </c>
      <c r="BYS2" s="160">
        <v>4042.0</v>
      </c>
      <c r="BYT2" s="160">
        <v>4044.0</v>
      </c>
      <c r="BYU2" s="160">
        <v>4046.0</v>
      </c>
      <c r="BYV2" s="160">
        <v>4048.0</v>
      </c>
      <c r="BYW2" s="160">
        <v>4050.0</v>
      </c>
      <c r="BYX2" s="160">
        <v>4052.0</v>
      </c>
      <c r="BYY2" s="160">
        <v>4054.0</v>
      </c>
      <c r="BYZ2" s="160">
        <v>4056.0</v>
      </c>
      <c r="BZA2" s="160">
        <v>4058.0</v>
      </c>
      <c r="BZB2" s="160">
        <v>4060.0</v>
      </c>
      <c r="BZC2" s="160">
        <v>4062.0</v>
      </c>
      <c r="BZD2" s="160">
        <v>4064.0</v>
      </c>
      <c r="BZE2" s="160">
        <v>4066.0</v>
      </c>
      <c r="BZF2" s="160">
        <v>4068.0</v>
      </c>
      <c r="BZG2" s="160">
        <v>4070.0</v>
      </c>
      <c r="BZH2" s="160">
        <v>4072.0</v>
      </c>
      <c r="BZI2" s="160">
        <v>4074.0</v>
      </c>
      <c r="BZJ2" s="160">
        <v>4076.0</v>
      </c>
      <c r="BZK2" s="160">
        <v>4078.0</v>
      </c>
      <c r="BZL2" s="160">
        <v>4080.0</v>
      </c>
      <c r="BZM2" s="160">
        <v>4082.0</v>
      </c>
      <c r="BZN2" s="160">
        <v>4084.0</v>
      </c>
      <c r="BZO2" s="160">
        <v>4086.0</v>
      </c>
      <c r="BZP2" s="160">
        <v>4088.0</v>
      </c>
      <c r="BZQ2" s="160">
        <v>4090.0</v>
      </c>
      <c r="BZR2" s="160">
        <v>4092.0</v>
      </c>
      <c r="BZS2" s="160">
        <v>4094.0</v>
      </c>
      <c r="BZT2" s="160">
        <v>4096.0</v>
      </c>
      <c r="BZU2" s="160">
        <v>4098.0</v>
      </c>
      <c r="BZV2" s="160">
        <v>4100.0</v>
      </c>
      <c r="BZW2" s="160">
        <v>4102.0</v>
      </c>
      <c r="BZX2" s="160">
        <v>4104.0</v>
      </c>
      <c r="BZY2" s="160">
        <v>4106.0</v>
      </c>
      <c r="BZZ2" s="160">
        <v>4108.0</v>
      </c>
      <c r="CAA2" s="160">
        <v>4110.0</v>
      </c>
      <c r="CAB2" s="160">
        <v>4112.0</v>
      </c>
      <c r="CAC2" s="160">
        <v>4114.0</v>
      </c>
      <c r="CAD2" s="160">
        <v>4116.0</v>
      </c>
      <c r="CAE2" s="160">
        <v>4118.0</v>
      </c>
      <c r="CAF2" s="160">
        <v>4120.0</v>
      </c>
      <c r="CAG2" s="160">
        <v>4122.0</v>
      </c>
      <c r="CAH2" s="160">
        <v>4124.0</v>
      </c>
      <c r="CAI2" s="160">
        <v>4126.0</v>
      </c>
      <c r="CAJ2" s="160">
        <v>4128.0</v>
      </c>
      <c r="CAK2" s="160">
        <v>4130.0</v>
      </c>
      <c r="CAL2" s="160">
        <v>4132.0</v>
      </c>
      <c r="CAM2" s="160">
        <v>4134.0</v>
      </c>
      <c r="CAN2" s="160">
        <v>4136.0</v>
      </c>
      <c r="CAO2" s="160">
        <v>4138.0</v>
      </c>
      <c r="CAP2" s="160">
        <v>4140.0</v>
      </c>
      <c r="CAQ2" s="160">
        <v>4142.0</v>
      </c>
      <c r="CAR2" s="160">
        <v>4144.0</v>
      </c>
      <c r="CAS2" s="160">
        <v>4146.0</v>
      </c>
      <c r="CAT2" s="160">
        <v>4148.0</v>
      </c>
      <c r="CAU2" s="160">
        <v>4150.0</v>
      </c>
      <c r="CAV2" s="160">
        <v>4152.0</v>
      </c>
      <c r="CAW2" s="160">
        <v>4154.0</v>
      </c>
      <c r="CAX2" s="160">
        <v>4156.0</v>
      </c>
      <c r="CAY2" s="160">
        <v>4158.0</v>
      </c>
      <c r="CAZ2" s="160">
        <v>4160.0</v>
      </c>
      <c r="CBA2" s="160">
        <v>4162.0</v>
      </c>
      <c r="CBB2" s="160">
        <v>4164.0</v>
      </c>
      <c r="CBC2" s="160">
        <v>4166.0</v>
      </c>
      <c r="CBD2" s="160">
        <v>4168.0</v>
      </c>
      <c r="CBE2" s="160">
        <v>4170.0</v>
      </c>
      <c r="CBF2" s="160">
        <v>4172.0</v>
      </c>
      <c r="CBG2" s="160">
        <v>4174.0</v>
      </c>
      <c r="CBH2" s="160">
        <v>4176.0</v>
      </c>
      <c r="CBI2" s="160">
        <v>4178.0</v>
      </c>
      <c r="CBJ2" s="160">
        <v>4180.0</v>
      </c>
      <c r="CBK2" s="160">
        <v>4182.0</v>
      </c>
      <c r="CBL2" s="160">
        <v>4184.0</v>
      </c>
      <c r="CBM2" s="160">
        <v>4186.0</v>
      </c>
      <c r="CBN2" s="160">
        <v>4188.0</v>
      </c>
      <c r="CBO2" s="160">
        <v>4190.0</v>
      </c>
      <c r="CBP2" s="160">
        <v>4192.0</v>
      </c>
      <c r="CBQ2" s="160">
        <v>4194.0</v>
      </c>
      <c r="CBR2" s="160">
        <v>4196.0</v>
      </c>
      <c r="CBS2" s="160">
        <v>4198.0</v>
      </c>
      <c r="CBT2" s="160">
        <v>4200.0</v>
      </c>
      <c r="CBU2" s="160">
        <v>4202.0</v>
      </c>
      <c r="CBV2" s="160">
        <v>4204.0</v>
      </c>
      <c r="CBW2" s="160">
        <v>4206.0</v>
      </c>
      <c r="CBX2" s="160">
        <v>4208.0</v>
      </c>
      <c r="CBY2" s="160">
        <v>4210.0</v>
      </c>
      <c r="CBZ2" s="160">
        <v>4212.0</v>
      </c>
      <c r="CCA2" s="160">
        <v>4214.0</v>
      </c>
      <c r="CCB2" s="160">
        <v>4216.0</v>
      </c>
      <c r="CCC2" s="160">
        <v>4218.0</v>
      </c>
      <c r="CCD2" s="160">
        <v>4220.0</v>
      </c>
      <c r="CCE2" s="160">
        <v>4222.0</v>
      </c>
      <c r="CCF2" s="160">
        <v>4224.0</v>
      </c>
      <c r="CCG2" s="160">
        <v>4226.0</v>
      </c>
      <c r="CCH2" s="160">
        <v>4228.0</v>
      </c>
      <c r="CCI2" s="160">
        <v>4230.0</v>
      </c>
      <c r="CCJ2" s="160">
        <v>4232.0</v>
      </c>
    </row>
    <row r="7" hidden="1">
      <c r="A7" s="160">
        <v>1.0</v>
      </c>
      <c r="B7" s="160">
        <v>3.0</v>
      </c>
      <c r="C7" s="160">
        <v>5.0</v>
      </c>
      <c r="D7" s="160">
        <v>7.0</v>
      </c>
      <c r="E7" s="160">
        <v>9.0</v>
      </c>
      <c r="F7" s="160">
        <v>11.0</v>
      </c>
      <c r="G7" s="160">
        <v>13.0</v>
      </c>
      <c r="H7" s="160">
        <v>15.0</v>
      </c>
      <c r="I7" s="160">
        <v>17.0</v>
      </c>
      <c r="J7" s="160">
        <v>19.0</v>
      </c>
      <c r="K7" s="160">
        <v>21.0</v>
      </c>
      <c r="L7" s="160">
        <v>23.0</v>
      </c>
      <c r="M7" s="160">
        <v>25.0</v>
      </c>
      <c r="N7" s="160">
        <v>27.0</v>
      </c>
      <c r="O7" s="160">
        <v>29.0</v>
      </c>
      <c r="P7" s="160">
        <v>31.0</v>
      </c>
      <c r="Q7" s="160">
        <v>33.0</v>
      </c>
      <c r="R7" s="160">
        <v>35.0</v>
      </c>
      <c r="S7" s="160">
        <v>37.0</v>
      </c>
      <c r="T7" s="160">
        <v>39.0</v>
      </c>
      <c r="U7" s="160">
        <v>41.0</v>
      </c>
      <c r="V7" s="160">
        <v>43.0</v>
      </c>
      <c r="W7" s="160">
        <v>45.0</v>
      </c>
      <c r="X7" s="160">
        <v>47.0</v>
      </c>
      <c r="Y7" s="160">
        <v>49.0</v>
      </c>
      <c r="Z7" s="160">
        <v>51.0</v>
      </c>
      <c r="AA7" s="160">
        <v>53.0</v>
      </c>
      <c r="AB7" s="160">
        <v>55.0</v>
      </c>
      <c r="AC7" s="160">
        <v>57.0</v>
      </c>
      <c r="AD7" s="160">
        <v>59.0</v>
      </c>
      <c r="AE7" s="160">
        <v>61.0</v>
      </c>
      <c r="AF7" s="160">
        <v>63.0</v>
      </c>
      <c r="AG7" s="160">
        <v>65.0</v>
      </c>
      <c r="AH7" s="160">
        <v>67.0</v>
      </c>
      <c r="AI7" s="160">
        <v>69.0</v>
      </c>
      <c r="AJ7" s="160">
        <v>71.0</v>
      </c>
      <c r="AK7" s="160">
        <v>73.0</v>
      </c>
      <c r="AL7" s="160">
        <v>75.0</v>
      </c>
      <c r="AM7" s="160">
        <v>77.0</v>
      </c>
      <c r="AN7" s="160">
        <v>79.0</v>
      </c>
      <c r="AO7" s="160">
        <v>81.0</v>
      </c>
      <c r="AP7" s="160">
        <v>83.0</v>
      </c>
      <c r="AQ7" s="160">
        <v>85.0</v>
      </c>
      <c r="AR7" s="160">
        <v>87.0</v>
      </c>
      <c r="AS7" s="160">
        <v>89.0</v>
      </c>
      <c r="AT7" s="160">
        <v>91.0</v>
      </c>
      <c r="AU7" s="160">
        <v>93.0</v>
      </c>
      <c r="AV7" s="160">
        <v>95.0</v>
      </c>
      <c r="AW7" s="160">
        <v>97.0</v>
      </c>
      <c r="AX7" s="160">
        <v>99.0</v>
      </c>
      <c r="AY7" s="160">
        <v>101.0</v>
      </c>
      <c r="AZ7" s="160">
        <v>103.0</v>
      </c>
      <c r="BA7" s="160">
        <v>105.0</v>
      </c>
      <c r="BB7" s="160">
        <v>107.0</v>
      </c>
      <c r="BC7" s="160">
        <v>109.0</v>
      </c>
      <c r="BD7" s="160">
        <v>111.0</v>
      </c>
      <c r="BE7" s="160">
        <v>113.0</v>
      </c>
      <c r="BF7" s="160">
        <v>115.0</v>
      </c>
      <c r="BG7" s="160">
        <v>117.0</v>
      </c>
      <c r="BH7" s="160">
        <v>119.0</v>
      </c>
      <c r="BI7" s="160">
        <v>121.0</v>
      </c>
      <c r="BJ7" s="160">
        <v>123.0</v>
      </c>
      <c r="BK7" s="160">
        <v>125.0</v>
      </c>
      <c r="BL7" s="160">
        <v>127.0</v>
      </c>
      <c r="BM7" s="160">
        <v>129.0</v>
      </c>
      <c r="BN7" s="160">
        <v>131.0</v>
      </c>
      <c r="BO7" s="160">
        <v>133.0</v>
      </c>
      <c r="BP7" s="160">
        <v>135.0</v>
      </c>
      <c r="BQ7" s="160">
        <v>137.0</v>
      </c>
      <c r="BR7" s="160">
        <v>139.0</v>
      </c>
      <c r="BS7" s="160">
        <v>141.0</v>
      </c>
      <c r="BT7" s="160">
        <v>143.0</v>
      </c>
      <c r="BU7" s="160">
        <v>145.0</v>
      </c>
      <c r="BV7" s="160">
        <v>147.0</v>
      </c>
      <c r="BW7" s="160">
        <v>149.0</v>
      </c>
      <c r="BX7" s="160">
        <v>151.0</v>
      </c>
      <c r="BY7" s="160">
        <v>153.0</v>
      </c>
      <c r="BZ7" s="160">
        <v>155.0</v>
      </c>
      <c r="CA7" s="160">
        <v>157.0</v>
      </c>
      <c r="CB7" s="160">
        <v>159.0</v>
      </c>
      <c r="CC7" s="160">
        <v>161.0</v>
      </c>
      <c r="CD7" s="160">
        <v>163.0</v>
      </c>
      <c r="CE7" s="160">
        <v>165.0</v>
      </c>
      <c r="CF7" s="160">
        <v>167.0</v>
      </c>
      <c r="CG7" s="160">
        <v>169.0</v>
      </c>
      <c r="CH7" s="160">
        <v>171.0</v>
      </c>
      <c r="CI7" s="160">
        <v>173.0</v>
      </c>
      <c r="CJ7" s="160">
        <v>175.0</v>
      </c>
      <c r="CK7" s="160">
        <v>177.0</v>
      </c>
      <c r="CL7" s="160">
        <v>179.0</v>
      </c>
      <c r="CM7" s="160">
        <v>181.0</v>
      </c>
      <c r="CN7" s="160">
        <v>183.0</v>
      </c>
      <c r="CO7" s="160">
        <v>185.0</v>
      </c>
      <c r="CP7" s="160">
        <v>187.0</v>
      </c>
      <c r="CQ7" s="160">
        <v>189.0</v>
      </c>
      <c r="CR7" s="160">
        <v>191.0</v>
      </c>
      <c r="CS7" s="160">
        <v>193.0</v>
      </c>
      <c r="CT7" s="160">
        <v>195.0</v>
      </c>
      <c r="CU7" s="160">
        <v>197.0</v>
      </c>
      <c r="CV7" s="160">
        <v>199.0</v>
      </c>
      <c r="CW7" s="160">
        <v>201.0</v>
      </c>
      <c r="CX7" s="160">
        <v>203.0</v>
      </c>
      <c r="CY7" s="160">
        <v>205.0</v>
      </c>
      <c r="CZ7" s="160">
        <v>207.0</v>
      </c>
      <c r="DA7" s="160">
        <v>209.0</v>
      </c>
      <c r="DB7" s="160">
        <v>211.0</v>
      </c>
      <c r="DC7" s="160">
        <v>213.0</v>
      </c>
      <c r="DD7" s="160">
        <v>215.0</v>
      </c>
      <c r="DE7" s="160">
        <v>217.0</v>
      </c>
      <c r="DF7" s="160">
        <v>219.0</v>
      </c>
      <c r="DG7" s="160">
        <v>221.0</v>
      </c>
      <c r="DH7" s="160">
        <v>223.0</v>
      </c>
      <c r="DI7" s="160">
        <v>225.0</v>
      </c>
      <c r="DJ7" s="160">
        <v>227.0</v>
      </c>
      <c r="DK7" s="160">
        <v>229.0</v>
      </c>
      <c r="DL7" s="160">
        <v>231.0</v>
      </c>
      <c r="DM7" s="160">
        <v>233.0</v>
      </c>
      <c r="DN7" s="160">
        <v>235.0</v>
      </c>
      <c r="DO7" s="160">
        <v>237.0</v>
      </c>
      <c r="DP7" s="160">
        <v>239.0</v>
      </c>
      <c r="DQ7" s="160">
        <v>241.0</v>
      </c>
      <c r="DR7" s="160">
        <v>243.0</v>
      </c>
      <c r="DS7" s="160">
        <v>245.0</v>
      </c>
      <c r="DT7" s="160">
        <v>247.0</v>
      </c>
      <c r="DU7" s="160">
        <v>249.0</v>
      </c>
      <c r="DV7" s="160">
        <v>251.0</v>
      </c>
      <c r="DW7" s="160">
        <v>253.0</v>
      </c>
      <c r="DX7" s="160">
        <v>255.0</v>
      </c>
      <c r="DY7" s="160">
        <v>257.0</v>
      </c>
      <c r="DZ7" s="160">
        <v>259.0</v>
      </c>
      <c r="EA7" s="160">
        <v>261.0</v>
      </c>
      <c r="EB7" s="160">
        <v>263.0</v>
      </c>
      <c r="EC7" s="160">
        <v>265.0</v>
      </c>
      <c r="ED7" s="160">
        <v>267.0</v>
      </c>
      <c r="EE7" s="160">
        <v>269.0</v>
      </c>
      <c r="EF7" s="160">
        <v>271.0</v>
      </c>
      <c r="EG7" s="160">
        <v>273.0</v>
      </c>
      <c r="EH7" s="160">
        <v>275.0</v>
      </c>
      <c r="EI7" s="160">
        <v>277.0</v>
      </c>
      <c r="EJ7" s="160">
        <v>279.0</v>
      </c>
      <c r="EK7" s="160">
        <v>281.0</v>
      </c>
      <c r="EL7" s="160">
        <v>283.0</v>
      </c>
      <c r="EM7" s="160">
        <v>285.0</v>
      </c>
      <c r="EN7" s="160">
        <v>287.0</v>
      </c>
      <c r="EO7" s="160">
        <v>289.0</v>
      </c>
      <c r="EP7" s="160">
        <v>291.0</v>
      </c>
      <c r="EQ7" s="160">
        <v>293.0</v>
      </c>
      <c r="ER7" s="160">
        <v>295.0</v>
      </c>
      <c r="ES7" s="160">
        <v>297.0</v>
      </c>
      <c r="ET7" s="160">
        <v>299.0</v>
      </c>
      <c r="EU7" s="160">
        <v>301.0</v>
      </c>
      <c r="EV7" s="160">
        <v>303.0</v>
      </c>
      <c r="EW7" s="160">
        <v>305.0</v>
      </c>
      <c r="EX7" s="160">
        <v>307.0</v>
      </c>
      <c r="EY7" s="160">
        <v>309.0</v>
      </c>
      <c r="EZ7" s="160">
        <v>311.0</v>
      </c>
      <c r="FA7" s="160">
        <v>313.0</v>
      </c>
      <c r="FB7" s="160">
        <v>315.0</v>
      </c>
      <c r="FC7" s="160">
        <v>317.0</v>
      </c>
      <c r="FD7" s="160">
        <v>319.0</v>
      </c>
      <c r="FE7" s="160">
        <v>321.0</v>
      </c>
      <c r="FF7" s="160">
        <v>323.0</v>
      </c>
      <c r="FG7" s="160">
        <v>325.0</v>
      </c>
      <c r="FH7" s="160">
        <v>327.0</v>
      </c>
      <c r="FI7" s="160">
        <v>329.0</v>
      </c>
      <c r="FJ7" s="160">
        <v>331.0</v>
      </c>
      <c r="FK7" s="160">
        <v>333.0</v>
      </c>
      <c r="FL7" s="160">
        <v>335.0</v>
      </c>
      <c r="FM7" s="160">
        <v>337.0</v>
      </c>
      <c r="FN7" s="160">
        <v>339.0</v>
      </c>
      <c r="FO7" s="160">
        <v>341.0</v>
      </c>
      <c r="FP7" s="160">
        <v>343.0</v>
      </c>
      <c r="FQ7" s="160">
        <v>345.0</v>
      </c>
      <c r="FR7" s="160">
        <v>347.0</v>
      </c>
      <c r="FS7" s="160">
        <v>349.0</v>
      </c>
      <c r="FT7" s="160">
        <v>351.0</v>
      </c>
      <c r="FU7" s="160">
        <v>353.0</v>
      </c>
      <c r="FV7" s="160">
        <v>355.0</v>
      </c>
      <c r="FW7" s="160">
        <v>357.0</v>
      </c>
      <c r="FX7" s="160">
        <v>359.0</v>
      </c>
      <c r="FY7" s="160">
        <v>361.0</v>
      </c>
      <c r="FZ7" s="160">
        <v>363.0</v>
      </c>
      <c r="GA7" s="160">
        <v>365.0</v>
      </c>
      <c r="GB7" s="160">
        <v>367.0</v>
      </c>
      <c r="GC7" s="160">
        <v>369.0</v>
      </c>
      <c r="GD7" s="160">
        <v>371.0</v>
      </c>
      <c r="GE7" s="160">
        <v>373.0</v>
      </c>
      <c r="GF7" s="160">
        <v>375.0</v>
      </c>
      <c r="GG7" s="160">
        <v>377.0</v>
      </c>
      <c r="GH7" s="160">
        <v>379.0</v>
      </c>
      <c r="GI7" s="160">
        <v>381.0</v>
      </c>
      <c r="GJ7" s="160">
        <v>383.0</v>
      </c>
      <c r="GK7" s="160">
        <v>385.0</v>
      </c>
      <c r="GL7" s="160">
        <v>387.0</v>
      </c>
      <c r="GM7" s="160">
        <v>389.0</v>
      </c>
      <c r="GN7" s="160">
        <v>391.0</v>
      </c>
      <c r="GO7" s="160">
        <v>393.0</v>
      </c>
      <c r="GP7" s="160">
        <v>395.0</v>
      </c>
      <c r="GQ7" s="160">
        <v>397.0</v>
      </c>
      <c r="GR7" s="160">
        <v>399.0</v>
      </c>
      <c r="GS7" s="160">
        <v>401.0</v>
      </c>
      <c r="GT7" s="160">
        <v>403.0</v>
      </c>
      <c r="GU7" s="160">
        <v>405.0</v>
      </c>
      <c r="GV7" s="160">
        <v>407.0</v>
      </c>
      <c r="GW7" s="160">
        <v>409.0</v>
      </c>
      <c r="GX7" s="160">
        <v>411.0</v>
      </c>
      <c r="GY7" s="160">
        <v>413.0</v>
      </c>
      <c r="GZ7" s="160">
        <v>415.0</v>
      </c>
      <c r="HA7" s="160">
        <v>417.0</v>
      </c>
      <c r="HB7" s="160">
        <v>419.0</v>
      </c>
      <c r="HC7" s="160">
        <v>421.0</v>
      </c>
      <c r="HD7" s="160">
        <v>423.0</v>
      </c>
      <c r="HE7" s="160">
        <v>425.0</v>
      </c>
      <c r="HF7" s="160">
        <v>427.0</v>
      </c>
      <c r="HG7" s="160">
        <v>429.0</v>
      </c>
      <c r="HH7" s="160">
        <v>431.0</v>
      </c>
      <c r="HI7" s="160">
        <v>433.0</v>
      </c>
      <c r="HJ7" s="160">
        <v>435.0</v>
      </c>
      <c r="HK7" s="160">
        <v>437.0</v>
      </c>
      <c r="HL7" s="160">
        <v>439.0</v>
      </c>
      <c r="HM7" s="160">
        <v>441.0</v>
      </c>
      <c r="HN7" s="160">
        <v>443.0</v>
      </c>
      <c r="HO7" s="160">
        <v>445.0</v>
      </c>
      <c r="HP7" s="160">
        <v>447.0</v>
      </c>
      <c r="HQ7" s="160">
        <v>449.0</v>
      </c>
      <c r="HR7" s="160">
        <v>451.0</v>
      </c>
      <c r="HS7" s="160">
        <v>453.0</v>
      </c>
      <c r="HT7" s="160">
        <v>455.0</v>
      </c>
      <c r="HU7" s="160">
        <v>457.0</v>
      </c>
      <c r="HV7" s="160">
        <v>459.0</v>
      </c>
      <c r="HW7" s="160">
        <v>461.0</v>
      </c>
      <c r="HX7" s="160">
        <v>463.0</v>
      </c>
      <c r="HY7" s="160">
        <v>465.0</v>
      </c>
      <c r="HZ7" s="160">
        <v>467.0</v>
      </c>
      <c r="IA7" s="160">
        <v>469.0</v>
      </c>
      <c r="IB7" s="160">
        <v>471.0</v>
      </c>
      <c r="IC7" s="160">
        <v>473.0</v>
      </c>
      <c r="ID7" s="160">
        <v>475.0</v>
      </c>
      <c r="IE7" s="160">
        <v>477.0</v>
      </c>
      <c r="IF7" s="160">
        <v>479.0</v>
      </c>
      <c r="IG7" s="160">
        <v>481.0</v>
      </c>
      <c r="IH7" s="160">
        <v>483.0</v>
      </c>
      <c r="II7" s="160">
        <v>485.0</v>
      </c>
      <c r="IJ7" s="160">
        <v>487.0</v>
      </c>
      <c r="IK7" s="160">
        <v>489.0</v>
      </c>
      <c r="IL7" s="160">
        <v>491.0</v>
      </c>
      <c r="IM7" s="160">
        <v>493.0</v>
      </c>
      <c r="IN7" s="160">
        <v>495.0</v>
      </c>
      <c r="IO7" s="160">
        <v>497.0</v>
      </c>
      <c r="IP7" s="160">
        <v>499.0</v>
      </c>
      <c r="IQ7" s="160">
        <v>501.0</v>
      </c>
      <c r="IR7" s="160">
        <v>503.0</v>
      </c>
      <c r="IS7" s="160">
        <v>505.0</v>
      </c>
      <c r="IT7" s="160">
        <v>507.0</v>
      </c>
      <c r="IU7" s="160">
        <v>509.0</v>
      </c>
      <c r="IV7" s="160">
        <v>511.0</v>
      </c>
      <c r="IW7" s="160">
        <v>513.0</v>
      </c>
      <c r="IX7" s="160">
        <v>515.0</v>
      </c>
      <c r="IY7" s="160">
        <v>517.0</v>
      </c>
      <c r="IZ7" s="160">
        <v>519.0</v>
      </c>
      <c r="JA7" s="160">
        <v>521.0</v>
      </c>
      <c r="JB7" s="160">
        <v>523.0</v>
      </c>
      <c r="JC7" s="160">
        <v>525.0</v>
      </c>
      <c r="JD7" s="160">
        <v>527.0</v>
      </c>
      <c r="JE7" s="160">
        <v>529.0</v>
      </c>
      <c r="JF7" s="160">
        <v>531.0</v>
      </c>
      <c r="JG7" s="160">
        <v>533.0</v>
      </c>
      <c r="JH7" s="160">
        <v>535.0</v>
      </c>
      <c r="JI7" s="160">
        <v>537.0</v>
      </c>
      <c r="JJ7" s="160">
        <v>539.0</v>
      </c>
      <c r="JK7" s="160">
        <v>541.0</v>
      </c>
      <c r="JL7" s="160">
        <v>543.0</v>
      </c>
      <c r="JM7" s="160">
        <v>545.0</v>
      </c>
      <c r="JN7" s="160">
        <v>547.0</v>
      </c>
      <c r="JO7" s="160">
        <v>549.0</v>
      </c>
      <c r="JP7" s="160">
        <v>551.0</v>
      </c>
      <c r="JQ7" s="160">
        <v>553.0</v>
      </c>
      <c r="JR7" s="160">
        <v>555.0</v>
      </c>
      <c r="JS7" s="160">
        <v>557.0</v>
      </c>
      <c r="JT7" s="160">
        <v>559.0</v>
      </c>
      <c r="JU7" s="160">
        <v>561.0</v>
      </c>
      <c r="JV7" s="160">
        <v>563.0</v>
      </c>
      <c r="JW7" s="160">
        <v>565.0</v>
      </c>
      <c r="JX7" s="160">
        <v>567.0</v>
      </c>
      <c r="JY7" s="160">
        <v>569.0</v>
      </c>
      <c r="JZ7" s="160">
        <v>571.0</v>
      </c>
      <c r="KA7" s="160">
        <v>573.0</v>
      </c>
      <c r="KB7" s="160">
        <v>575.0</v>
      </c>
      <c r="KC7" s="160">
        <v>577.0</v>
      </c>
      <c r="KD7" s="160">
        <v>579.0</v>
      </c>
      <c r="KE7" s="160">
        <v>581.0</v>
      </c>
      <c r="KF7" s="160">
        <v>583.0</v>
      </c>
      <c r="KG7" s="160">
        <v>585.0</v>
      </c>
      <c r="KH7" s="160">
        <v>587.0</v>
      </c>
      <c r="KI7" s="160">
        <v>589.0</v>
      </c>
      <c r="KJ7" s="160">
        <v>591.0</v>
      </c>
      <c r="KK7" s="160">
        <v>593.0</v>
      </c>
      <c r="KL7" s="160">
        <v>595.0</v>
      </c>
      <c r="KM7" s="160">
        <v>597.0</v>
      </c>
      <c r="KN7" s="160">
        <v>599.0</v>
      </c>
      <c r="KO7" s="160">
        <v>601.0</v>
      </c>
      <c r="KP7" s="160">
        <v>603.0</v>
      </c>
      <c r="KQ7" s="160">
        <v>605.0</v>
      </c>
      <c r="KR7" s="160">
        <v>607.0</v>
      </c>
      <c r="KS7" s="160">
        <v>609.0</v>
      </c>
      <c r="KT7" s="160">
        <v>611.0</v>
      </c>
      <c r="KU7" s="160">
        <v>613.0</v>
      </c>
      <c r="KV7" s="160">
        <v>615.0</v>
      </c>
      <c r="KW7" s="160">
        <v>617.0</v>
      </c>
      <c r="KX7" s="160">
        <v>619.0</v>
      </c>
      <c r="KY7" s="160">
        <v>621.0</v>
      </c>
      <c r="KZ7" s="160">
        <v>623.0</v>
      </c>
      <c r="LA7" s="160">
        <v>625.0</v>
      </c>
      <c r="LB7" s="160">
        <v>627.0</v>
      </c>
      <c r="LC7" s="160">
        <v>629.0</v>
      </c>
      <c r="LD7" s="160">
        <v>631.0</v>
      </c>
      <c r="LE7" s="160">
        <v>633.0</v>
      </c>
      <c r="LF7" s="160">
        <v>635.0</v>
      </c>
      <c r="LG7" s="160">
        <v>637.0</v>
      </c>
      <c r="LH7" s="160">
        <v>639.0</v>
      </c>
      <c r="LI7" s="160">
        <v>641.0</v>
      </c>
      <c r="LJ7" s="160">
        <v>643.0</v>
      </c>
      <c r="LK7" s="160">
        <v>645.0</v>
      </c>
      <c r="LL7" s="160">
        <v>647.0</v>
      </c>
      <c r="LM7" s="160">
        <v>649.0</v>
      </c>
      <c r="LN7" s="160">
        <v>651.0</v>
      </c>
      <c r="LO7" s="160">
        <v>653.0</v>
      </c>
      <c r="LP7" s="160">
        <v>655.0</v>
      </c>
      <c r="LQ7" s="160">
        <v>657.0</v>
      </c>
      <c r="LR7" s="160">
        <v>659.0</v>
      </c>
      <c r="LS7" s="160">
        <v>661.0</v>
      </c>
      <c r="LT7" s="160">
        <v>663.0</v>
      </c>
      <c r="LU7" s="160">
        <v>665.0</v>
      </c>
      <c r="LV7" s="160">
        <v>667.0</v>
      </c>
      <c r="LW7" s="160">
        <v>669.0</v>
      </c>
      <c r="LX7" s="160">
        <v>671.0</v>
      </c>
      <c r="LY7" s="160">
        <v>673.0</v>
      </c>
      <c r="LZ7" s="160">
        <v>675.0</v>
      </c>
      <c r="MA7" s="160">
        <v>677.0</v>
      </c>
      <c r="MB7" s="160">
        <v>679.0</v>
      </c>
      <c r="MC7" s="160">
        <v>681.0</v>
      </c>
      <c r="MD7" s="160">
        <v>683.0</v>
      </c>
      <c r="ME7" s="160">
        <v>685.0</v>
      </c>
      <c r="MF7" s="160">
        <v>687.0</v>
      </c>
      <c r="MG7" s="160">
        <v>689.0</v>
      </c>
      <c r="MH7" s="160">
        <v>691.0</v>
      </c>
      <c r="MI7" s="160">
        <v>693.0</v>
      </c>
      <c r="MJ7" s="160">
        <v>695.0</v>
      </c>
      <c r="MK7" s="160">
        <v>697.0</v>
      </c>
      <c r="ML7" s="160">
        <v>699.0</v>
      </c>
      <c r="MM7" s="160">
        <v>701.0</v>
      </c>
      <c r="MN7" s="160">
        <v>703.0</v>
      </c>
      <c r="MO7" s="160">
        <v>705.0</v>
      </c>
      <c r="MP7" s="160">
        <v>707.0</v>
      </c>
      <c r="MQ7" s="160">
        <v>709.0</v>
      </c>
      <c r="MR7" s="160">
        <v>711.0</v>
      </c>
      <c r="MS7" s="160">
        <v>713.0</v>
      </c>
      <c r="MT7" s="160">
        <v>715.0</v>
      </c>
      <c r="MU7" s="160">
        <v>717.0</v>
      </c>
      <c r="MV7" s="160">
        <v>719.0</v>
      </c>
      <c r="MW7" s="160">
        <v>721.0</v>
      </c>
      <c r="MX7" s="160">
        <v>723.0</v>
      </c>
      <c r="MY7" s="160">
        <v>725.0</v>
      </c>
      <c r="MZ7" s="160">
        <v>727.0</v>
      </c>
      <c r="NA7" s="160">
        <v>729.0</v>
      </c>
      <c r="NB7" s="160">
        <v>731.0</v>
      </c>
      <c r="NC7" s="160">
        <v>733.0</v>
      </c>
      <c r="ND7" s="160">
        <v>735.0</v>
      </c>
      <c r="NE7" s="160">
        <v>737.0</v>
      </c>
      <c r="NF7" s="160">
        <v>739.0</v>
      </c>
      <c r="NG7" s="160">
        <v>741.0</v>
      </c>
      <c r="NH7" s="160">
        <v>743.0</v>
      </c>
      <c r="NI7" s="160">
        <v>745.0</v>
      </c>
      <c r="NJ7" s="160">
        <v>747.0</v>
      </c>
      <c r="NK7" s="160">
        <v>749.0</v>
      </c>
      <c r="NL7" s="160">
        <v>751.0</v>
      </c>
      <c r="NM7" s="160">
        <v>753.0</v>
      </c>
      <c r="NN7" s="160">
        <v>755.0</v>
      </c>
      <c r="NO7" s="160">
        <v>757.0</v>
      </c>
      <c r="NP7" s="160">
        <v>759.0</v>
      </c>
      <c r="NQ7" s="160">
        <v>761.0</v>
      </c>
      <c r="NR7" s="160">
        <v>763.0</v>
      </c>
      <c r="NS7" s="160">
        <v>765.0</v>
      </c>
      <c r="NT7" s="160">
        <v>767.0</v>
      </c>
      <c r="NU7" s="160">
        <v>769.0</v>
      </c>
      <c r="NV7" s="160">
        <v>771.0</v>
      </c>
      <c r="NW7" s="160">
        <v>773.0</v>
      </c>
      <c r="NX7" s="160">
        <v>775.0</v>
      </c>
      <c r="NY7" s="160">
        <v>777.0</v>
      </c>
      <c r="NZ7" s="160">
        <v>779.0</v>
      </c>
      <c r="OA7" s="160">
        <v>781.0</v>
      </c>
      <c r="OB7" s="160">
        <v>783.0</v>
      </c>
      <c r="OC7" s="160">
        <v>785.0</v>
      </c>
      <c r="OD7" s="160">
        <v>787.0</v>
      </c>
      <c r="OE7" s="160">
        <v>789.0</v>
      </c>
      <c r="OF7" s="160">
        <v>791.0</v>
      </c>
      <c r="OG7" s="160">
        <v>793.0</v>
      </c>
      <c r="OH7" s="160">
        <v>795.0</v>
      </c>
      <c r="OI7" s="160">
        <v>797.0</v>
      </c>
      <c r="OJ7" s="160">
        <v>799.0</v>
      </c>
      <c r="OK7" s="160">
        <v>801.0</v>
      </c>
      <c r="OL7" s="160">
        <v>803.0</v>
      </c>
      <c r="OM7" s="160">
        <v>805.0</v>
      </c>
      <c r="ON7" s="160">
        <v>807.0</v>
      </c>
      <c r="OO7" s="160">
        <v>809.0</v>
      </c>
      <c r="OP7" s="160">
        <v>811.0</v>
      </c>
      <c r="OQ7" s="160">
        <v>813.0</v>
      </c>
      <c r="OR7" s="160">
        <v>815.0</v>
      </c>
      <c r="OS7" s="160">
        <v>817.0</v>
      </c>
      <c r="OT7" s="160">
        <v>819.0</v>
      </c>
      <c r="OU7" s="160">
        <v>821.0</v>
      </c>
      <c r="OV7" s="160">
        <v>823.0</v>
      </c>
      <c r="OW7" s="160">
        <v>825.0</v>
      </c>
      <c r="OX7" s="160">
        <v>827.0</v>
      </c>
      <c r="OY7" s="160">
        <v>829.0</v>
      </c>
      <c r="OZ7" s="160">
        <v>831.0</v>
      </c>
      <c r="PA7" s="160">
        <v>833.0</v>
      </c>
      <c r="PB7" s="160">
        <v>835.0</v>
      </c>
      <c r="PC7" s="160">
        <v>837.0</v>
      </c>
      <c r="PD7" s="160">
        <v>839.0</v>
      </c>
      <c r="PE7" s="160">
        <v>841.0</v>
      </c>
      <c r="PF7" s="160">
        <v>843.0</v>
      </c>
      <c r="PG7" s="160">
        <v>845.0</v>
      </c>
      <c r="PH7" s="160">
        <v>847.0</v>
      </c>
      <c r="PI7" s="160">
        <v>849.0</v>
      </c>
      <c r="PJ7" s="160">
        <v>851.0</v>
      </c>
      <c r="PK7" s="160">
        <v>853.0</v>
      </c>
      <c r="PL7" s="160">
        <v>855.0</v>
      </c>
      <c r="PM7" s="160">
        <v>857.0</v>
      </c>
      <c r="PN7" s="160">
        <v>859.0</v>
      </c>
      <c r="PO7" s="160">
        <v>861.0</v>
      </c>
      <c r="PP7" s="160">
        <v>863.0</v>
      </c>
      <c r="PQ7" s="160">
        <v>865.0</v>
      </c>
      <c r="PR7" s="160">
        <v>867.0</v>
      </c>
      <c r="PS7" s="160">
        <v>869.0</v>
      </c>
      <c r="PT7" s="160">
        <v>871.0</v>
      </c>
      <c r="PU7" s="160">
        <v>873.0</v>
      </c>
      <c r="PV7" s="160">
        <v>875.0</v>
      </c>
      <c r="PW7" s="160">
        <v>877.0</v>
      </c>
      <c r="PX7" s="160">
        <v>879.0</v>
      </c>
      <c r="PY7" s="160">
        <v>881.0</v>
      </c>
      <c r="PZ7" s="160">
        <v>883.0</v>
      </c>
      <c r="QA7" s="160">
        <v>885.0</v>
      </c>
      <c r="QB7" s="160">
        <v>887.0</v>
      </c>
      <c r="QC7" s="160">
        <v>889.0</v>
      </c>
      <c r="QD7" s="160">
        <v>891.0</v>
      </c>
      <c r="QE7" s="160">
        <v>893.0</v>
      </c>
      <c r="QF7" s="160">
        <v>895.0</v>
      </c>
      <c r="QG7" s="160">
        <v>897.0</v>
      </c>
      <c r="QH7" s="160">
        <v>899.0</v>
      </c>
      <c r="QI7" s="160">
        <v>901.0</v>
      </c>
      <c r="QJ7" s="160">
        <v>903.0</v>
      </c>
      <c r="QK7" s="160">
        <v>905.0</v>
      </c>
      <c r="QL7" s="160">
        <v>907.0</v>
      </c>
      <c r="QM7" s="160">
        <v>909.0</v>
      </c>
      <c r="QN7" s="160">
        <v>911.0</v>
      </c>
      <c r="QO7" s="160">
        <v>913.0</v>
      </c>
      <c r="QP7" s="160">
        <v>915.0</v>
      </c>
      <c r="QQ7" s="160">
        <v>917.0</v>
      </c>
      <c r="QR7" s="160">
        <v>919.0</v>
      </c>
      <c r="QS7" s="160">
        <v>921.0</v>
      </c>
      <c r="QT7" s="160">
        <v>923.0</v>
      </c>
      <c r="QU7" s="160">
        <v>925.0</v>
      </c>
      <c r="QV7" s="160">
        <v>927.0</v>
      </c>
      <c r="QW7" s="160">
        <v>929.0</v>
      </c>
      <c r="QX7" s="160">
        <v>931.0</v>
      </c>
      <c r="QY7" s="160">
        <v>933.0</v>
      </c>
      <c r="QZ7" s="160">
        <v>935.0</v>
      </c>
      <c r="RA7" s="160">
        <v>937.0</v>
      </c>
      <c r="RB7" s="160">
        <v>939.0</v>
      </c>
      <c r="RC7" s="160">
        <v>941.0</v>
      </c>
      <c r="RD7" s="160">
        <v>943.0</v>
      </c>
      <c r="RE7" s="160">
        <v>945.0</v>
      </c>
      <c r="RF7" s="160">
        <v>947.0</v>
      </c>
      <c r="RG7" s="160">
        <v>949.0</v>
      </c>
      <c r="RH7" s="160">
        <v>951.0</v>
      </c>
      <c r="RI7" s="160">
        <v>953.0</v>
      </c>
      <c r="RJ7" s="160">
        <v>955.0</v>
      </c>
      <c r="RK7" s="160">
        <v>957.0</v>
      </c>
      <c r="RL7" s="160">
        <v>959.0</v>
      </c>
      <c r="RM7" s="160">
        <v>961.0</v>
      </c>
      <c r="RN7" s="160">
        <v>963.0</v>
      </c>
      <c r="RO7" s="160">
        <v>965.0</v>
      </c>
      <c r="RP7" s="160">
        <v>967.0</v>
      </c>
      <c r="RQ7" s="160">
        <v>969.0</v>
      </c>
      <c r="RR7" s="160">
        <v>971.0</v>
      </c>
      <c r="RS7" s="160">
        <v>973.0</v>
      </c>
      <c r="RT7" s="160">
        <v>975.0</v>
      </c>
      <c r="RU7" s="160">
        <v>977.0</v>
      </c>
      <c r="RV7" s="160">
        <v>979.0</v>
      </c>
      <c r="RW7" s="160">
        <v>981.0</v>
      </c>
      <c r="RX7" s="160">
        <v>983.0</v>
      </c>
      <c r="RY7" s="160">
        <v>985.0</v>
      </c>
      <c r="RZ7" s="160">
        <v>987.0</v>
      </c>
      <c r="SA7" s="160">
        <v>989.0</v>
      </c>
      <c r="SB7" s="160">
        <v>991.0</v>
      </c>
      <c r="SC7" s="160">
        <v>993.0</v>
      </c>
      <c r="SD7" s="160">
        <v>995.0</v>
      </c>
      <c r="SE7" s="160">
        <v>997.0</v>
      </c>
      <c r="SF7" s="160">
        <v>999.0</v>
      </c>
      <c r="SG7" s="160">
        <v>1001.0</v>
      </c>
      <c r="SH7" s="160">
        <v>1003.0</v>
      </c>
      <c r="SI7" s="160">
        <v>1005.0</v>
      </c>
      <c r="SJ7" s="160">
        <v>1007.0</v>
      </c>
      <c r="SK7" s="160">
        <v>1009.0</v>
      </c>
      <c r="SL7" s="160">
        <v>1011.0</v>
      </c>
      <c r="SM7" s="160">
        <v>1013.0</v>
      </c>
      <c r="SN7" s="160">
        <v>1015.0</v>
      </c>
      <c r="SO7" s="160">
        <v>1017.0</v>
      </c>
      <c r="SP7" s="160">
        <v>1019.0</v>
      </c>
      <c r="SQ7" s="160">
        <v>1021.0</v>
      </c>
      <c r="SR7" s="160">
        <v>1023.0</v>
      </c>
      <c r="SS7" s="160">
        <v>1025.0</v>
      </c>
      <c r="ST7" s="160">
        <v>1027.0</v>
      </c>
      <c r="SU7" s="160">
        <v>1029.0</v>
      </c>
      <c r="SV7" s="160">
        <v>1031.0</v>
      </c>
      <c r="SW7" s="160">
        <v>1033.0</v>
      </c>
      <c r="SX7" s="160">
        <v>1035.0</v>
      </c>
      <c r="SY7" s="160">
        <v>1037.0</v>
      </c>
      <c r="SZ7" s="160">
        <v>1039.0</v>
      </c>
      <c r="TA7" s="160">
        <v>1041.0</v>
      </c>
      <c r="TB7" s="160">
        <v>1043.0</v>
      </c>
      <c r="TC7" s="160">
        <v>1045.0</v>
      </c>
      <c r="TD7" s="160">
        <v>1047.0</v>
      </c>
      <c r="TE7" s="160">
        <v>1049.0</v>
      </c>
      <c r="TF7" s="160">
        <v>1051.0</v>
      </c>
      <c r="TG7" s="160">
        <v>1053.0</v>
      </c>
      <c r="TH7" s="160">
        <v>1055.0</v>
      </c>
      <c r="TI7" s="160">
        <v>1057.0</v>
      </c>
      <c r="TJ7" s="160">
        <v>1059.0</v>
      </c>
      <c r="TK7" s="160">
        <v>1061.0</v>
      </c>
      <c r="TL7" s="160">
        <v>1063.0</v>
      </c>
      <c r="TM7" s="160">
        <v>1065.0</v>
      </c>
      <c r="TN7" s="160">
        <v>1067.0</v>
      </c>
      <c r="TO7" s="160">
        <v>1069.0</v>
      </c>
      <c r="TP7" s="160">
        <v>1071.0</v>
      </c>
      <c r="TQ7" s="160">
        <v>1073.0</v>
      </c>
      <c r="TR7" s="160">
        <v>1075.0</v>
      </c>
      <c r="TS7" s="160">
        <v>1077.0</v>
      </c>
      <c r="TT7" s="160">
        <v>1079.0</v>
      </c>
      <c r="TU7" s="160">
        <v>1081.0</v>
      </c>
      <c r="TV7" s="160">
        <v>1083.0</v>
      </c>
      <c r="TW7" s="160">
        <v>1085.0</v>
      </c>
      <c r="TX7" s="160">
        <v>1087.0</v>
      </c>
      <c r="TY7" s="160">
        <v>1089.0</v>
      </c>
      <c r="TZ7" s="160">
        <v>1091.0</v>
      </c>
      <c r="UA7" s="160">
        <v>1093.0</v>
      </c>
      <c r="UB7" s="160">
        <v>1095.0</v>
      </c>
      <c r="UC7" s="160">
        <v>1097.0</v>
      </c>
      <c r="UD7" s="160">
        <v>1099.0</v>
      </c>
      <c r="UE7" s="160">
        <v>1101.0</v>
      </c>
      <c r="UF7" s="160">
        <v>1103.0</v>
      </c>
      <c r="UG7" s="160">
        <v>1105.0</v>
      </c>
      <c r="UH7" s="160">
        <v>1107.0</v>
      </c>
      <c r="UI7" s="160">
        <v>1109.0</v>
      </c>
      <c r="UJ7" s="160">
        <v>1111.0</v>
      </c>
      <c r="UK7" s="160">
        <v>1113.0</v>
      </c>
      <c r="UL7" s="160">
        <v>1115.0</v>
      </c>
      <c r="UM7" s="160">
        <v>1117.0</v>
      </c>
      <c r="UN7" s="160">
        <v>1119.0</v>
      </c>
      <c r="UO7" s="160">
        <v>1121.0</v>
      </c>
      <c r="UP7" s="160">
        <v>1123.0</v>
      </c>
      <c r="UQ7" s="160">
        <v>1125.0</v>
      </c>
      <c r="UR7" s="160">
        <v>1127.0</v>
      </c>
      <c r="US7" s="160">
        <v>1129.0</v>
      </c>
      <c r="UT7" s="160">
        <v>1131.0</v>
      </c>
      <c r="UU7" s="160">
        <v>1133.0</v>
      </c>
      <c r="UV7" s="160">
        <v>1135.0</v>
      </c>
      <c r="UW7" s="160">
        <v>1137.0</v>
      </c>
      <c r="UX7" s="160">
        <v>1139.0</v>
      </c>
      <c r="UY7" s="160">
        <v>1141.0</v>
      </c>
      <c r="UZ7" s="160">
        <v>1143.0</v>
      </c>
      <c r="VA7" s="160">
        <v>1145.0</v>
      </c>
      <c r="VB7" s="160">
        <v>1147.0</v>
      </c>
      <c r="VC7" s="160">
        <v>1149.0</v>
      </c>
      <c r="VD7" s="160">
        <v>1151.0</v>
      </c>
      <c r="VE7" s="160">
        <v>1153.0</v>
      </c>
      <c r="VF7" s="160">
        <v>1155.0</v>
      </c>
      <c r="VG7" s="160">
        <v>1157.0</v>
      </c>
      <c r="VH7" s="160">
        <v>1159.0</v>
      </c>
      <c r="VI7" s="160">
        <v>1161.0</v>
      </c>
      <c r="VJ7" s="160">
        <v>1163.0</v>
      </c>
      <c r="VK7" s="160">
        <v>1165.0</v>
      </c>
      <c r="VL7" s="160">
        <v>1167.0</v>
      </c>
      <c r="VM7" s="160">
        <v>1169.0</v>
      </c>
      <c r="VN7" s="160">
        <v>1171.0</v>
      </c>
      <c r="VO7" s="160">
        <v>1173.0</v>
      </c>
      <c r="VP7" s="160">
        <v>1175.0</v>
      </c>
      <c r="VQ7" s="160">
        <v>1177.0</v>
      </c>
      <c r="VR7" s="160">
        <v>1179.0</v>
      </c>
      <c r="VS7" s="160">
        <v>1181.0</v>
      </c>
      <c r="VT7" s="160">
        <v>1183.0</v>
      </c>
      <c r="VU7" s="160">
        <v>1185.0</v>
      </c>
      <c r="VV7" s="160">
        <v>1187.0</v>
      </c>
      <c r="VW7" s="160">
        <v>1189.0</v>
      </c>
      <c r="VX7" s="160">
        <v>1191.0</v>
      </c>
      <c r="VY7" s="160">
        <v>1193.0</v>
      </c>
      <c r="VZ7" s="160">
        <v>1195.0</v>
      </c>
      <c r="WA7" s="160">
        <v>1197.0</v>
      </c>
      <c r="WB7" s="160">
        <v>1199.0</v>
      </c>
      <c r="WC7" s="160">
        <v>1201.0</v>
      </c>
      <c r="WD7" s="160">
        <v>1203.0</v>
      </c>
      <c r="WE7" s="160">
        <v>1205.0</v>
      </c>
      <c r="WF7" s="160">
        <v>1207.0</v>
      </c>
      <c r="WG7" s="160">
        <v>1209.0</v>
      </c>
      <c r="WH7" s="160">
        <v>1211.0</v>
      </c>
      <c r="WI7" s="160">
        <v>1213.0</v>
      </c>
      <c r="WJ7" s="160">
        <v>1215.0</v>
      </c>
      <c r="WK7" s="160">
        <v>1217.0</v>
      </c>
      <c r="WL7" s="160">
        <v>1219.0</v>
      </c>
      <c r="WM7" s="160">
        <v>1221.0</v>
      </c>
      <c r="WN7" s="160">
        <v>1223.0</v>
      </c>
      <c r="WO7" s="160">
        <v>1225.0</v>
      </c>
      <c r="WP7" s="160">
        <v>1227.0</v>
      </c>
      <c r="WQ7" s="160">
        <v>1229.0</v>
      </c>
      <c r="WR7" s="160">
        <v>1231.0</v>
      </c>
      <c r="WS7" s="160">
        <v>1233.0</v>
      </c>
      <c r="WT7" s="160">
        <v>1235.0</v>
      </c>
      <c r="WU7" s="160">
        <v>1237.0</v>
      </c>
      <c r="WV7" s="160">
        <v>1239.0</v>
      </c>
      <c r="WW7" s="160">
        <v>1241.0</v>
      </c>
      <c r="WX7" s="160">
        <v>1243.0</v>
      </c>
      <c r="WY7" s="160">
        <v>1245.0</v>
      </c>
      <c r="WZ7" s="160">
        <v>1247.0</v>
      </c>
      <c r="XA7" s="160">
        <v>1249.0</v>
      </c>
      <c r="XB7" s="160">
        <v>1251.0</v>
      </c>
      <c r="XC7" s="160">
        <v>1253.0</v>
      </c>
      <c r="XD7" s="160">
        <v>1255.0</v>
      </c>
      <c r="XE7" s="160">
        <v>1257.0</v>
      </c>
      <c r="XF7" s="160">
        <v>1259.0</v>
      </c>
      <c r="XG7" s="160">
        <v>1261.0</v>
      </c>
      <c r="XH7" s="160">
        <v>1263.0</v>
      </c>
      <c r="XI7" s="160">
        <v>1265.0</v>
      </c>
      <c r="XJ7" s="160">
        <v>1267.0</v>
      </c>
      <c r="XK7" s="160">
        <v>1269.0</v>
      </c>
      <c r="XL7" s="160">
        <v>1271.0</v>
      </c>
      <c r="XM7" s="160">
        <v>1273.0</v>
      </c>
      <c r="XN7" s="160">
        <v>1275.0</v>
      </c>
      <c r="XO7" s="160">
        <v>1277.0</v>
      </c>
      <c r="XP7" s="160">
        <v>1279.0</v>
      </c>
      <c r="XQ7" s="160">
        <v>1281.0</v>
      </c>
      <c r="XR7" s="160">
        <v>1283.0</v>
      </c>
      <c r="XS7" s="160">
        <v>1285.0</v>
      </c>
      <c r="XT7" s="160">
        <v>1287.0</v>
      </c>
      <c r="XU7" s="160">
        <v>1289.0</v>
      </c>
      <c r="XV7" s="160">
        <v>1291.0</v>
      </c>
      <c r="XW7" s="160">
        <v>1293.0</v>
      </c>
      <c r="XX7" s="160">
        <v>1295.0</v>
      </c>
      <c r="XY7" s="160">
        <v>1297.0</v>
      </c>
      <c r="XZ7" s="160">
        <v>1299.0</v>
      </c>
      <c r="YA7" s="160">
        <v>1301.0</v>
      </c>
      <c r="YB7" s="160">
        <v>1303.0</v>
      </c>
      <c r="YC7" s="160">
        <v>1305.0</v>
      </c>
      <c r="YD7" s="160">
        <v>1307.0</v>
      </c>
      <c r="YE7" s="160">
        <v>1309.0</v>
      </c>
      <c r="YF7" s="160">
        <v>1311.0</v>
      </c>
      <c r="YG7" s="160">
        <v>1313.0</v>
      </c>
      <c r="YH7" s="160">
        <v>1315.0</v>
      </c>
      <c r="YI7" s="160">
        <v>1317.0</v>
      </c>
      <c r="YJ7" s="160">
        <v>1319.0</v>
      </c>
      <c r="YK7" s="160">
        <v>1321.0</v>
      </c>
      <c r="YL7" s="160">
        <v>1323.0</v>
      </c>
      <c r="YM7" s="160">
        <v>1325.0</v>
      </c>
      <c r="YN7" s="160">
        <v>1327.0</v>
      </c>
      <c r="YO7" s="160">
        <v>1329.0</v>
      </c>
      <c r="YP7" s="160">
        <v>1331.0</v>
      </c>
      <c r="YQ7" s="160">
        <v>1333.0</v>
      </c>
      <c r="YR7" s="160">
        <v>1335.0</v>
      </c>
      <c r="YS7" s="160">
        <v>1337.0</v>
      </c>
      <c r="YT7" s="160">
        <v>1339.0</v>
      </c>
      <c r="YU7" s="160">
        <v>1341.0</v>
      </c>
      <c r="YV7" s="160">
        <v>1343.0</v>
      </c>
      <c r="YW7" s="160">
        <v>1345.0</v>
      </c>
      <c r="YX7" s="160">
        <v>1347.0</v>
      </c>
      <c r="YY7" s="160">
        <v>1349.0</v>
      </c>
      <c r="YZ7" s="160">
        <v>1351.0</v>
      </c>
      <c r="ZA7" s="160">
        <v>1353.0</v>
      </c>
      <c r="ZB7" s="160">
        <v>1355.0</v>
      </c>
      <c r="ZC7" s="160">
        <v>1357.0</v>
      </c>
      <c r="ZD7" s="160">
        <v>1359.0</v>
      </c>
      <c r="ZE7" s="160">
        <v>1361.0</v>
      </c>
      <c r="ZF7" s="160">
        <v>1363.0</v>
      </c>
      <c r="ZG7" s="160">
        <v>1365.0</v>
      </c>
      <c r="ZH7" s="160">
        <v>1367.0</v>
      </c>
      <c r="ZI7" s="160">
        <v>1369.0</v>
      </c>
      <c r="ZJ7" s="160">
        <v>1371.0</v>
      </c>
      <c r="ZK7" s="160">
        <v>1373.0</v>
      </c>
      <c r="ZL7" s="160">
        <v>1375.0</v>
      </c>
      <c r="ZM7" s="160">
        <v>1377.0</v>
      </c>
      <c r="ZN7" s="160">
        <v>1379.0</v>
      </c>
      <c r="ZO7" s="160">
        <v>1381.0</v>
      </c>
      <c r="ZP7" s="160">
        <v>1383.0</v>
      </c>
      <c r="ZQ7" s="160">
        <v>1385.0</v>
      </c>
      <c r="ZR7" s="160">
        <v>1387.0</v>
      </c>
      <c r="ZS7" s="160">
        <v>1389.0</v>
      </c>
      <c r="ZT7" s="160">
        <v>1391.0</v>
      </c>
      <c r="ZU7" s="160">
        <v>1393.0</v>
      </c>
      <c r="ZV7" s="160">
        <v>1395.0</v>
      </c>
      <c r="ZW7" s="160">
        <v>1397.0</v>
      </c>
      <c r="ZX7" s="160">
        <v>1399.0</v>
      </c>
      <c r="ZY7" s="160">
        <v>1401.0</v>
      </c>
      <c r="ZZ7" s="160">
        <v>1403.0</v>
      </c>
      <c r="AAA7" s="160">
        <v>1405.0</v>
      </c>
      <c r="AAB7" s="160">
        <v>1407.0</v>
      </c>
      <c r="AAC7" s="160">
        <v>1409.0</v>
      </c>
      <c r="AAD7" s="160">
        <v>1411.0</v>
      </c>
      <c r="AAE7" s="160">
        <v>1413.0</v>
      </c>
      <c r="AAF7" s="160">
        <v>1415.0</v>
      </c>
      <c r="AAG7" s="160">
        <v>1417.0</v>
      </c>
      <c r="AAH7" s="160">
        <v>1419.0</v>
      </c>
      <c r="AAI7" s="160">
        <v>1421.0</v>
      </c>
      <c r="AAJ7" s="160">
        <v>1423.0</v>
      </c>
      <c r="AAK7" s="160">
        <v>1425.0</v>
      </c>
      <c r="AAL7" s="160">
        <v>1427.0</v>
      </c>
      <c r="AAM7" s="160">
        <v>1429.0</v>
      </c>
      <c r="AAN7" s="160">
        <v>1431.0</v>
      </c>
      <c r="AAO7" s="160">
        <v>1433.0</v>
      </c>
      <c r="AAP7" s="160">
        <v>1435.0</v>
      </c>
      <c r="AAQ7" s="160">
        <v>1437.0</v>
      </c>
      <c r="AAR7" s="160">
        <v>1439.0</v>
      </c>
      <c r="AAS7" s="160">
        <v>1441.0</v>
      </c>
      <c r="AAT7" s="160">
        <v>1443.0</v>
      </c>
      <c r="AAU7" s="160">
        <v>1445.0</v>
      </c>
      <c r="AAV7" s="160">
        <v>1447.0</v>
      </c>
      <c r="AAW7" s="160">
        <v>1449.0</v>
      </c>
      <c r="AAX7" s="160">
        <v>1451.0</v>
      </c>
      <c r="AAY7" s="160">
        <v>1453.0</v>
      </c>
      <c r="AAZ7" s="160">
        <v>1455.0</v>
      </c>
      <c r="ABA7" s="160">
        <v>1457.0</v>
      </c>
      <c r="ABB7" s="160">
        <v>1459.0</v>
      </c>
      <c r="ABC7" s="160">
        <v>1461.0</v>
      </c>
      <c r="ABD7" s="160">
        <v>1463.0</v>
      </c>
      <c r="ABE7" s="160">
        <v>1465.0</v>
      </c>
      <c r="ABF7" s="160">
        <v>1467.0</v>
      </c>
      <c r="ABG7" s="160">
        <v>1469.0</v>
      </c>
      <c r="ABH7" s="160">
        <v>1471.0</v>
      </c>
      <c r="ABI7" s="160">
        <v>1473.0</v>
      </c>
      <c r="ABJ7" s="160">
        <v>1475.0</v>
      </c>
      <c r="ABK7" s="160">
        <v>1477.0</v>
      </c>
      <c r="ABL7" s="160">
        <v>1479.0</v>
      </c>
      <c r="ABM7" s="160">
        <v>1481.0</v>
      </c>
      <c r="ABN7" s="160">
        <v>1483.0</v>
      </c>
      <c r="ABO7" s="160">
        <v>1485.0</v>
      </c>
      <c r="ABP7" s="160">
        <v>1487.0</v>
      </c>
      <c r="ABQ7" s="160">
        <v>1489.0</v>
      </c>
      <c r="ABR7" s="160">
        <v>1491.0</v>
      </c>
      <c r="ABS7" s="160">
        <v>1493.0</v>
      </c>
      <c r="ABT7" s="160">
        <v>1495.0</v>
      </c>
      <c r="ABU7" s="160">
        <v>1497.0</v>
      </c>
      <c r="ABV7" s="160">
        <v>1499.0</v>
      </c>
      <c r="ABW7" s="160">
        <v>1501.0</v>
      </c>
      <c r="ABX7" s="160">
        <v>1503.0</v>
      </c>
      <c r="ABY7" s="160">
        <v>1505.0</v>
      </c>
      <c r="ABZ7" s="160">
        <v>1507.0</v>
      </c>
      <c r="ACA7" s="160">
        <v>1509.0</v>
      </c>
      <c r="ACB7" s="160">
        <v>1511.0</v>
      </c>
      <c r="ACC7" s="160">
        <v>1513.0</v>
      </c>
      <c r="ACD7" s="160">
        <v>1515.0</v>
      </c>
      <c r="ACE7" s="160">
        <v>1517.0</v>
      </c>
      <c r="ACF7" s="160">
        <v>1519.0</v>
      </c>
      <c r="ACG7" s="160">
        <v>1521.0</v>
      </c>
      <c r="ACH7" s="160">
        <v>1523.0</v>
      </c>
      <c r="ACI7" s="160">
        <v>1525.0</v>
      </c>
      <c r="ACJ7" s="160">
        <v>1527.0</v>
      </c>
      <c r="ACK7" s="160">
        <v>1529.0</v>
      </c>
      <c r="ACL7" s="160">
        <v>1531.0</v>
      </c>
      <c r="ACM7" s="160">
        <v>1533.0</v>
      </c>
      <c r="ACN7" s="160">
        <v>1535.0</v>
      </c>
      <c r="ACO7" s="160">
        <v>1537.0</v>
      </c>
      <c r="ACP7" s="160">
        <v>1539.0</v>
      </c>
      <c r="ACQ7" s="160">
        <v>1541.0</v>
      </c>
      <c r="ACR7" s="160">
        <v>1543.0</v>
      </c>
      <c r="ACS7" s="160">
        <v>1545.0</v>
      </c>
      <c r="ACT7" s="160">
        <v>1547.0</v>
      </c>
      <c r="ACU7" s="160">
        <v>1549.0</v>
      </c>
      <c r="ACV7" s="160">
        <v>1551.0</v>
      </c>
      <c r="ACW7" s="160">
        <v>1553.0</v>
      </c>
      <c r="ACX7" s="160">
        <v>1555.0</v>
      </c>
      <c r="ACY7" s="160">
        <v>1557.0</v>
      </c>
      <c r="ACZ7" s="160">
        <v>1559.0</v>
      </c>
      <c r="ADA7" s="160">
        <v>1561.0</v>
      </c>
      <c r="ADB7" s="160">
        <v>1563.0</v>
      </c>
      <c r="ADC7" s="160">
        <v>1565.0</v>
      </c>
      <c r="ADD7" s="160">
        <v>1567.0</v>
      </c>
      <c r="ADE7" s="160">
        <v>1569.0</v>
      </c>
      <c r="ADF7" s="160">
        <v>1571.0</v>
      </c>
      <c r="ADG7" s="160">
        <v>1573.0</v>
      </c>
      <c r="ADH7" s="160">
        <v>1575.0</v>
      </c>
      <c r="ADI7" s="160">
        <v>1577.0</v>
      </c>
      <c r="ADJ7" s="160">
        <v>1579.0</v>
      </c>
      <c r="ADK7" s="160">
        <v>1581.0</v>
      </c>
      <c r="ADL7" s="160">
        <v>1583.0</v>
      </c>
      <c r="ADM7" s="160">
        <v>1585.0</v>
      </c>
      <c r="ADN7" s="160">
        <v>1587.0</v>
      </c>
      <c r="ADO7" s="160">
        <v>1589.0</v>
      </c>
      <c r="ADP7" s="160">
        <v>1591.0</v>
      </c>
      <c r="ADQ7" s="160">
        <v>1593.0</v>
      </c>
      <c r="ADR7" s="160">
        <v>1595.0</v>
      </c>
      <c r="ADS7" s="160">
        <v>1597.0</v>
      </c>
      <c r="ADT7" s="160">
        <v>1599.0</v>
      </c>
      <c r="ADU7" s="160">
        <v>1601.0</v>
      </c>
      <c r="ADV7" s="160">
        <v>1603.0</v>
      </c>
      <c r="ADW7" s="160">
        <v>1605.0</v>
      </c>
      <c r="ADX7" s="160">
        <v>1607.0</v>
      </c>
      <c r="ADY7" s="160">
        <v>1609.0</v>
      </c>
      <c r="ADZ7" s="160">
        <v>1611.0</v>
      </c>
      <c r="AEA7" s="160">
        <v>1613.0</v>
      </c>
      <c r="AEB7" s="160">
        <v>1615.0</v>
      </c>
      <c r="AEC7" s="160">
        <v>1617.0</v>
      </c>
      <c r="AED7" s="160">
        <v>1619.0</v>
      </c>
      <c r="AEE7" s="160">
        <v>1621.0</v>
      </c>
      <c r="AEF7" s="160">
        <v>1623.0</v>
      </c>
      <c r="AEG7" s="160">
        <v>1625.0</v>
      </c>
      <c r="AEH7" s="160">
        <v>1627.0</v>
      </c>
      <c r="AEI7" s="160">
        <v>1629.0</v>
      </c>
      <c r="AEJ7" s="160">
        <v>1631.0</v>
      </c>
      <c r="AEK7" s="160">
        <v>1633.0</v>
      </c>
      <c r="AEL7" s="160">
        <v>1635.0</v>
      </c>
      <c r="AEM7" s="160">
        <v>1637.0</v>
      </c>
      <c r="AEN7" s="160">
        <v>1639.0</v>
      </c>
      <c r="AEO7" s="160">
        <v>1641.0</v>
      </c>
      <c r="AEP7" s="160">
        <v>1643.0</v>
      </c>
      <c r="AEQ7" s="160">
        <v>1645.0</v>
      </c>
      <c r="AER7" s="160">
        <v>1647.0</v>
      </c>
      <c r="AES7" s="160">
        <v>1649.0</v>
      </c>
      <c r="AET7" s="160">
        <v>1651.0</v>
      </c>
      <c r="AEU7" s="160">
        <v>1653.0</v>
      </c>
      <c r="AEV7" s="160">
        <v>1655.0</v>
      </c>
      <c r="AEW7" s="160">
        <v>1657.0</v>
      </c>
      <c r="AEX7" s="160">
        <v>1659.0</v>
      </c>
      <c r="AEY7" s="160">
        <v>1661.0</v>
      </c>
      <c r="AEZ7" s="160">
        <v>1663.0</v>
      </c>
      <c r="AFA7" s="160">
        <v>1665.0</v>
      </c>
      <c r="AFB7" s="160">
        <v>1667.0</v>
      </c>
      <c r="AFC7" s="160">
        <v>1669.0</v>
      </c>
      <c r="AFD7" s="160">
        <v>1671.0</v>
      </c>
      <c r="AFE7" s="160">
        <v>1673.0</v>
      </c>
      <c r="AFF7" s="160">
        <v>1675.0</v>
      </c>
      <c r="AFG7" s="160">
        <v>1677.0</v>
      </c>
      <c r="AFH7" s="160">
        <v>1679.0</v>
      </c>
      <c r="AFI7" s="160">
        <v>1681.0</v>
      </c>
      <c r="AFJ7" s="160">
        <v>1683.0</v>
      </c>
      <c r="AFK7" s="160">
        <v>1685.0</v>
      </c>
      <c r="AFL7" s="160">
        <v>1687.0</v>
      </c>
      <c r="AFM7" s="160">
        <v>1689.0</v>
      </c>
      <c r="AFN7" s="160">
        <v>1691.0</v>
      </c>
      <c r="AFO7" s="160">
        <v>1693.0</v>
      </c>
      <c r="AFP7" s="160">
        <v>1695.0</v>
      </c>
      <c r="AFQ7" s="160">
        <v>1697.0</v>
      </c>
      <c r="AFR7" s="160">
        <v>1699.0</v>
      </c>
      <c r="AFS7" s="160">
        <v>1701.0</v>
      </c>
      <c r="AFT7" s="160">
        <v>1703.0</v>
      </c>
      <c r="AFU7" s="160">
        <v>1705.0</v>
      </c>
      <c r="AFV7" s="160">
        <v>1707.0</v>
      </c>
      <c r="AFW7" s="160">
        <v>1709.0</v>
      </c>
      <c r="AFX7" s="160">
        <v>1711.0</v>
      </c>
      <c r="AFY7" s="160">
        <v>1713.0</v>
      </c>
      <c r="AFZ7" s="160">
        <v>1715.0</v>
      </c>
      <c r="AGA7" s="160">
        <v>1717.0</v>
      </c>
      <c r="AGB7" s="160">
        <v>1719.0</v>
      </c>
      <c r="AGC7" s="160">
        <v>1721.0</v>
      </c>
      <c r="AGD7" s="160">
        <v>1723.0</v>
      </c>
      <c r="AGE7" s="160">
        <v>1725.0</v>
      </c>
      <c r="AGF7" s="160">
        <v>1727.0</v>
      </c>
      <c r="AGG7" s="160">
        <v>1729.0</v>
      </c>
      <c r="AGH7" s="160">
        <v>1731.0</v>
      </c>
      <c r="AGI7" s="160">
        <v>1733.0</v>
      </c>
      <c r="AGJ7" s="160">
        <v>1735.0</v>
      </c>
      <c r="AGK7" s="160">
        <v>1737.0</v>
      </c>
      <c r="AGL7" s="160">
        <v>1739.0</v>
      </c>
      <c r="AGM7" s="160">
        <v>1741.0</v>
      </c>
      <c r="AGN7" s="160">
        <v>1743.0</v>
      </c>
      <c r="AGO7" s="160">
        <v>1745.0</v>
      </c>
      <c r="AGP7" s="160">
        <v>1747.0</v>
      </c>
      <c r="AGQ7" s="160">
        <v>1749.0</v>
      </c>
      <c r="AGR7" s="160">
        <v>1751.0</v>
      </c>
      <c r="AGS7" s="160">
        <v>1753.0</v>
      </c>
      <c r="AGT7" s="160">
        <v>1755.0</v>
      </c>
      <c r="AGU7" s="160">
        <v>1757.0</v>
      </c>
      <c r="AGV7" s="160">
        <v>1759.0</v>
      </c>
      <c r="AGW7" s="160">
        <v>1761.0</v>
      </c>
      <c r="AGX7" s="160">
        <v>1763.0</v>
      </c>
      <c r="AGY7" s="160">
        <v>1765.0</v>
      </c>
      <c r="AGZ7" s="160">
        <v>1767.0</v>
      </c>
      <c r="AHA7" s="160">
        <v>1769.0</v>
      </c>
      <c r="AHB7" s="160">
        <v>1771.0</v>
      </c>
      <c r="AHC7" s="160">
        <v>1773.0</v>
      </c>
      <c r="AHD7" s="160">
        <v>1775.0</v>
      </c>
      <c r="AHE7" s="160">
        <v>1777.0</v>
      </c>
      <c r="AHF7" s="160">
        <v>1779.0</v>
      </c>
      <c r="AHG7" s="160">
        <v>1781.0</v>
      </c>
      <c r="AHH7" s="160">
        <v>1783.0</v>
      </c>
      <c r="AHI7" s="160">
        <v>1785.0</v>
      </c>
      <c r="AHJ7" s="160">
        <v>1787.0</v>
      </c>
      <c r="AHK7" s="160">
        <v>1789.0</v>
      </c>
      <c r="AHL7" s="160">
        <v>1791.0</v>
      </c>
      <c r="AHM7" s="160">
        <v>1793.0</v>
      </c>
      <c r="AHN7" s="160">
        <v>1795.0</v>
      </c>
      <c r="AHO7" s="160">
        <v>1797.0</v>
      </c>
      <c r="AHP7" s="160">
        <v>1799.0</v>
      </c>
      <c r="AHQ7" s="160">
        <v>1801.0</v>
      </c>
      <c r="AHR7" s="160">
        <v>1803.0</v>
      </c>
      <c r="AHS7" s="160">
        <v>1805.0</v>
      </c>
      <c r="AHT7" s="160">
        <v>1807.0</v>
      </c>
      <c r="AHU7" s="160">
        <v>1809.0</v>
      </c>
      <c r="AHV7" s="160">
        <v>1811.0</v>
      </c>
      <c r="AHW7" s="160">
        <v>1813.0</v>
      </c>
      <c r="AHX7" s="160">
        <v>1815.0</v>
      </c>
      <c r="AHY7" s="160">
        <v>1817.0</v>
      </c>
      <c r="AHZ7" s="160">
        <v>1819.0</v>
      </c>
      <c r="AIA7" s="160">
        <v>1821.0</v>
      </c>
      <c r="AIB7" s="160">
        <v>1823.0</v>
      </c>
      <c r="AIC7" s="160">
        <v>1825.0</v>
      </c>
      <c r="AID7" s="160">
        <v>1827.0</v>
      </c>
      <c r="AIE7" s="160">
        <v>1829.0</v>
      </c>
      <c r="AIF7" s="160">
        <v>1831.0</v>
      </c>
      <c r="AIG7" s="160">
        <v>1833.0</v>
      </c>
      <c r="AIH7" s="160">
        <v>1835.0</v>
      </c>
      <c r="AII7" s="160">
        <v>1837.0</v>
      </c>
      <c r="AIJ7" s="160">
        <v>1839.0</v>
      </c>
      <c r="AIK7" s="160">
        <v>1841.0</v>
      </c>
      <c r="AIL7" s="160">
        <v>1843.0</v>
      </c>
      <c r="AIM7" s="160">
        <v>1845.0</v>
      </c>
      <c r="AIN7" s="160">
        <v>1847.0</v>
      </c>
      <c r="AIO7" s="160">
        <v>1849.0</v>
      </c>
      <c r="AIP7" s="160">
        <v>1851.0</v>
      </c>
      <c r="AIQ7" s="160">
        <v>1853.0</v>
      </c>
      <c r="AIR7" s="160">
        <v>1855.0</v>
      </c>
      <c r="AIS7" s="160">
        <v>1857.0</v>
      </c>
      <c r="AIT7" s="160">
        <v>1859.0</v>
      </c>
      <c r="AIU7" s="160">
        <v>1861.0</v>
      </c>
      <c r="AIV7" s="160">
        <v>1863.0</v>
      </c>
      <c r="AIW7" s="160">
        <v>1865.0</v>
      </c>
      <c r="AIX7" s="160">
        <v>1867.0</v>
      </c>
      <c r="AIY7" s="160">
        <v>1869.0</v>
      </c>
      <c r="AIZ7" s="160">
        <v>1871.0</v>
      </c>
      <c r="AJA7" s="160">
        <v>1873.0</v>
      </c>
      <c r="AJB7" s="160">
        <v>1875.0</v>
      </c>
      <c r="AJC7" s="160">
        <v>1877.0</v>
      </c>
      <c r="AJD7" s="160">
        <v>1879.0</v>
      </c>
      <c r="AJE7" s="160">
        <v>1881.0</v>
      </c>
      <c r="AJF7" s="160">
        <v>1883.0</v>
      </c>
      <c r="AJG7" s="160">
        <v>1885.0</v>
      </c>
      <c r="AJH7" s="160">
        <v>1887.0</v>
      </c>
      <c r="AJI7" s="160">
        <v>1889.0</v>
      </c>
      <c r="AJJ7" s="160">
        <v>1891.0</v>
      </c>
      <c r="AJK7" s="160">
        <v>1893.0</v>
      </c>
      <c r="AJL7" s="160">
        <v>1895.0</v>
      </c>
      <c r="AJM7" s="160">
        <v>1897.0</v>
      </c>
      <c r="AJN7" s="160">
        <v>1899.0</v>
      </c>
      <c r="AJO7" s="160">
        <v>1901.0</v>
      </c>
      <c r="AJP7" s="160">
        <v>1903.0</v>
      </c>
      <c r="AJQ7" s="160">
        <v>1905.0</v>
      </c>
      <c r="AJR7" s="160">
        <v>1907.0</v>
      </c>
      <c r="AJS7" s="160">
        <v>1909.0</v>
      </c>
      <c r="AJT7" s="160">
        <v>1911.0</v>
      </c>
      <c r="AJU7" s="160">
        <v>1913.0</v>
      </c>
      <c r="AJV7" s="160">
        <v>1915.0</v>
      </c>
      <c r="AJW7" s="160">
        <v>1917.0</v>
      </c>
      <c r="AJX7" s="160">
        <v>1919.0</v>
      </c>
      <c r="AJY7" s="160">
        <v>1921.0</v>
      </c>
      <c r="AJZ7" s="160">
        <v>1923.0</v>
      </c>
      <c r="AKA7" s="160">
        <v>1925.0</v>
      </c>
      <c r="AKB7" s="160">
        <v>1927.0</v>
      </c>
      <c r="AKC7" s="160">
        <v>1929.0</v>
      </c>
      <c r="AKD7" s="160">
        <v>1931.0</v>
      </c>
      <c r="AKE7" s="160">
        <v>1933.0</v>
      </c>
      <c r="AKF7" s="160">
        <v>1935.0</v>
      </c>
      <c r="AKG7" s="160">
        <v>1937.0</v>
      </c>
      <c r="AKH7" s="160">
        <v>1939.0</v>
      </c>
      <c r="AKI7" s="160">
        <v>1941.0</v>
      </c>
      <c r="AKJ7" s="160">
        <v>1943.0</v>
      </c>
      <c r="AKK7" s="160">
        <v>1945.0</v>
      </c>
      <c r="AKL7" s="160">
        <v>1947.0</v>
      </c>
      <c r="AKM7" s="160">
        <v>1949.0</v>
      </c>
      <c r="AKN7" s="160">
        <v>1951.0</v>
      </c>
      <c r="AKO7" s="160">
        <v>1953.0</v>
      </c>
      <c r="AKP7" s="160">
        <v>1955.0</v>
      </c>
      <c r="AKQ7" s="160">
        <v>1957.0</v>
      </c>
      <c r="AKR7" s="160">
        <v>1959.0</v>
      </c>
      <c r="AKS7" s="160">
        <v>1961.0</v>
      </c>
      <c r="AKT7" s="160">
        <v>1963.0</v>
      </c>
      <c r="AKU7" s="160">
        <v>1965.0</v>
      </c>
      <c r="AKV7" s="160">
        <v>1967.0</v>
      </c>
      <c r="AKW7" s="160">
        <v>1969.0</v>
      </c>
      <c r="AKX7" s="160">
        <v>1971.0</v>
      </c>
      <c r="AKY7" s="160">
        <v>1973.0</v>
      </c>
      <c r="AKZ7" s="160">
        <v>1975.0</v>
      </c>
      <c r="ALA7" s="160">
        <v>1977.0</v>
      </c>
      <c r="ALB7" s="160">
        <v>1979.0</v>
      </c>
      <c r="ALC7" s="160">
        <v>1981.0</v>
      </c>
      <c r="ALD7" s="160">
        <v>1983.0</v>
      </c>
      <c r="ALE7" s="160">
        <v>1985.0</v>
      </c>
      <c r="ALF7" s="160">
        <v>1987.0</v>
      </c>
      <c r="ALG7" s="160">
        <v>1989.0</v>
      </c>
      <c r="ALH7" s="160">
        <v>1991.0</v>
      </c>
      <c r="ALI7" s="160">
        <v>1993.0</v>
      </c>
      <c r="ALJ7" s="160">
        <v>1995.0</v>
      </c>
      <c r="ALK7" s="160">
        <v>1997.0</v>
      </c>
      <c r="ALL7" s="160">
        <v>1999.0</v>
      </c>
      <c r="ALM7" s="160">
        <v>2001.0</v>
      </c>
      <c r="ALN7" s="160">
        <v>2003.0</v>
      </c>
      <c r="ALO7" s="160">
        <v>2005.0</v>
      </c>
      <c r="ALP7" s="160">
        <v>2007.0</v>
      </c>
      <c r="ALQ7" s="160">
        <v>2009.0</v>
      </c>
      <c r="ALR7" s="160">
        <v>2011.0</v>
      </c>
      <c r="ALS7" s="160">
        <v>2013.0</v>
      </c>
      <c r="ALT7" s="160">
        <v>2015.0</v>
      </c>
      <c r="ALU7" s="160">
        <v>2017.0</v>
      </c>
      <c r="ALV7" s="160">
        <v>2019.0</v>
      </c>
      <c r="ALW7" s="160">
        <v>2021.0</v>
      </c>
      <c r="ALX7" s="160">
        <v>2023.0</v>
      </c>
      <c r="ALY7" s="160">
        <v>2025.0</v>
      </c>
      <c r="ALZ7" s="160">
        <v>2027.0</v>
      </c>
      <c r="AMA7" s="160">
        <v>2029.0</v>
      </c>
      <c r="AMB7" s="160">
        <v>2031.0</v>
      </c>
      <c r="AMC7" s="160">
        <v>2033.0</v>
      </c>
      <c r="AMD7" s="160">
        <v>2035.0</v>
      </c>
      <c r="AME7" s="160">
        <v>2037.0</v>
      </c>
      <c r="AMF7" s="160">
        <v>2039.0</v>
      </c>
      <c r="AMG7" s="160">
        <v>2041.0</v>
      </c>
      <c r="AMH7" s="160">
        <v>2043.0</v>
      </c>
      <c r="AMI7" s="160">
        <v>2045.0</v>
      </c>
      <c r="AMJ7" s="160">
        <v>2047.0</v>
      </c>
      <c r="AMK7" s="160">
        <v>2049.0</v>
      </c>
      <c r="AML7" s="160">
        <v>2051.0</v>
      </c>
      <c r="AMM7" s="160">
        <v>2053.0</v>
      </c>
      <c r="AMN7" s="160">
        <v>2055.0</v>
      </c>
      <c r="AMO7" s="160">
        <v>2057.0</v>
      </c>
      <c r="AMP7" s="160">
        <v>2059.0</v>
      </c>
      <c r="AMQ7" s="160">
        <v>2061.0</v>
      </c>
      <c r="AMR7" s="160">
        <v>2063.0</v>
      </c>
      <c r="AMS7" s="160">
        <v>2065.0</v>
      </c>
      <c r="AMT7" s="160">
        <v>2067.0</v>
      </c>
      <c r="AMU7" s="160">
        <v>2069.0</v>
      </c>
      <c r="AMV7" s="160">
        <v>2071.0</v>
      </c>
      <c r="AMW7" s="160">
        <v>2073.0</v>
      </c>
      <c r="AMX7" s="160">
        <v>2075.0</v>
      </c>
      <c r="AMY7" s="160">
        <v>2077.0</v>
      </c>
      <c r="AMZ7" s="160">
        <v>2079.0</v>
      </c>
      <c r="ANA7" s="160">
        <v>2081.0</v>
      </c>
      <c r="ANB7" s="160">
        <v>2083.0</v>
      </c>
      <c r="ANC7" s="160">
        <v>2085.0</v>
      </c>
      <c r="AND7" s="160">
        <v>2087.0</v>
      </c>
      <c r="ANE7" s="160">
        <v>2089.0</v>
      </c>
      <c r="ANF7" s="160">
        <v>2091.0</v>
      </c>
      <c r="ANG7" s="160">
        <v>2093.0</v>
      </c>
      <c r="ANH7" s="160">
        <v>2095.0</v>
      </c>
      <c r="ANI7" s="160">
        <v>2097.0</v>
      </c>
      <c r="ANJ7" s="160">
        <v>2099.0</v>
      </c>
      <c r="ANK7" s="160">
        <v>2101.0</v>
      </c>
      <c r="ANL7" s="160">
        <v>2103.0</v>
      </c>
      <c r="ANM7" s="160">
        <v>2105.0</v>
      </c>
      <c r="ANN7" s="160">
        <v>2107.0</v>
      </c>
      <c r="ANO7" s="160">
        <v>2109.0</v>
      </c>
      <c r="ANP7" s="160">
        <v>2111.0</v>
      </c>
      <c r="ANQ7" s="160">
        <v>2113.0</v>
      </c>
      <c r="ANR7" s="160">
        <v>2115.0</v>
      </c>
      <c r="ANS7" s="160">
        <v>2117.0</v>
      </c>
      <c r="ANT7" s="160">
        <v>2119.0</v>
      </c>
      <c r="ANU7" s="160">
        <v>2121.0</v>
      </c>
      <c r="ANV7" s="160">
        <v>2123.0</v>
      </c>
      <c r="ANW7" s="160">
        <v>2125.0</v>
      </c>
      <c r="ANX7" s="160">
        <v>2127.0</v>
      </c>
      <c r="ANY7" s="160">
        <v>2129.0</v>
      </c>
      <c r="ANZ7" s="160">
        <v>2131.0</v>
      </c>
      <c r="AOA7" s="160">
        <v>2133.0</v>
      </c>
      <c r="AOB7" s="160">
        <v>2135.0</v>
      </c>
      <c r="AOC7" s="160">
        <v>2137.0</v>
      </c>
      <c r="AOD7" s="160">
        <v>2139.0</v>
      </c>
      <c r="AOE7" s="160">
        <v>2141.0</v>
      </c>
      <c r="AOF7" s="160">
        <v>2143.0</v>
      </c>
      <c r="AOG7" s="160">
        <v>2145.0</v>
      </c>
      <c r="AOH7" s="160">
        <v>2147.0</v>
      </c>
      <c r="AOI7" s="160">
        <v>2149.0</v>
      </c>
      <c r="AOJ7" s="160">
        <v>2151.0</v>
      </c>
      <c r="AOK7" s="160">
        <v>2153.0</v>
      </c>
      <c r="AOL7" s="160">
        <v>2155.0</v>
      </c>
      <c r="AOM7" s="160">
        <v>2157.0</v>
      </c>
      <c r="AON7" s="160">
        <v>2159.0</v>
      </c>
      <c r="AOO7" s="160">
        <v>2161.0</v>
      </c>
      <c r="AOP7" s="160">
        <v>2163.0</v>
      </c>
      <c r="AOQ7" s="160">
        <v>2165.0</v>
      </c>
      <c r="AOR7" s="160">
        <v>2167.0</v>
      </c>
      <c r="AOS7" s="160">
        <v>2169.0</v>
      </c>
      <c r="AOT7" s="160">
        <v>2171.0</v>
      </c>
      <c r="AOU7" s="160">
        <v>2173.0</v>
      </c>
      <c r="AOV7" s="160">
        <v>2175.0</v>
      </c>
      <c r="AOW7" s="160">
        <v>2177.0</v>
      </c>
      <c r="AOX7" s="160">
        <v>2179.0</v>
      </c>
      <c r="AOY7" s="160">
        <v>2181.0</v>
      </c>
      <c r="AOZ7" s="160">
        <v>2183.0</v>
      </c>
      <c r="APA7" s="160">
        <v>2185.0</v>
      </c>
      <c r="APB7" s="160">
        <v>2187.0</v>
      </c>
      <c r="APC7" s="160">
        <v>2189.0</v>
      </c>
      <c r="APD7" s="160">
        <v>2191.0</v>
      </c>
      <c r="APE7" s="160">
        <v>2193.0</v>
      </c>
      <c r="APF7" s="160">
        <v>2195.0</v>
      </c>
      <c r="APG7" s="160">
        <v>2197.0</v>
      </c>
      <c r="APH7" s="160">
        <v>2199.0</v>
      </c>
      <c r="API7" s="160">
        <v>2201.0</v>
      </c>
      <c r="APJ7" s="160">
        <v>2203.0</v>
      </c>
      <c r="APK7" s="160">
        <v>2205.0</v>
      </c>
      <c r="APL7" s="160">
        <v>2207.0</v>
      </c>
      <c r="APM7" s="160">
        <v>2209.0</v>
      </c>
      <c r="APN7" s="160">
        <v>2211.0</v>
      </c>
      <c r="APO7" s="160">
        <v>2213.0</v>
      </c>
      <c r="APP7" s="160">
        <v>2215.0</v>
      </c>
      <c r="APQ7" s="160">
        <v>2217.0</v>
      </c>
      <c r="APR7" s="160">
        <v>2219.0</v>
      </c>
      <c r="APS7" s="160">
        <v>2221.0</v>
      </c>
      <c r="APT7" s="160">
        <v>2223.0</v>
      </c>
      <c r="APU7" s="160">
        <v>2225.0</v>
      </c>
      <c r="APV7" s="160">
        <v>2227.0</v>
      </c>
      <c r="APW7" s="160">
        <v>2229.0</v>
      </c>
      <c r="APX7" s="160">
        <v>2231.0</v>
      </c>
      <c r="APY7" s="160">
        <v>2233.0</v>
      </c>
      <c r="APZ7" s="160">
        <v>2235.0</v>
      </c>
      <c r="AQA7" s="160">
        <v>2237.0</v>
      </c>
      <c r="AQB7" s="160">
        <v>2239.0</v>
      </c>
      <c r="AQC7" s="160">
        <v>2241.0</v>
      </c>
      <c r="AQD7" s="160">
        <v>2243.0</v>
      </c>
      <c r="AQE7" s="160">
        <v>2245.0</v>
      </c>
      <c r="AQF7" s="160">
        <v>2247.0</v>
      </c>
      <c r="AQG7" s="160">
        <v>2249.0</v>
      </c>
      <c r="AQH7" s="160">
        <v>2251.0</v>
      </c>
      <c r="AQI7" s="160">
        <v>2253.0</v>
      </c>
      <c r="AQJ7" s="160">
        <v>2255.0</v>
      </c>
      <c r="AQK7" s="160">
        <v>2257.0</v>
      </c>
      <c r="AQL7" s="160">
        <v>2259.0</v>
      </c>
      <c r="AQM7" s="160">
        <v>2261.0</v>
      </c>
      <c r="AQN7" s="160">
        <v>2263.0</v>
      </c>
      <c r="AQO7" s="160">
        <v>2265.0</v>
      </c>
      <c r="AQP7" s="160">
        <v>2267.0</v>
      </c>
      <c r="AQQ7" s="160">
        <v>2269.0</v>
      </c>
      <c r="AQR7" s="160">
        <v>2271.0</v>
      </c>
      <c r="AQS7" s="160">
        <v>2273.0</v>
      </c>
      <c r="AQT7" s="160">
        <v>2275.0</v>
      </c>
      <c r="AQU7" s="160">
        <v>2277.0</v>
      </c>
      <c r="AQV7" s="160">
        <v>2279.0</v>
      </c>
      <c r="AQW7" s="160">
        <v>2281.0</v>
      </c>
      <c r="AQX7" s="160">
        <v>2283.0</v>
      </c>
      <c r="AQY7" s="160">
        <v>2285.0</v>
      </c>
      <c r="AQZ7" s="160">
        <v>2287.0</v>
      </c>
      <c r="ARA7" s="160">
        <v>2289.0</v>
      </c>
      <c r="ARB7" s="160">
        <v>2291.0</v>
      </c>
      <c r="ARC7" s="160">
        <v>2293.0</v>
      </c>
      <c r="ARD7" s="160">
        <v>2295.0</v>
      </c>
      <c r="ARE7" s="160">
        <v>2297.0</v>
      </c>
      <c r="ARF7" s="160">
        <v>2299.0</v>
      </c>
      <c r="ARG7" s="160">
        <v>2301.0</v>
      </c>
      <c r="ARH7" s="160">
        <v>2303.0</v>
      </c>
      <c r="ARI7" s="160">
        <v>2305.0</v>
      </c>
      <c r="ARJ7" s="160">
        <v>2307.0</v>
      </c>
      <c r="ARK7" s="160">
        <v>2309.0</v>
      </c>
      <c r="ARL7" s="160">
        <v>2311.0</v>
      </c>
      <c r="ARM7" s="160">
        <v>2313.0</v>
      </c>
      <c r="ARN7" s="160">
        <v>2315.0</v>
      </c>
      <c r="ARO7" s="160">
        <v>2317.0</v>
      </c>
      <c r="ARP7" s="160">
        <v>2319.0</v>
      </c>
      <c r="ARQ7" s="160">
        <v>2321.0</v>
      </c>
      <c r="ARR7" s="160">
        <v>2323.0</v>
      </c>
      <c r="ARS7" s="160">
        <v>2325.0</v>
      </c>
      <c r="ART7" s="160">
        <v>2327.0</v>
      </c>
      <c r="ARU7" s="160">
        <v>2329.0</v>
      </c>
      <c r="ARV7" s="160">
        <v>2331.0</v>
      </c>
      <c r="ARW7" s="160">
        <v>2333.0</v>
      </c>
      <c r="ARX7" s="160">
        <v>2335.0</v>
      </c>
      <c r="ARY7" s="160">
        <v>2337.0</v>
      </c>
      <c r="ARZ7" s="160">
        <v>2339.0</v>
      </c>
      <c r="ASA7" s="160">
        <v>2341.0</v>
      </c>
      <c r="ASB7" s="160">
        <v>2343.0</v>
      </c>
      <c r="ASC7" s="160">
        <v>2345.0</v>
      </c>
      <c r="ASD7" s="160">
        <v>2347.0</v>
      </c>
      <c r="ASE7" s="160">
        <v>2349.0</v>
      </c>
      <c r="ASF7" s="160">
        <v>2351.0</v>
      </c>
      <c r="ASG7" s="160">
        <v>2353.0</v>
      </c>
      <c r="ASH7" s="160">
        <v>2355.0</v>
      </c>
      <c r="ASI7" s="160">
        <v>2357.0</v>
      </c>
      <c r="ASJ7" s="160">
        <v>2359.0</v>
      </c>
      <c r="ASK7" s="160">
        <v>2361.0</v>
      </c>
      <c r="ASL7" s="160">
        <v>2363.0</v>
      </c>
      <c r="ASM7" s="160">
        <v>2365.0</v>
      </c>
      <c r="ASN7" s="160">
        <v>2367.0</v>
      </c>
      <c r="ASO7" s="160">
        <v>2369.0</v>
      </c>
      <c r="ASP7" s="160">
        <v>2371.0</v>
      </c>
      <c r="ASQ7" s="160">
        <v>2373.0</v>
      </c>
      <c r="ASR7" s="160">
        <v>2375.0</v>
      </c>
      <c r="ASS7" s="160">
        <v>2377.0</v>
      </c>
      <c r="AST7" s="160">
        <v>2379.0</v>
      </c>
      <c r="ASU7" s="160">
        <v>2381.0</v>
      </c>
      <c r="ASV7" s="160">
        <v>2383.0</v>
      </c>
      <c r="ASW7" s="160">
        <v>2385.0</v>
      </c>
      <c r="ASX7" s="160">
        <v>2387.0</v>
      </c>
      <c r="ASY7" s="160">
        <v>2389.0</v>
      </c>
      <c r="ASZ7" s="160">
        <v>2391.0</v>
      </c>
      <c r="ATA7" s="160">
        <v>2393.0</v>
      </c>
      <c r="ATB7" s="160">
        <v>2395.0</v>
      </c>
      <c r="ATC7" s="160">
        <v>2397.0</v>
      </c>
      <c r="ATD7" s="160">
        <v>2399.0</v>
      </c>
      <c r="ATE7" s="160">
        <v>2401.0</v>
      </c>
      <c r="ATF7" s="160">
        <v>2403.0</v>
      </c>
      <c r="ATG7" s="160">
        <v>2405.0</v>
      </c>
      <c r="ATH7" s="160">
        <v>2407.0</v>
      </c>
      <c r="ATI7" s="160">
        <v>2409.0</v>
      </c>
      <c r="ATJ7" s="160">
        <v>2411.0</v>
      </c>
      <c r="ATK7" s="160">
        <v>2413.0</v>
      </c>
      <c r="ATL7" s="160">
        <v>2415.0</v>
      </c>
      <c r="ATM7" s="160">
        <v>2417.0</v>
      </c>
      <c r="ATN7" s="160">
        <v>2419.0</v>
      </c>
      <c r="ATO7" s="160">
        <v>2421.0</v>
      </c>
      <c r="ATP7" s="160">
        <v>2423.0</v>
      </c>
      <c r="ATQ7" s="160">
        <v>2425.0</v>
      </c>
      <c r="ATR7" s="160">
        <v>2427.0</v>
      </c>
      <c r="ATS7" s="160">
        <v>2429.0</v>
      </c>
      <c r="ATT7" s="160">
        <v>2431.0</v>
      </c>
      <c r="ATU7" s="160">
        <v>2433.0</v>
      </c>
      <c r="ATV7" s="160">
        <v>2435.0</v>
      </c>
      <c r="ATW7" s="160">
        <v>2437.0</v>
      </c>
      <c r="ATX7" s="160">
        <v>2439.0</v>
      </c>
      <c r="ATY7" s="160">
        <v>2441.0</v>
      </c>
      <c r="ATZ7" s="160">
        <v>2443.0</v>
      </c>
      <c r="AUA7" s="160">
        <v>2445.0</v>
      </c>
      <c r="AUB7" s="160">
        <v>2447.0</v>
      </c>
      <c r="AUC7" s="160">
        <v>2449.0</v>
      </c>
      <c r="AUD7" s="160">
        <v>2451.0</v>
      </c>
      <c r="AUE7" s="160">
        <v>2453.0</v>
      </c>
      <c r="AUF7" s="160">
        <v>2455.0</v>
      </c>
      <c r="AUG7" s="160">
        <v>2457.0</v>
      </c>
      <c r="AUH7" s="160">
        <v>2459.0</v>
      </c>
      <c r="AUI7" s="160">
        <v>2461.0</v>
      </c>
      <c r="AUJ7" s="160">
        <v>2463.0</v>
      </c>
      <c r="AUK7" s="160">
        <v>2465.0</v>
      </c>
      <c r="AUL7" s="160">
        <v>2467.0</v>
      </c>
      <c r="AUM7" s="160">
        <v>2469.0</v>
      </c>
      <c r="AUN7" s="160">
        <v>2471.0</v>
      </c>
      <c r="AUO7" s="160">
        <v>2473.0</v>
      </c>
      <c r="AUP7" s="160">
        <v>2475.0</v>
      </c>
      <c r="AUQ7" s="160">
        <v>2477.0</v>
      </c>
      <c r="AUR7" s="160">
        <v>2479.0</v>
      </c>
      <c r="AUS7" s="160">
        <v>2481.0</v>
      </c>
      <c r="AUT7" s="160">
        <v>2483.0</v>
      </c>
      <c r="AUU7" s="160">
        <v>2485.0</v>
      </c>
      <c r="AUV7" s="160">
        <v>2487.0</v>
      </c>
      <c r="AUW7" s="160">
        <v>2489.0</v>
      </c>
      <c r="AUX7" s="160">
        <v>2491.0</v>
      </c>
      <c r="AUY7" s="160">
        <v>2493.0</v>
      </c>
      <c r="AUZ7" s="160">
        <v>2495.0</v>
      </c>
      <c r="AVA7" s="160">
        <v>2497.0</v>
      </c>
      <c r="AVB7" s="160">
        <v>2499.0</v>
      </c>
      <c r="AVC7" s="160">
        <v>2501.0</v>
      </c>
      <c r="AVD7" s="160">
        <v>2503.0</v>
      </c>
      <c r="AVE7" s="160">
        <v>2505.0</v>
      </c>
      <c r="AVF7" s="160">
        <v>2507.0</v>
      </c>
      <c r="AVG7" s="160">
        <v>2509.0</v>
      </c>
      <c r="AVH7" s="160">
        <v>2511.0</v>
      </c>
      <c r="AVI7" s="160">
        <v>2513.0</v>
      </c>
      <c r="AVJ7" s="160">
        <v>2515.0</v>
      </c>
      <c r="AVK7" s="160">
        <v>2517.0</v>
      </c>
      <c r="AVL7" s="160">
        <v>2519.0</v>
      </c>
      <c r="AVM7" s="160">
        <v>2521.0</v>
      </c>
      <c r="AVN7" s="160">
        <v>2523.0</v>
      </c>
      <c r="AVO7" s="160">
        <v>2525.0</v>
      </c>
      <c r="AVP7" s="160">
        <v>2527.0</v>
      </c>
      <c r="AVQ7" s="160">
        <v>2529.0</v>
      </c>
      <c r="AVR7" s="160">
        <v>2531.0</v>
      </c>
      <c r="AVS7" s="160">
        <v>2533.0</v>
      </c>
      <c r="AVT7" s="160">
        <v>2535.0</v>
      </c>
      <c r="AVU7" s="160">
        <v>2537.0</v>
      </c>
      <c r="AVV7" s="160">
        <v>2539.0</v>
      </c>
      <c r="AVW7" s="160">
        <v>2541.0</v>
      </c>
      <c r="AVX7" s="160">
        <v>2543.0</v>
      </c>
      <c r="AVY7" s="160">
        <v>2545.0</v>
      </c>
      <c r="AVZ7" s="160">
        <v>2547.0</v>
      </c>
      <c r="AWA7" s="160">
        <v>2549.0</v>
      </c>
      <c r="AWB7" s="160">
        <v>2551.0</v>
      </c>
      <c r="AWC7" s="160">
        <v>2553.0</v>
      </c>
      <c r="AWD7" s="160">
        <v>2555.0</v>
      </c>
      <c r="AWE7" s="160">
        <v>2557.0</v>
      </c>
      <c r="AWF7" s="160">
        <v>2559.0</v>
      </c>
      <c r="AWG7" s="160">
        <v>2561.0</v>
      </c>
      <c r="AWH7" s="160">
        <v>2563.0</v>
      </c>
      <c r="AWI7" s="160">
        <v>2565.0</v>
      </c>
      <c r="AWJ7" s="160">
        <v>2567.0</v>
      </c>
      <c r="AWK7" s="160">
        <v>2569.0</v>
      </c>
      <c r="AWL7" s="160">
        <v>2571.0</v>
      </c>
      <c r="AWM7" s="160">
        <v>2573.0</v>
      </c>
      <c r="AWN7" s="160">
        <v>2575.0</v>
      </c>
      <c r="AWO7" s="160">
        <v>2577.0</v>
      </c>
      <c r="AWP7" s="160">
        <v>2579.0</v>
      </c>
      <c r="AWQ7" s="160">
        <v>2581.0</v>
      </c>
      <c r="AWR7" s="160">
        <v>2583.0</v>
      </c>
      <c r="AWS7" s="160">
        <v>2585.0</v>
      </c>
      <c r="AWT7" s="160">
        <v>2587.0</v>
      </c>
      <c r="AWU7" s="160">
        <v>2589.0</v>
      </c>
      <c r="AWV7" s="160">
        <v>2591.0</v>
      </c>
      <c r="AWW7" s="160">
        <v>2593.0</v>
      </c>
      <c r="AWX7" s="160">
        <v>2595.0</v>
      </c>
      <c r="AWY7" s="160">
        <v>2597.0</v>
      </c>
      <c r="AWZ7" s="160">
        <v>2599.0</v>
      </c>
      <c r="AXA7" s="160">
        <v>2601.0</v>
      </c>
      <c r="AXB7" s="160">
        <v>2603.0</v>
      </c>
      <c r="AXC7" s="160">
        <v>2605.0</v>
      </c>
      <c r="AXD7" s="160">
        <v>2607.0</v>
      </c>
      <c r="AXE7" s="160">
        <v>2609.0</v>
      </c>
      <c r="AXF7" s="160">
        <v>2611.0</v>
      </c>
      <c r="AXG7" s="160">
        <v>2613.0</v>
      </c>
      <c r="AXH7" s="160">
        <v>2615.0</v>
      </c>
      <c r="AXI7" s="160">
        <v>2617.0</v>
      </c>
      <c r="AXJ7" s="160">
        <v>2619.0</v>
      </c>
      <c r="AXK7" s="160">
        <v>2621.0</v>
      </c>
      <c r="AXL7" s="160">
        <v>2623.0</v>
      </c>
      <c r="AXM7" s="160">
        <v>2625.0</v>
      </c>
      <c r="AXN7" s="160">
        <v>2627.0</v>
      </c>
      <c r="AXO7" s="160">
        <v>2629.0</v>
      </c>
      <c r="AXP7" s="160">
        <v>2631.0</v>
      </c>
      <c r="AXQ7" s="160">
        <v>2633.0</v>
      </c>
      <c r="AXR7" s="160">
        <v>2635.0</v>
      </c>
      <c r="AXS7" s="160">
        <v>2637.0</v>
      </c>
      <c r="AXT7" s="160">
        <v>2639.0</v>
      </c>
      <c r="AXU7" s="160">
        <v>2641.0</v>
      </c>
      <c r="AXV7" s="160">
        <v>2643.0</v>
      </c>
      <c r="AXW7" s="160">
        <v>2645.0</v>
      </c>
      <c r="AXX7" s="160">
        <v>2647.0</v>
      </c>
      <c r="AXY7" s="160">
        <v>2649.0</v>
      </c>
      <c r="AXZ7" s="160">
        <v>2651.0</v>
      </c>
      <c r="AYA7" s="160">
        <v>2653.0</v>
      </c>
      <c r="AYB7" s="160">
        <v>2655.0</v>
      </c>
      <c r="AYC7" s="160">
        <v>2657.0</v>
      </c>
      <c r="AYD7" s="160">
        <v>2659.0</v>
      </c>
      <c r="AYE7" s="160">
        <v>2661.0</v>
      </c>
      <c r="AYF7" s="160">
        <v>2663.0</v>
      </c>
      <c r="AYG7" s="160">
        <v>2665.0</v>
      </c>
      <c r="AYH7" s="160">
        <v>2667.0</v>
      </c>
      <c r="AYI7" s="160">
        <v>2669.0</v>
      </c>
      <c r="AYJ7" s="160">
        <v>2671.0</v>
      </c>
      <c r="AYK7" s="160">
        <v>2673.0</v>
      </c>
      <c r="AYL7" s="160">
        <v>2675.0</v>
      </c>
      <c r="AYM7" s="160">
        <v>2677.0</v>
      </c>
      <c r="AYN7" s="160">
        <v>2679.0</v>
      </c>
      <c r="AYO7" s="160">
        <v>2681.0</v>
      </c>
      <c r="AYP7" s="160">
        <v>2683.0</v>
      </c>
      <c r="AYQ7" s="160">
        <v>2685.0</v>
      </c>
      <c r="AYR7" s="160">
        <v>2687.0</v>
      </c>
      <c r="AYS7" s="160">
        <v>2689.0</v>
      </c>
      <c r="AYT7" s="160">
        <v>2691.0</v>
      </c>
      <c r="AYU7" s="160">
        <v>2693.0</v>
      </c>
      <c r="AYV7" s="160">
        <v>2695.0</v>
      </c>
      <c r="AYW7" s="160">
        <v>2697.0</v>
      </c>
      <c r="AYX7" s="160">
        <v>2699.0</v>
      </c>
      <c r="AYY7" s="160">
        <v>2701.0</v>
      </c>
      <c r="AYZ7" s="160">
        <v>2703.0</v>
      </c>
      <c r="AZA7" s="160">
        <v>2705.0</v>
      </c>
      <c r="AZB7" s="160">
        <v>2707.0</v>
      </c>
      <c r="AZC7" s="160">
        <v>2709.0</v>
      </c>
      <c r="AZD7" s="160">
        <v>2711.0</v>
      </c>
      <c r="AZE7" s="160">
        <v>2713.0</v>
      </c>
      <c r="AZF7" s="160">
        <v>2715.0</v>
      </c>
      <c r="AZG7" s="160">
        <v>2717.0</v>
      </c>
      <c r="AZH7" s="160">
        <v>2719.0</v>
      </c>
      <c r="AZI7" s="160">
        <v>2721.0</v>
      </c>
      <c r="AZJ7" s="160">
        <v>2723.0</v>
      </c>
      <c r="AZK7" s="160">
        <v>2725.0</v>
      </c>
      <c r="AZL7" s="160">
        <v>2727.0</v>
      </c>
      <c r="AZM7" s="160">
        <v>2729.0</v>
      </c>
      <c r="AZN7" s="160">
        <v>2731.0</v>
      </c>
      <c r="AZO7" s="160">
        <v>2733.0</v>
      </c>
      <c r="AZP7" s="160">
        <v>2735.0</v>
      </c>
      <c r="AZQ7" s="160">
        <v>2737.0</v>
      </c>
      <c r="AZR7" s="160">
        <v>2739.0</v>
      </c>
      <c r="AZS7" s="160">
        <v>2741.0</v>
      </c>
      <c r="AZT7" s="160">
        <v>2743.0</v>
      </c>
      <c r="AZU7" s="160">
        <v>2745.0</v>
      </c>
      <c r="AZV7" s="160">
        <v>2747.0</v>
      </c>
      <c r="AZW7" s="160">
        <v>2749.0</v>
      </c>
      <c r="AZX7" s="160">
        <v>2751.0</v>
      </c>
      <c r="AZY7" s="160">
        <v>2753.0</v>
      </c>
      <c r="AZZ7" s="160">
        <v>2755.0</v>
      </c>
      <c r="BAA7" s="160">
        <v>2757.0</v>
      </c>
      <c r="BAB7" s="160">
        <v>2759.0</v>
      </c>
      <c r="BAC7" s="160">
        <v>2761.0</v>
      </c>
      <c r="BAD7" s="160">
        <v>2763.0</v>
      </c>
      <c r="BAE7" s="160">
        <v>2765.0</v>
      </c>
      <c r="BAF7" s="160">
        <v>2767.0</v>
      </c>
      <c r="BAG7" s="160">
        <v>2769.0</v>
      </c>
      <c r="BAH7" s="160">
        <v>2771.0</v>
      </c>
      <c r="BAI7" s="160">
        <v>2773.0</v>
      </c>
      <c r="BAJ7" s="160">
        <v>2775.0</v>
      </c>
      <c r="BAK7" s="160">
        <v>2777.0</v>
      </c>
      <c r="BAL7" s="160">
        <v>2779.0</v>
      </c>
      <c r="BAM7" s="160">
        <v>2781.0</v>
      </c>
      <c r="BAN7" s="160">
        <v>2783.0</v>
      </c>
      <c r="BAO7" s="160">
        <v>2785.0</v>
      </c>
      <c r="BAP7" s="160">
        <v>2787.0</v>
      </c>
      <c r="BAQ7" s="160">
        <v>2789.0</v>
      </c>
      <c r="BAR7" s="160">
        <v>2791.0</v>
      </c>
      <c r="BAS7" s="160">
        <v>2793.0</v>
      </c>
      <c r="BAT7" s="160">
        <v>2795.0</v>
      </c>
      <c r="BAU7" s="160">
        <v>2797.0</v>
      </c>
      <c r="BAV7" s="160">
        <v>2799.0</v>
      </c>
      <c r="BAW7" s="160">
        <v>2801.0</v>
      </c>
      <c r="BAX7" s="160">
        <v>2803.0</v>
      </c>
      <c r="BAY7" s="160">
        <v>2805.0</v>
      </c>
      <c r="BAZ7" s="160">
        <v>2807.0</v>
      </c>
      <c r="BBA7" s="160">
        <v>2809.0</v>
      </c>
      <c r="BBB7" s="160">
        <v>2811.0</v>
      </c>
      <c r="BBC7" s="160">
        <v>2813.0</v>
      </c>
      <c r="BBD7" s="160">
        <v>2815.0</v>
      </c>
      <c r="BBE7" s="160">
        <v>2817.0</v>
      </c>
      <c r="BBF7" s="160">
        <v>2819.0</v>
      </c>
      <c r="BBG7" s="160">
        <v>2821.0</v>
      </c>
      <c r="BBH7" s="160">
        <v>2823.0</v>
      </c>
      <c r="BBI7" s="160">
        <v>2825.0</v>
      </c>
      <c r="BBJ7" s="160">
        <v>2827.0</v>
      </c>
      <c r="BBK7" s="160">
        <v>2829.0</v>
      </c>
      <c r="BBL7" s="160">
        <v>2831.0</v>
      </c>
      <c r="BBM7" s="160">
        <v>2833.0</v>
      </c>
      <c r="BBN7" s="160">
        <v>2835.0</v>
      </c>
      <c r="BBO7" s="160">
        <v>2837.0</v>
      </c>
      <c r="BBP7" s="160">
        <v>2839.0</v>
      </c>
      <c r="BBQ7" s="160">
        <v>2841.0</v>
      </c>
      <c r="BBR7" s="160">
        <v>2843.0</v>
      </c>
      <c r="BBS7" s="160">
        <v>2845.0</v>
      </c>
      <c r="BBT7" s="160">
        <v>2847.0</v>
      </c>
      <c r="BBU7" s="160">
        <v>2849.0</v>
      </c>
      <c r="BBV7" s="160">
        <v>2851.0</v>
      </c>
      <c r="BBW7" s="160">
        <v>2853.0</v>
      </c>
      <c r="BBX7" s="160">
        <v>2855.0</v>
      </c>
      <c r="BBY7" s="160">
        <v>2857.0</v>
      </c>
      <c r="BBZ7" s="160">
        <v>2859.0</v>
      </c>
      <c r="BCA7" s="160">
        <v>2861.0</v>
      </c>
      <c r="BCB7" s="160">
        <v>2863.0</v>
      </c>
      <c r="BCC7" s="160">
        <v>2865.0</v>
      </c>
      <c r="BCD7" s="160">
        <v>2867.0</v>
      </c>
      <c r="BCE7" s="160">
        <v>2869.0</v>
      </c>
      <c r="BCF7" s="160">
        <v>2871.0</v>
      </c>
      <c r="BCG7" s="160">
        <v>2873.0</v>
      </c>
      <c r="BCH7" s="160">
        <v>2875.0</v>
      </c>
      <c r="BCI7" s="160">
        <v>2877.0</v>
      </c>
      <c r="BCJ7" s="160">
        <v>2879.0</v>
      </c>
      <c r="BCK7" s="160">
        <v>2881.0</v>
      </c>
      <c r="BCL7" s="160">
        <v>2883.0</v>
      </c>
      <c r="BCM7" s="160">
        <v>2885.0</v>
      </c>
      <c r="BCN7" s="160">
        <v>2887.0</v>
      </c>
      <c r="BCO7" s="160">
        <v>2889.0</v>
      </c>
      <c r="BCP7" s="160">
        <v>2891.0</v>
      </c>
      <c r="BCQ7" s="160">
        <v>2893.0</v>
      </c>
      <c r="BCR7" s="160">
        <v>2895.0</v>
      </c>
      <c r="BCS7" s="160">
        <v>2897.0</v>
      </c>
      <c r="BCT7" s="160">
        <v>2899.0</v>
      </c>
      <c r="BCU7" s="160">
        <v>2901.0</v>
      </c>
      <c r="BCV7" s="160">
        <v>2903.0</v>
      </c>
      <c r="BCW7" s="160">
        <v>2905.0</v>
      </c>
      <c r="BCX7" s="160">
        <v>2907.0</v>
      </c>
      <c r="BCY7" s="160">
        <v>2909.0</v>
      </c>
      <c r="BCZ7" s="160">
        <v>2911.0</v>
      </c>
      <c r="BDA7" s="160">
        <v>2913.0</v>
      </c>
      <c r="BDB7" s="160">
        <v>2915.0</v>
      </c>
      <c r="BDC7" s="160">
        <v>2917.0</v>
      </c>
      <c r="BDD7" s="160">
        <v>2919.0</v>
      </c>
      <c r="BDE7" s="160">
        <v>2921.0</v>
      </c>
      <c r="BDF7" s="160">
        <v>2923.0</v>
      </c>
      <c r="BDG7" s="160">
        <v>2925.0</v>
      </c>
      <c r="BDH7" s="160">
        <v>2927.0</v>
      </c>
      <c r="BDI7" s="160">
        <v>2929.0</v>
      </c>
      <c r="BDJ7" s="160">
        <v>2931.0</v>
      </c>
      <c r="BDK7" s="160">
        <v>2933.0</v>
      </c>
      <c r="BDL7" s="160">
        <v>2935.0</v>
      </c>
      <c r="BDM7" s="160">
        <v>2937.0</v>
      </c>
      <c r="BDN7" s="160">
        <v>2939.0</v>
      </c>
      <c r="BDO7" s="160">
        <v>2941.0</v>
      </c>
      <c r="BDP7" s="160">
        <v>2943.0</v>
      </c>
      <c r="BDQ7" s="160">
        <v>2945.0</v>
      </c>
      <c r="BDR7" s="160">
        <v>2947.0</v>
      </c>
      <c r="BDS7" s="160">
        <v>2949.0</v>
      </c>
      <c r="BDT7" s="160">
        <v>2951.0</v>
      </c>
      <c r="BDU7" s="160">
        <v>2953.0</v>
      </c>
      <c r="BDV7" s="160">
        <v>2955.0</v>
      </c>
      <c r="BDW7" s="160">
        <v>2957.0</v>
      </c>
      <c r="BDX7" s="160">
        <v>2959.0</v>
      </c>
      <c r="BDY7" s="160">
        <v>2961.0</v>
      </c>
      <c r="BDZ7" s="160">
        <v>2963.0</v>
      </c>
      <c r="BEA7" s="160">
        <v>2965.0</v>
      </c>
      <c r="BEB7" s="160">
        <v>2967.0</v>
      </c>
      <c r="BEC7" s="160">
        <v>2969.0</v>
      </c>
      <c r="BED7" s="160">
        <v>2971.0</v>
      </c>
      <c r="BEE7" s="160">
        <v>2973.0</v>
      </c>
      <c r="BEF7" s="160">
        <v>2975.0</v>
      </c>
      <c r="BEG7" s="160">
        <v>2977.0</v>
      </c>
      <c r="BEH7" s="160">
        <v>2979.0</v>
      </c>
      <c r="BEI7" s="160">
        <v>2981.0</v>
      </c>
      <c r="BEJ7" s="160">
        <v>2983.0</v>
      </c>
      <c r="BEK7" s="160">
        <v>2985.0</v>
      </c>
      <c r="BEL7" s="160">
        <v>2987.0</v>
      </c>
      <c r="BEM7" s="160">
        <v>2989.0</v>
      </c>
      <c r="BEN7" s="160">
        <v>2991.0</v>
      </c>
      <c r="BEO7" s="160">
        <v>2993.0</v>
      </c>
      <c r="BEP7" s="160">
        <v>2995.0</v>
      </c>
      <c r="BEQ7" s="160">
        <v>2997.0</v>
      </c>
      <c r="BER7" s="160">
        <v>2999.0</v>
      </c>
      <c r="BES7" s="160">
        <v>3001.0</v>
      </c>
      <c r="BET7" s="160">
        <v>3003.0</v>
      </c>
      <c r="BEU7" s="160">
        <v>3005.0</v>
      </c>
      <c r="BEV7" s="160">
        <v>3007.0</v>
      </c>
      <c r="BEW7" s="160">
        <v>3009.0</v>
      </c>
      <c r="BEX7" s="160">
        <v>3011.0</v>
      </c>
      <c r="BEY7" s="160">
        <v>3013.0</v>
      </c>
      <c r="BEZ7" s="160">
        <v>3015.0</v>
      </c>
      <c r="BFA7" s="160">
        <v>3017.0</v>
      </c>
      <c r="BFB7" s="160">
        <v>3019.0</v>
      </c>
      <c r="BFC7" s="160">
        <v>3021.0</v>
      </c>
      <c r="BFD7" s="160">
        <v>3023.0</v>
      </c>
      <c r="BFE7" s="160">
        <v>3025.0</v>
      </c>
      <c r="BFF7" s="160">
        <v>3027.0</v>
      </c>
      <c r="BFG7" s="160">
        <v>3029.0</v>
      </c>
      <c r="BFH7" s="160">
        <v>3031.0</v>
      </c>
      <c r="BFI7" s="160">
        <v>3033.0</v>
      </c>
      <c r="BFJ7" s="160">
        <v>3035.0</v>
      </c>
      <c r="BFK7" s="160">
        <v>3037.0</v>
      </c>
      <c r="BFL7" s="160">
        <v>3039.0</v>
      </c>
      <c r="BFM7" s="160">
        <v>3041.0</v>
      </c>
      <c r="BFN7" s="160">
        <v>3043.0</v>
      </c>
      <c r="BFO7" s="160">
        <v>3045.0</v>
      </c>
      <c r="BFP7" s="160">
        <v>3047.0</v>
      </c>
      <c r="BFQ7" s="160">
        <v>3049.0</v>
      </c>
      <c r="BFR7" s="160">
        <v>3051.0</v>
      </c>
      <c r="BFS7" s="160">
        <v>3053.0</v>
      </c>
      <c r="BFT7" s="160">
        <v>3055.0</v>
      </c>
      <c r="BFU7" s="160">
        <v>3057.0</v>
      </c>
      <c r="BFV7" s="160">
        <v>3059.0</v>
      </c>
      <c r="BFW7" s="160">
        <v>3061.0</v>
      </c>
      <c r="BFX7" s="160">
        <v>3063.0</v>
      </c>
      <c r="BFY7" s="160">
        <v>3065.0</v>
      </c>
      <c r="BFZ7" s="160">
        <v>3067.0</v>
      </c>
      <c r="BGA7" s="160">
        <v>3069.0</v>
      </c>
      <c r="BGB7" s="160">
        <v>3071.0</v>
      </c>
      <c r="BGC7" s="160">
        <v>3073.0</v>
      </c>
      <c r="BGD7" s="160">
        <v>3075.0</v>
      </c>
      <c r="BGE7" s="160">
        <v>3077.0</v>
      </c>
      <c r="BGF7" s="160">
        <v>3079.0</v>
      </c>
      <c r="BGG7" s="160">
        <v>3081.0</v>
      </c>
      <c r="BGH7" s="160">
        <v>3083.0</v>
      </c>
      <c r="BGI7" s="160">
        <v>3085.0</v>
      </c>
      <c r="BGJ7" s="160">
        <v>3087.0</v>
      </c>
      <c r="BGK7" s="160">
        <v>3089.0</v>
      </c>
      <c r="BGL7" s="160">
        <v>3091.0</v>
      </c>
      <c r="BGM7" s="160">
        <v>3093.0</v>
      </c>
      <c r="BGN7" s="160">
        <v>3095.0</v>
      </c>
      <c r="BGO7" s="160">
        <v>3097.0</v>
      </c>
      <c r="BGP7" s="160">
        <v>3099.0</v>
      </c>
      <c r="BGQ7" s="160">
        <v>3101.0</v>
      </c>
      <c r="BGR7" s="160">
        <v>3103.0</v>
      </c>
      <c r="BGS7" s="160">
        <v>3105.0</v>
      </c>
      <c r="BGT7" s="160">
        <v>3107.0</v>
      </c>
      <c r="BGU7" s="160">
        <v>3109.0</v>
      </c>
      <c r="BGV7" s="160">
        <v>3111.0</v>
      </c>
      <c r="BGW7" s="160">
        <v>3113.0</v>
      </c>
      <c r="BGX7" s="160">
        <v>3115.0</v>
      </c>
      <c r="BGY7" s="160">
        <v>3117.0</v>
      </c>
      <c r="BGZ7" s="160">
        <v>3119.0</v>
      </c>
      <c r="BHA7" s="160">
        <v>3121.0</v>
      </c>
      <c r="BHB7" s="160">
        <v>3123.0</v>
      </c>
      <c r="BHC7" s="160">
        <v>3125.0</v>
      </c>
      <c r="BHD7" s="160">
        <v>3127.0</v>
      </c>
      <c r="BHE7" s="160">
        <v>3129.0</v>
      </c>
      <c r="BHF7" s="160">
        <v>3131.0</v>
      </c>
      <c r="BHG7" s="160">
        <v>3133.0</v>
      </c>
      <c r="BHH7" s="160">
        <v>3135.0</v>
      </c>
      <c r="BHI7" s="160">
        <v>3137.0</v>
      </c>
      <c r="BHJ7" s="160">
        <v>3139.0</v>
      </c>
      <c r="BHK7" s="160">
        <v>3141.0</v>
      </c>
      <c r="BHL7" s="160">
        <v>3143.0</v>
      </c>
      <c r="BHM7" s="160">
        <v>3145.0</v>
      </c>
      <c r="BHN7" s="160">
        <v>3147.0</v>
      </c>
      <c r="BHO7" s="160">
        <v>3149.0</v>
      </c>
      <c r="BHP7" s="160">
        <v>3151.0</v>
      </c>
      <c r="BHQ7" s="160">
        <v>3153.0</v>
      </c>
      <c r="BHR7" s="160">
        <v>3155.0</v>
      </c>
      <c r="BHS7" s="160">
        <v>3157.0</v>
      </c>
      <c r="BHT7" s="160">
        <v>3159.0</v>
      </c>
      <c r="BHU7" s="160">
        <v>3161.0</v>
      </c>
      <c r="BHV7" s="160">
        <v>3163.0</v>
      </c>
      <c r="BHW7" s="160">
        <v>3165.0</v>
      </c>
      <c r="BHX7" s="160">
        <v>3167.0</v>
      </c>
      <c r="BHY7" s="160">
        <v>3169.0</v>
      </c>
      <c r="BHZ7" s="160">
        <v>3171.0</v>
      </c>
      <c r="BIA7" s="160">
        <v>3173.0</v>
      </c>
      <c r="BIB7" s="160">
        <v>3175.0</v>
      </c>
      <c r="BIC7" s="160">
        <v>3177.0</v>
      </c>
      <c r="BID7" s="160">
        <v>3179.0</v>
      </c>
      <c r="BIE7" s="160">
        <v>3181.0</v>
      </c>
      <c r="BIF7" s="160">
        <v>3183.0</v>
      </c>
      <c r="BIG7" s="160">
        <v>3185.0</v>
      </c>
      <c r="BIH7" s="160">
        <v>3187.0</v>
      </c>
      <c r="BII7" s="160">
        <v>3189.0</v>
      </c>
      <c r="BIJ7" s="160">
        <v>3191.0</v>
      </c>
      <c r="BIK7" s="160">
        <v>3193.0</v>
      </c>
      <c r="BIL7" s="160">
        <v>3195.0</v>
      </c>
      <c r="BIM7" s="160">
        <v>3197.0</v>
      </c>
      <c r="BIN7" s="160">
        <v>3199.0</v>
      </c>
      <c r="BIO7" s="160">
        <v>3201.0</v>
      </c>
      <c r="BIP7" s="160">
        <v>3203.0</v>
      </c>
      <c r="BIQ7" s="160">
        <v>3205.0</v>
      </c>
      <c r="BIR7" s="160">
        <v>3207.0</v>
      </c>
      <c r="BIS7" s="160">
        <v>3209.0</v>
      </c>
      <c r="BIT7" s="160">
        <v>3211.0</v>
      </c>
      <c r="BIU7" s="160">
        <v>3213.0</v>
      </c>
      <c r="BIV7" s="160">
        <v>3215.0</v>
      </c>
      <c r="BIW7" s="160">
        <v>3217.0</v>
      </c>
      <c r="BIX7" s="160">
        <v>3219.0</v>
      </c>
      <c r="BIY7" s="160">
        <v>3221.0</v>
      </c>
      <c r="BIZ7" s="160">
        <v>3223.0</v>
      </c>
      <c r="BJA7" s="160">
        <v>3225.0</v>
      </c>
      <c r="BJB7" s="160">
        <v>3227.0</v>
      </c>
      <c r="BJC7" s="160">
        <v>3229.0</v>
      </c>
      <c r="BJD7" s="160">
        <v>3231.0</v>
      </c>
      <c r="BJE7" s="160">
        <v>3233.0</v>
      </c>
      <c r="BJF7" s="160">
        <v>3235.0</v>
      </c>
      <c r="BJG7" s="160">
        <v>3237.0</v>
      </c>
      <c r="BJH7" s="160">
        <v>3239.0</v>
      </c>
      <c r="BJI7" s="160">
        <v>3241.0</v>
      </c>
      <c r="BJJ7" s="160">
        <v>3243.0</v>
      </c>
      <c r="BJK7" s="160">
        <v>3245.0</v>
      </c>
      <c r="BJL7" s="160">
        <v>3247.0</v>
      </c>
      <c r="BJM7" s="160">
        <v>3249.0</v>
      </c>
      <c r="BJN7" s="160">
        <v>3251.0</v>
      </c>
      <c r="BJO7" s="160">
        <v>3253.0</v>
      </c>
      <c r="BJP7" s="160">
        <v>3255.0</v>
      </c>
      <c r="BJQ7" s="160">
        <v>3257.0</v>
      </c>
      <c r="BJR7" s="160">
        <v>3259.0</v>
      </c>
      <c r="BJS7" s="160">
        <v>3261.0</v>
      </c>
      <c r="BJT7" s="160">
        <v>3263.0</v>
      </c>
      <c r="BJU7" s="160">
        <v>3265.0</v>
      </c>
      <c r="BJV7" s="160">
        <v>3267.0</v>
      </c>
      <c r="BJW7" s="160">
        <v>3269.0</v>
      </c>
      <c r="BJX7" s="160">
        <v>3271.0</v>
      </c>
      <c r="BJY7" s="160">
        <v>3273.0</v>
      </c>
      <c r="BJZ7" s="160">
        <v>3275.0</v>
      </c>
      <c r="BKA7" s="160">
        <v>3277.0</v>
      </c>
      <c r="BKB7" s="160">
        <v>3279.0</v>
      </c>
      <c r="BKC7" s="160">
        <v>3281.0</v>
      </c>
      <c r="BKD7" s="160">
        <v>3283.0</v>
      </c>
      <c r="BKE7" s="160">
        <v>3285.0</v>
      </c>
      <c r="BKF7" s="160">
        <v>3287.0</v>
      </c>
      <c r="BKG7" s="160">
        <v>3289.0</v>
      </c>
      <c r="BKH7" s="160">
        <v>3291.0</v>
      </c>
      <c r="BKI7" s="160">
        <v>3293.0</v>
      </c>
      <c r="BKJ7" s="160">
        <v>3295.0</v>
      </c>
      <c r="BKK7" s="160">
        <v>3297.0</v>
      </c>
      <c r="BKL7" s="160">
        <v>3299.0</v>
      </c>
      <c r="BKM7" s="160">
        <v>3301.0</v>
      </c>
      <c r="BKN7" s="160">
        <v>3303.0</v>
      </c>
      <c r="BKO7" s="160">
        <v>3305.0</v>
      </c>
      <c r="BKP7" s="160">
        <v>3307.0</v>
      </c>
      <c r="BKQ7" s="160">
        <v>3309.0</v>
      </c>
      <c r="BKR7" s="160">
        <v>3311.0</v>
      </c>
      <c r="BKS7" s="160">
        <v>3313.0</v>
      </c>
      <c r="BKT7" s="160">
        <v>3315.0</v>
      </c>
      <c r="BKU7" s="160">
        <v>3317.0</v>
      </c>
      <c r="BKV7" s="160">
        <v>3319.0</v>
      </c>
      <c r="BKW7" s="160">
        <v>3321.0</v>
      </c>
      <c r="BKX7" s="160">
        <v>3323.0</v>
      </c>
      <c r="BKY7" s="160">
        <v>3325.0</v>
      </c>
      <c r="BKZ7" s="160">
        <v>3327.0</v>
      </c>
      <c r="BLA7" s="160">
        <v>3329.0</v>
      </c>
      <c r="BLB7" s="160">
        <v>3331.0</v>
      </c>
      <c r="BLC7" s="160">
        <v>3333.0</v>
      </c>
      <c r="BLD7" s="160">
        <v>3335.0</v>
      </c>
      <c r="BLE7" s="160">
        <v>3337.0</v>
      </c>
      <c r="BLF7" s="160">
        <v>3339.0</v>
      </c>
      <c r="BLG7" s="160">
        <v>3341.0</v>
      </c>
      <c r="BLH7" s="160">
        <v>3343.0</v>
      </c>
      <c r="BLI7" s="160">
        <v>3345.0</v>
      </c>
      <c r="BLJ7" s="160">
        <v>3347.0</v>
      </c>
      <c r="BLK7" s="160">
        <v>3349.0</v>
      </c>
      <c r="BLL7" s="160">
        <v>3351.0</v>
      </c>
      <c r="BLM7" s="160">
        <v>3353.0</v>
      </c>
      <c r="BLN7" s="160">
        <v>3355.0</v>
      </c>
      <c r="BLO7" s="160">
        <v>3357.0</v>
      </c>
      <c r="BLP7" s="160">
        <v>3359.0</v>
      </c>
      <c r="BLQ7" s="160">
        <v>3361.0</v>
      </c>
      <c r="BLR7" s="160">
        <v>3363.0</v>
      </c>
      <c r="BLS7" s="160">
        <v>3365.0</v>
      </c>
      <c r="BLT7" s="160">
        <v>3367.0</v>
      </c>
      <c r="BLU7" s="160">
        <v>3369.0</v>
      </c>
      <c r="BLV7" s="160">
        <v>3371.0</v>
      </c>
      <c r="BLW7" s="160">
        <v>3373.0</v>
      </c>
      <c r="BLX7" s="160">
        <v>3375.0</v>
      </c>
      <c r="BLY7" s="160">
        <v>3377.0</v>
      </c>
      <c r="BLZ7" s="160">
        <v>3379.0</v>
      </c>
      <c r="BMA7" s="160">
        <v>3381.0</v>
      </c>
      <c r="BMB7" s="160">
        <v>3383.0</v>
      </c>
      <c r="BMC7" s="160">
        <v>3385.0</v>
      </c>
      <c r="BMD7" s="160">
        <v>3387.0</v>
      </c>
      <c r="BME7" s="160">
        <v>3389.0</v>
      </c>
      <c r="BMF7" s="160">
        <v>3391.0</v>
      </c>
      <c r="BMG7" s="160">
        <v>3393.0</v>
      </c>
      <c r="BMH7" s="160">
        <v>3395.0</v>
      </c>
      <c r="BMI7" s="160">
        <v>3397.0</v>
      </c>
      <c r="BMJ7" s="160">
        <v>3399.0</v>
      </c>
      <c r="BMK7" s="160">
        <v>3401.0</v>
      </c>
      <c r="BML7" s="160">
        <v>3403.0</v>
      </c>
      <c r="BMM7" s="160">
        <v>3405.0</v>
      </c>
      <c r="BMN7" s="160">
        <v>3407.0</v>
      </c>
      <c r="BMO7" s="160">
        <v>3409.0</v>
      </c>
      <c r="BMP7" s="160">
        <v>3411.0</v>
      </c>
      <c r="BMQ7" s="160">
        <v>3413.0</v>
      </c>
      <c r="BMR7" s="160">
        <v>3415.0</v>
      </c>
      <c r="BMS7" s="160">
        <v>3417.0</v>
      </c>
      <c r="BMT7" s="160">
        <v>3419.0</v>
      </c>
      <c r="BMU7" s="160">
        <v>3421.0</v>
      </c>
      <c r="BMV7" s="160">
        <v>3423.0</v>
      </c>
      <c r="BMW7" s="160">
        <v>3425.0</v>
      </c>
      <c r="BMX7" s="160">
        <v>3427.0</v>
      </c>
      <c r="BMY7" s="160">
        <v>3429.0</v>
      </c>
      <c r="BMZ7" s="160">
        <v>3431.0</v>
      </c>
      <c r="BNA7" s="160">
        <v>3433.0</v>
      </c>
      <c r="BNB7" s="160">
        <v>3435.0</v>
      </c>
      <c r="BNC7" s="160">
        <v>3437.0</v>
      </c>
      <c r="BND7" s="160">
        <v>3439.0</v>
      </c>
      <c r="BNE7" s="160">
        <v>3441.0</v>
      </c>
      <c r="BNF7" s="160">
        <v>3443.0</v>
      </c>
      <c r="BNG7" s="160">
        <v>3445.0</v>
      </c>
      <c r="BNH7" s="160">
        <v>3447.0</v>
      </c>
      <c r="BNI7" s="160">
        <v>3449.0</v>
      </c>
      <c r="BNJ7" s="160">
        <v>3451.0</v>
      </c>
      <c r="BNK7" s="160">
        <v>3453.0</v>
      </c>
      <c r="BNL7" s="160">
        <v>3455.0</v>
      </c>
      <c r="BNM7" s="160">
        <v>3457.0</v>
      </c>
      <c r="BNN7" s="160">
        <v>3459.0</v>
      </c>
      <c r="BNO7" s="160">
        <v>3461.0</v>
      </c>
      <c r="BNP7" s="160">
        <v>3463.0</v>
      </c>
      <c r="BNQ7" s="160">
        <v>3465.0</v>
      </c>
      <c r="BNR7" s="160">
        <v>3467.0</v>
      </c>
      <c r="BNS7" s="160">
        <v>3469.0</v>
      </c>
      <c r="BNT7" s="160">
        <v>3471.0</v>
      </c>
      <c r="BNU7" s="160">
        <v>3473.0</v>
      </c>
      <c r="BNV7" s="160">
        <v>3475.0</v>
      </c>
      <c r="BNW7" s="160">
        <v>3477.0</v>
      </c>
      <c r="BNX7" s="160">
        <v>3479.0</v>
      </c>
      <c r="BNY7" s="160">
        <v>3481.0</v>
      </c>
      <c r="BNZ7" s="160">
        <v>3483.0</v>
      </c>
      <c r="BOA7" s="160">
        <v>3485.0</v>
      </c>
      <c r="BOB7" s="160">
        <v>3487.0</v>
      </c>
      <c r="BOC7" s="160">
        <v>3489.0</v>
      </c>
      <c r="BOD7" s="160">
        <v>3491.0</v>
      </c>
      <c r="BOE7" s="160">
        <v>3493.0</v>
      </c>
      <c r="BOF7" s="160">
        <v>3495.0</v>
      </c>
      <c r="BOG7" s="160">
        <v>3497.0</v>
      </c>
      <c r="BOH7" s="160">
        <v>3499.0</v>
      </c>
      <c r="BOI7" s="160">
        <v>3501.0</v>
      </c>
      <c r="BOJ7" s="160">
        <v>3503.0</v>
      </c>
      <c r="BOK7" s="160">
        <v>3505.0</v>
      </c>
      <c r="BOL7" s="160">
        <v>3507.0</v>
      </c>
      <c r="BOM7" s="160">
        <v>3509.0</v>
      </c>
      <c r="BON7" s="160">
        <v>3511.0</v>
      </c>
      <c r="BOO7" s="160">
        <v>3513.0</v>
      </c>
      <c r="BOP7" s="160">
        <v>3515.0</v>
      </c>
      <c r="BOQ7" s="160">
        <v>3517.0</v>
      </c>
      <c r="BOR7" s="160">
        <v>3519.0</v>
      </c>
      <c r="BOS7" s="160">
        <v>3521.0</v>
      </c>
      <c r="BOT7" s="160">
        <v>3523.0</v>
      </c>
      <c r="BOU7" s="160">
        <v>3525.0</v>
      </c>
      <c r="BOV7" s="160">
        <v>3527.0</v>
      </c>
      <c r="BOW7" s="160">
        <v>3529.0</v>
      </c>
      <c r="BOX7" s="160">
        <v>3531.0</v>
      </c>
      <c r="BOY7" s="160">
        <v>3533.0</v>
      </c>
      <c r="BOZ7" s="160">
        <v>3535.0</v>
      </c>
      <c r="BPA7" s="160">
        <v>3537.0</v>
      </c>
      <c r="BPB7" s="160">
        <v>3539.0</v>
      </c>
      <c r="BPC7" s="160">
        <v>3541.0</v>
      </c>
      <c r="BPD7" s="160">
        <v>3543.0</v>
      </c>
      <c r="BPE7" s="160">
        <v>3545.0</v>
      </c>
      <c r="BPF7" s="160">
        <v>3547.0</v>
      </c>
      <c r="BPG7" s="160">
        <v>3549.0</v>
      </c>
      <c r="BPH7" s="160">
        <v>3551.0</v>
      </c>
      <c r="BPI7" s="160">
        <v>3553.0</v>
      </c>
      <c r="BPJ7" s="160">
        <v>3555.0</v>
      </c>
      <c r="BPK7" s="160">
        <v>3557.0</v>
      </c>
      <c r="BPL7" s="160">
        <v>3559.0</v>
      </c>
      <c r="BPM7" s="160">
        <v>3561.0</v>
      </c>
      <c r="BPN7" s="160">
        <v>3563.0</v>
      </c>
      <c r="BPO7" s="160">
        <v>3565.0</v>
      </c>
      <c r="BPP7" s="160">
        <v>3567.0</v>
      </c>
      <c r="BPQ7" s="160">
        <v>3569.0</v>
      </c>
      <c r="BPR7" s="160">
        <v>3571.0</v>
      </c>
      <c r="BPS7" s="160">
        <v>3573.0</v>
      </c>
      <c r="BPT7" s="160">
        <v>3575.0</v>
      </c>
      <c r="BPU7" s="160">
        <v>3577.0</v>
      </c>
      <c r="BPV7" s="160">
        <v>3579.0</v>
      </c>
      <c r="BPW7" s="160">
        <v>3581.0</v>
      </c>
      <c r="BPX7" s="160">
        <v>3583.0</v>
      </c>
      <c r="BPY7" s="160">
        <v>3585.0</v>
      </c>
      <c r="BPZ7" s="160">
        <v>3587.0</v>
      </c>
      <c r="BQA7" s="160">
        <v>3589.0</v>
      </c>
      <c r="BQB7" s="160">
        <v>3591.0</v>
      </c>
      <c r="BQC7" s="160">
        <v>3593.0</v>
      </c>
      <c r="BQD7" s="160">
        <v>3595.0</v>
      </c>
      <c r="BQE7" s="160">
        <v>3597.0</v>
      </c>
      <c r="BQF7" s="160">
        <v>3599.0</v>
      </c>
      <c r="BQG7" s="160">
        <v>3601.0</v>
      </c>
      <c r="BQH7" s="160">
        <v>3603.0</v>
      </c>
      <c r="BQI7" s="160">
        <v>3605.0</v>
      </c>
      <c r="BQJ7" s="160">
        <v>3607.0</v>
      </c>
      <c r="BQK7" s="160">
        <v>3609.0</v>
      </c>
      <c r="BQL7" s="160">
        <v>3611.0</v>
      </c>
      <c r="BQM7" s="160">
        <v>3613.0</v>
      </c>
      <c r="BQN7" s="160">
        <v>3615.0</v>
      </c>
      <c r="BQO7" s="160">
        <v>3617.0</v>
      </c>
      <c r="BQP7" s="160">
        <v>3619.0</v>
      </c>
      <c r="BQQ7" s="160">
        <v>3621.0</v>
      </c>
      <c r="BQR7" s="160">
        <v>3623.0</v>
      </c>
      <c r="BQS7" s="160">
        <v>3625.0</v>
      </c>
      <c r="BQT7" s="160">
        <v>3627.0</v>
      </c>
      <c r="BQU7" s="160">
        <v>3629.0</v>
      </c>
      <c r="BQV7" s="160">
        <v>3631.0</v>
      </c>
      <c r="BQW7" s="160">
        <v>3633.0</v>
      </c>
      <c r="BQX7" s="160">
        <v>3635.0</v>
      </c>
      <c r="BQY7" s="160">
        <v>3637.0</v>
      </c>
      <c r="BQZ7" s="160">
        <v>3639.0</v>
      </c>
      <c r="BRA7" s="160">
        <v>3641.0</v>
      </c>
      <c r="BRB7" s="160">
        <v>3643.0</v>
      </c>
      <c r="BRC7" s="160">
        <v>3645.0</v>
      </c>
      <c r="BRD7" s="160">
        <v>3647.0</v>
      </c>
      <c r="BRE7" s="160">
        <v>3649.0</v>
      </c>
      <c r="BRF7" s="160">
        <v>3651.0</v>
      </c>
      <c r="BRG7" s="160">
        <v>3653.0</v>
      </c>
      <c r="BRH7" s="160">
        <v>3655.0</v>
      </c>
      <c r="BRI7" s="160">
        <v>3657.0</v>
      </c>
      <c r="BRJ7" s="160">
        <v>3659.0</v>
      </c>
      <c r="BRK7" s="160">
        <v>3661.0</v>
      </c>
      <c r="BRL7" s="160">
        <v>3663.0</v>
      </c>
      <c r="BRM7" s="160">
        <v>3665.0</v>
      </c>
      <c r="BRN7" s="160">
        <v>3667.0</v>
      </c>
      <c r="BRO7" s="160">
        <v>3669.0</v>
      </c>
      <c r="BRP7" s="160">
        <v>3671.0</v>
      </c>
      <c r="BRQ7" s="160">
        <v>3673.0</v>
      </c>
      <c r="BRR7" s="160">
        <v>3675.0</v>
      </c>
      <c r="BRS7" s="160">
        <v>3677.0</v>
      </c>
      <c r="BRT7" s="160">
        <v>3679.0</v>
      </c>
      <c r="BRU7" s="160">
        <v>3681.0</v>
      </c>
      <c r="BRV7" s="160">
        <v>3683.0</v>
      </c>
      <c r="BRW7" s="160">
        <v>3685.0</v>
      </c>
      <c r="BRX7" s="160">
        <v>3687.0</v>
      </c>
      <c r="BRY7" s="160">
        <v>3689.0</v>
      </c>
      <c r="BRZ7" s="160">
        <v>3691.0</v>
      </c>
      <c r="BSA7" s="160">
        <v>3693.0</v>
      </c>
      <c r="BSB7" s="160">
        <v>3695.0</v>
      </c>
      <c r="BSC7" s="160">
        <v>3697.0</v>
      </c>
      <c r="BSD7" s="160">
        <v>3699.0</v>
      </c>
      <c r="BSE7" s="160">
        <v>3701.0</v>
      </c>
      <c r="BSF7" s="160">
        <v>3703.0</v>
      </c>
      <c r="BSG7" s="160">
        <v>3705.0</v>
      </c>
      <c r="BSH7" s="160">
        <v>3707.0</v>
      </c>
      <c r="BSI7" s="160">
        <v>3709.0</v>
      </c>
      <c r="BSJ7" s="160">
        <v>3711.0</v>
      </c>
      <c r="BSK7" s="160">
        <v>3713.0</v>
      </c>
      <c r="BSL7" s="160">
        <v>3715.0</v>
      </c>
      <c r="BSM7" s="160">
        <v>3717.0</v>
      </c>
      <c r="BSN7" s="160">
        <v>3719.0</v>
      </c>
      <c r="BSO7" s="160">
        <v>3721.0</v>
      </c>
      <c r="BSP7" s="160">
        <v>3723.0</v>
      </c>
      <c r="BSQ7" s="160">
        <v>3725.0</v>
      </c>
      <c r="BSR7" s="160">
        <v>3727.0</v>
      </c>
      <c r="BSS7" s="160">
        <v>3729.0</v>
      </c>
      <c r="BST7" s="160">
        <v>3731.0</v>
      </c>
      <c r="BSU7" s="160">
        <v>3733.0</v>
      </c>
      <c r="BSV7" s="160">
        <v>3735.0</v>
      </c>
      <c r="BSW7" s="160">
        <v>3737.0</v>
      </c>
      <c r="BSX7" s="160">
        <v>3739.0</v>
      </c>
      <c r="BSY7" s="160">
        <v>3741.0</v>
      </c>
      <c r="BSZ7" s="160">
        <v>3743.0</v>
      </c>
      <c r="BTA7" s="160">
        <v>3745.0</v>
      </c>
      <c r="BTB7" s="160">
        <v>3747.0</v>
      </c>
      <c r="BTC7" s="160">
        <v>3749.0</v>
      </c>
      <c r="BTD7" s="160">
        <v>3751.0</v>
      </c>
      <c r="BTE7" s="160">
        <v>3753.0</v>
      </c>
      <c r="BTF7" s="160">
        <v>3755.0</v>
      </c>
      <c r="BTG7" s="160">
        <v>3757.0</v>
      </c>
      <c r="BTH7" s="160">
        <v>3759.0</v>
      </c>
      <c r="BTI7" s="160">
        <v>3761.0</v>
      </c>
      <c r="BTJ7" s="160">
        <v>3763.0</v>
      </c>
      <c r="BTK7" s="160">
        <v>3765.0</v>
      </c>
      <c r="BTL7" s="160">
        <v>3767.0</v>
      </c>
      <c r="BTM7" s="160">
        <v>3769.0</v>
      </c>
      <c r="BTN7" s="160">
        <v>3771.0</v>
      </c>
      <c r="BTO7" s="160">
        <v>3773.0</v>
      </c>
      <c r="BTP7" s="160">
        <v>3775.0</v>
      </c>
      <c r="BTQ7" s="160">
        <v>3777.0</v>
      </c>
      <c r="BTR7" s="160">
        <v>3779.0</v>
      </c>
      <c r="BTS7" s="160">
        <v>3781.0</v>
      </c>
      <c r="BTT7" s="160">
        <v>3783.0</v>
      </c>
      <c r="BTU7" s="160">
        <v>3785.0</v>
      </c>
      <c r="BTV7" s="160">
        <v>3787.0</v>
      </c>
      <c r="BTW7" s="160">
        <v>3789.0</v>
      </c>
      <c r="BTX7" s="160">
        <v>3791.0</v>
      </c>
      <c r="BTY7" s="160">
        <v>3793.0</v>
      </c>
      <c r="BTZ7" s="160">
        <v>3795.0</v>
      </c>
      <c r="BUA7" s="160">
        <v>3797.0</v>
      </c>
      <c r="BUB7" s="160">
        <v>3799.0</v>
      </c>
      <c r="BUC7" s="160">
        <v>3801.0</v>
      </c>
      <c r="BUD7" s="160">
        <v>3803.0</v>
      </c>
      <c r="BUE7" s="160">
        <v>3805.0</v>
      </c>
      <c r="BUF7" s="160">
        <v>3807.0</v>
      </c>
      <c r="BUG7" s="160">
        <v>3809.0</v>
      </c>
      <c r="BUH7" s="160">
        <v>3811.0</v>
      </c>
      <c r="BUI7" s="160">
        <v>3813.0</v>
      </c>
      <c r="BUJ7" s="160">
        <v>3815.0</v>
      </c>
      <c r="BUK7" s="160">
        <v>3817.0</v>
      </c>
      <c r="BUL7" s="160">
        <v>3819.0</v>
      </c>
      <c r="BUM7" s="160">
        <v>3821.0</v>
      </c>
      <c r="BUN7" s="160">
        <v>3823.0</v>
      </c>
      <c r="BUO7" s="160">
        <v>3825.0</v>
      </c>
      <c r="BUP7" s="160">
        <v>3827.0</v>
      </c>
      <c r="BUQ7" s="160">
        <v>3829.0</v>
      </c>
      <c r="BUR7" s="160">
        <v>3831.0</v>
      </c>
      <c r="BUS7" s="160">
        <v>3833.0</v>
      </c>
      <c r="BUT7" s="160">
        <v>3835.0</v>
      </c>
      <c r="BUU7" s="160">
        <v>3837.0</v>
      </c>
      <c r="BUV7" s="160">
        <v>3839.0</v>
      </c>
      <c r="BUW7" s="160">
        <v>3841.0</v>
      </c>
      <c r="BUX7" s="160">
        <v>3843.0</v>
      </c>
      <c r="BUY7" s="160">
        <v>3845.0</v>
      </c>
      <c r="BUZ7" s="160">
        <v>3847.0</v>
      </c>
      <c r="BVA7" s="160">
        <v>3849.0</v>
      </c>
      <c r="BVB7" s="160">
        <v>3851.0</v>
      </c>
      <c r="BVC7" s="160">
        <v>3853.0</v>
      </c>
      <c r="BVD7" s="160">
        <v>3855.0</v>
      </c>
      <c r="BVE7" s="160">
        <v>3857.0</v>
      </c>
      <c r="BVF7" s="160">
        <v>3859.0</v>
      </c>
      <c r="BVG7" s="160">
        <v>3861.0</v>
      </c>
      <c r="BVH7" s="160">
        <v>3863.0</v>
      </c>
      <c r="BVI7" s="160">
        <v>3865.0</v>
      </c>
      <c r="BVJ7" s="160">
        <v>3867.0</v>
      </c>
      <c r="BVK7" s="160">
        <v>3869.0</v>
      </c>
      <c r="BVL7" s="160">
        <v>3871.0</v>
      </c>
      <c r="BVM7" s="160">
        <v>3873.0</v>
      </c>
      <c r="BVN7" s="160">
        <v>3875.0</v>
      </c>
      <c r="BVO7" s="160">
        <v>3877.0</v>
      </c>
      <c r="BVP7" s="160">
        <v>3879.0</v>
      </c>
      <c r="BVQ7" s="160">
        <v>3881.0</v>
      </c>
      <c r="BVR7" s="160">
        <v>3883.0</v>
      </c>
      <c r="BVS7" s="160">
        <v>3885.0</v>
      </c>
      <c r="BVT7" s="160">
        <v>3887.0</v>
      </c>
      <c r="BVU7" s="160">
        <v>3889.0</v>
      </c>
      <c r="BVV7" s="160">
        <v>3891.0</v>
      </c>
      <c r="BVW7" s="160">
        <v>3893.0</v>
      </c>
      <c r="BVX7" s="160">
        <v>3895.0</v>
      </c>
      <c r="BVY7" s="160">
        <v>3897.0</v>
      </c>
      <c r="BVZ7" s="160">
        <v>3899.0</v>
      </c>
      <c r="BWA7" s="160">
        <v>3901.0</v>
      </c>
      <c r="BWB7" s="160">
        <v>3903.0</v>
      </c>
      <c r="BWC7" s="160">
        <v>3905.0</v>
      </c>
      <c r="BWD7" s="160">
        <v>3907.0</v>
      </c>
      <c r="BWE7" s="160">
        <v>3909.0</v>
      </c>
      <c r="BWF7" s="160">
        <v>3911.0</v>
      </c>
      <c r="BWG7" s="160">
        <v>3913.0</v>
      </c>
      <c r="BWH7" s="160">
        <v>3915.0</v>
      </c>
      <c r="BWI7" s="160">
        <v>3917.0</v>
      </c>
      <c r="BWJ7" s="160">
        <v>3919.0</v>
      </c>
      <c r="BWK7" s="160">
        <v>3921.0</v>
      </c>
      <c r="BWL7" s="160">
        <v>3923.0</v>
      </c>
      <c r="BWM7" s="160">
        <v>3925.0</v>
      </c>
      <c r="BWN7" s="160">
        <v>3927.0</v>
      </c>
      <c r="BWO7" s="160">
        <v>3929.0</v>
      </c>
      <c r="BWP7" s="160">
        <v>3931.0</v>
      </c>
      <c r="BWQ7" s="160">
        <v>3933.0</v>
      </c>
      <c r="BWR7" s="160">
        <v>3935.0</v>
      </c>
      <c r="BWS7" s="160">
        <v>3937.0</v>
      </c>
      <c r="BWT7" s="160">
        <v>3939.0</v>
      </c>
      <c r="BWU7" s="160">
        <v>3941.0</v>
      </c>
      <c r="BWV7" s="160">
        <v>3943.0</v>
      </c>
      <c r="BWW7" s="160">
        <v>3945.0</v>
      </c>
      <c r="BWX7" s="160">
        <v>3947.0</v>
      </c>
      <c r="BWY7" s="160">
        <v>3949.0</v>
      </c>
      <c r="BWZ7" s="160">
        <v>3951.0</v>
      </c>
      <c r="BXA7" s="160">
        <v>3953.0</v>
      </c>
      <c r="BXB7" s="160">
        <v>3955.0</v>
      </c>
      <c r="BXC7" s="160">
        <v>3957.0</v>
      </c>
      <c r="BXD7" s="160">
        <v>3959.0</v>
      </c>
      <c r="BXE7" s="160">
        <v>3961.0</v>
      </c>
      <c r="BXF7" s="160">
        <v>3963.0</v>
      </c>
      <c r="BXG7" s="160">
        <v>3965.0</v>
      </c>
      <c r="BXH7" s="160">
        <v>3967.0</v>
      </c>
      <c r="BXI7" s="160">
        <v>3969.0</v>
      </c>
      <c r="BXJ7" s="160">
        <v>3971.0</v>
      </c>
      <c r="BXK7" s="160">
        <v>3973.0</v>
      </c>
      <c r="BXL7" s="160">
        <v>3975.0</v>
      </c>
      <c r="BXM7" s="160">
        <v>3977.0</v>
      </c>
      <c r="BXN7" s="160">
        <v>3979.0</v>
      </c>
      <c r="BXO7" s="160">
        <v>3981.0</v>
      </c>
      <c r="BXP7" s="160">
        <v>3983.0</v>
      </c>
      <c r="BXQ7" s="160">
        <v>3985.0</v>
      </c>
      <c r="BXR7" s="160">
        <v>3987.0</v>
      </c>
      <c r="BXS7" s="160">
        <v>3989.0</v>
      </c>
      <c r="BXT7" s="160">
        <v>3991.0</v>
      </c>
      <c r="BXU7" s="160">
        <v>3993.0</v>
      </c>
      <c r="BXV7" s="160">
        <v>3995.0</v>
      </c>
      <c r="BXW7" s="160">
        <v>3997.0</v>
      </c>
      <c r="BXX7" s="160">
        <v>3999.0</v>
      </c>
      <c r="BXY7" s="160">
        <v>4001.0</v>
      </c>
      <c r="BXZ7" s="160">
        <v>4003.0</v>
      </c>
      <c r="BYA7" s="160">
        <v>4005.0</v>
      </c>
      <c r="BYB7" s="160">
        <v>4007.0</v>
      </c>
      <c r="BYC7" s="160">
        <v>4009.0</v>
      </c>
      <c r="BYD7" s="160">
        <v>4011.0</v>
      </c>
      <c r="BYE7" s="160">
        <v>4013.0</v>
      </c>
      <c r="BYF7" s="160">
        <v>4015.0</v>
      </c>
      <c r="BYG7" s="160">
        <v>4017.0</v>
      </c>
      <c r="BYH7" s="160">
        <v>4019.0</v>
      </c>
      <c r="BYI7" s="160">
        <v>4021.0</v>
      </c>
      <c r="BYJ7" s="160">
        <v>4023.0</v>
      </c>
      <c r="BYK7" s="160">
        <v>4025.0</v>
      </c>
      <c r="BYL7" s="160">
        <v>4027.0</v>
      </c>
      <c r="BYM7" s="160">
        <v>4029.0</v>
      </c>
      <c r="BYN7" s="160">
        <v>4031.0</v>
      </c>
      <c r="BYO7" s="160">
        <v>4033.0</v>
      </c>
      <c r="BYP7" s="160">
        <v>4035.0</v>
      </c>
      <c r="BYQ7" s="160">
        <v>4037.0</v>
      </c>
      <c r="BYR7" s="160">
        <v>4039.0</v>
      </c>
      <c r="BYS7" s="160">
        <v>4041.0</v>
      </c>
      <c r="BYT7" s="160">
        <v>4043.0</v>
      </c>
      <c r="BYU7" s="160">
        <v>4045.0</v>
      </c>
      <c r="BYV7" s="160">
        <v>4047.0</v>
      </c>
      <c r="BYW7" s="160">
        <v>4049.0</v>
      </c>
      <c r="BYX7" s="160">
        <v>4051.0</v>
      </c>
      <c r="BYY7" s="160">
        <v>4053.0</v>
      </c>
      <c r="BYZ7" s="160">
        <v>4055.0</v>
      </c>
      <c r="BZA7" s="160">
        <v>4057.0</v>
      </c>
      <c r="BZB7" s="160">
        <v>4059.0</v>
      </c>
      <c r="BZC7" s="160">
        <v>4061.0</v>
      </c>
      <c r="BZD7" s="160">
        <v>4063.0</v>
      </c>
      <c r="BZE7" s="160">
        <v>4065.0</v>
      </c>
      <c r="BZF7" s="160">
        <v>4067.0</v>
      </c>
      <c r="BZG7" s="160">
        <v>4069.0</v>
      </c>
      <c r="BZH7" s="160">
        <v>4071.0</v>
      </c>
      <c r="BZI7" s="160">
        <v>4073.0</v>
      </c>
      <c r="BZJ7" s="160">
        <v>4075.0</v>
      </c>
      <c r="BZK7" s="160">
        <v>4077.0</v>
      </c>
      <c r="BZL7" s="160">
        <v>4079.0</v>
      </c>
      <c r="BZM7" s="160">
        <v>4081.0</v>
      </c>
      <c r="BZN7" s="160">
        <v>4083.0</v>
      </c>
      <c r="BZO7" s="160">
        <v>4085.0</v>
      </c>
      <c r="BZP7" s="160">
        <v>4087.0</v>
      </c>
      <c r="BZQ7" s="160">
        <v>4089.0</v>
      </c>
      <c r="BZR7" s="160">
        <v>4091.0</v>
      </c>
      <c r="BZS7" s="160">
        <v>4093.0</v>
      </c>
      <c r="BZT7" s="160">
        <v>4095.0</v>
      </c>
      <c r="BZU7" s="160">
        <v>4097.0</v>
      </c>
      <c r="BZV7" s="160">
        <v>4099.0</v>
      </c>
      <c r="BZW7" s="160">
        <v>4101.0</v>
      </c>
      <c r="BZX7" s="160">
        <v>4103.0</v>
      </c>
      <c r="BZY7" s="160">
        <v>4105.0</v>
      </c>
      <c r="BZZ7" s="160">
        <v>4107.0</v>
      </c>
      <c r="CAA7" s="160">
        <v>4109.0</v>
      </c>
      <c r="CAB7" s="160">
        <v>4111.0</v>
      </c>
      <c r="CAC7" s="160">
        <v>4113.0</v>
      </c>
      <c r="CAD7" s="160">
        <v>4115.0</v>
      </c>
      <c r="CAE7" s="160">
        <v>4117.0</v>
      </c>
      <c r="CAF7" s="160">
        <v>4119.0</v>
      </c>
      <c r="CAG7" s="160">
        <v>4121.0</v>
      </c>
      <c r="CAH7" s="160">
        <v>4123.0</v>
      </c>
      <c r="CAI7" s="160">
        <v>4125.0</v>
      </c>
      <c r="CAJ7" s="160">
        <v>4127.0</v>
      </c>
      <c r="CAK7" s="160">
        <v>4129.0</v>
      </c>
      <c r="CAL7" s="160">
        <v>4131.0</v>
      </c>
      <c r="CAM7" s="160">
        <v>4133.0</v>
      </c>
      <c r="CAN7" s="160">
        <v>4135.0</v>
      </c>
      <c r="CAO7" s="160">
        <v>4137.0</v>
      </c>
      <c r="CAP7" s="160">
        <v>4139.0</v>
      </c>
      <c r="CAQ7" s="160">
        <v>4141.0</v>
      </c>
      <c r="CAR7" s="160">
        <v>4143.0</v>
      </c>
      <c r="CAS7" s="160">
        <v>4145.0</v>
      </c>
      <c r="CAT7" s="160">
        <v>4147.0</v>
      </c>
      <c r="CAU7" s="160">
        <v>4149.0</v>
      </c>
      <c r="CAV7" s="160">
        <v>4151.0</v>
      </c>
      <c r="CAW7" s="160">
        <v>4153.0</v>
      </c>
      <c r="CAX7" s="160">
        <v>4155.0</v>
      </c>
      <c r="CAY7" s="160">
        <v>4157.0</v>
      </c>
      <c r="CAZ7" s="160">
        <v>4159.0</v>
      </c>
      <c r="CBA7" s="160">
        <v>4161.0</v>
      </c>
      <c r="CBB7" s="160">
        <v>4163.0</v>
      </c>
      <c r="CBC7" s="160">
        <v>4165.0</v>
      </c>
      <c r="CBD7" s="160">
        <v>4167.0</v>
      </c>
      <c r="CBE7" s="160">
        <v>4169.0</v>
      </c>
      <c r="CBF7" s="160">
        <v>4171.0</v>
      </c>
      <c r="CBG7" s="160">
        <v>4173.0</v>
      </c>
      <c r="CBH7" s="160">
        <v>4175.0</v>
      </c>
      <c r="CBI7" s="160">
        <v>4177.0</v>
      </c>
      <c r="CBJ7" s="160">
        <v>4179.0</v>
      </c>
      <c r="CBK7" s="160">
        <v>4181.0</v>
      </c>
      <c r="CBL7" s="160">
        <v>4183.0</v>
      </c>
      <c r="CBM7" s="160">
        <v>4185.0</v>
      </c>
      <c r="CBN7" s="160">
        <v>4187.0</v>
      </c>
      <c r="CBO7" s="160">
        <v>4189.0</v>
      </c>
      <c r="CBP7" s="160">
        <v>4191.0</v>
      </c>
      <c r="CBQ7" s="160">
        <v>4193.0</v>
      </c>
      <c r="CBR7" s="160">
        <v>4195.0</v>
      </c>
      <c r="CBS7" s="160">
        <v>4197.0</v>
      </c>
      <c r="CBT7" s="160">
        <v>4199.0</v>
      </c>
      <c r="CBU7" s="160">
        <v>4201.0</v>
      </c>
      <c r="CBV7" s="160">
        <v>4203.0</v>
      </c>
      <c r="CBW7" s="160">
        <v>4205.0</v>
      </c>
      <c r="CBX7" s="160">
        <v>4207.0</v>
      </c>
      <c r="CBY7" s="160">
        <v>4209.0</v>
      </c>
      <c r="CBZ7" s="160">
        <v>4211.0</v>
      </c>
      <c r="CCA7" s="160">
        <v>4213.0</v>
      </c>
      <c r="CCB7" s="160">
        <v>4215.0</v>
      </c>
      <c r="CCC7" s="160">
        <v>4217.0</v>
      </c>
      <c r="CCD7" s="160">
        <v>4219.0</v>
      </c>
      <c r="CCE7" s="160">
        <v>4221.0</v>
      </c>
      <c r="CCF7" s="160">
        <v>4223.0</v>
      </c>
      <c r="CCG7" s="160">
        <v>4225.0</v>
      </c>
      <c r="CCH7" s="160">
        <v>4227.0</v>
      </c>
      <c r="CCI7" s="160">
        <v>4229.0</v>
      </c>
      <c r="CCJ7" s="160">
        <v>4231.0</v>
      </c>
    </row>
    <row r="8" hidden="1">
      <c r="A8" s="160">
        <v>2.0</v>
      </c>
      <c r="B8" s="160">
        <v>4.0</v>
      </c>
      <c r="C8" s="160">
        <v>6.0</v>
      </c>
      <c r="D8" s="160">
        <v>8.0</v>
      </c>
      <c r="E8" s="160">
        <v>10.0</v>
      </c>
      <c r="F8" s="160">
        <v>12.0</v>
      </c>
      <c r="G8" s="160">
        <v>14.0</v>
      </c>
      <c r="H8" s="160">
        <v>16.0</v>
      </c>
      <c r="I8" s="160">
        <v>18.0</v>
      </c>
      <c r="J8" s="160">
        <v>20.0</v>
      </c>
      <c r="K8" s="160">
        <v>22.0</v>
      </c>
      <c r="L8" s="160">
        <v>24.0</v>
      </c>
      <c r="M8" s="160">
        <v>26.0</v>
      </c>
      <c r="N8" s="160">
        <v>28.0</v>
      </c>
      <c r="O8" s="160">
        <v>30.0</v>
      </c>
      <c r="P8" s="160">
        <v>32.0</v>
      </c>
      <c r="Q8" s="160">
        <v>34.0</v>
      </c>
      <c r="R8" s="160">
        <v>36.0</v>
      </c>
      <c r="S8" s="160">
        <v>38.0</v>
      </c>
      <c r="T8" s="160">
        <v>40.0</v>
      </c>
      <c r="U8" s="160">
        <v>42.0</v>
      </c>
      <c r="V8" s="160">
        <v>44.0</v>
      </c>
      <c r="W8" s="160">
        <v>46.0</v>
      </c>
      <c r="X8" s="160">
        <v>48.0</v>
      </c>
      <c r="Y8" s="160">
        <v>50.0</v>
      </c>
      <c r="Z8" s="160">
        <v>52.0</v>
      </c>
      <c r="AA8" s="160">
        <v>54.0</v>
      </c>
      <c r="AB8" s="160">
        <v>56.0</v>
      </c>
      <c r="AC8" s="160">
        <v>58.0</v>
      </c>
      <c r="AD8" s="160">
        <v>60.0</v>
      </c>
      <c r="AE8" s="160">
        <v>62.0</v>
      </c>
      <c r="AF8" s="160">
        <v>64.0</v>
      </c>
      <c r="AG8" s="160">
        <v>66.0</v>
      </c>
      <c r="AH8" s="160">
        <v>68.0</v>
      </c>
      <c r="AI8" s="160">
        <v>70.0</v>
      </c>
      <c r="AJ8" s="160">
        <v>72.0</v>
      </c>
      <c r="AK8" s="160">
        <v>74.0</v>
      </c>
      <c r="AL8" s="160">
        <v>76.0</v>
      </c>
      <c r="AM8" s="160">
        <v>78.0</v>
      </c>
      <c r="AN8" s="160">
        <v>80.0</v>
      </c>
      <c r="AO8" s="160">
        <v>82.0</v>
      </c>
      <c r="AP8" s="160">
        <v>84.0</v>
      </c>
      <c r="AQ8" s="160">
        <v>86.0</v>
      </c>
      <c r="AR8" s="160">
        <v>88.0</v>
      </c>
      <c r="AS8" s="160">
        <v>90.0</v>
      </c>
      <c r="AT8" s="160">
        <v>92.0</v>
      </c>
      <c r="AU8" s="160">
        <v>94.0</v>
      </c>
      <c r="AV8" s="160">
        <v>96.0</v>
      </c>
      <c r="AW8" s="160">
        <v>98.0</v>
      </c>
      <c r="AX8" s="160">
        <v>100.0</v>
      </c>
      <c r="AY8" s="160">
        <v>102.0</v>
      </c>
      <c r="AZ8" s="160">
        <v>104.0</v>
      </c>
      <c r="BA8" s="160">
        <v>106.0</v>
      </c>
      <c r="BB8" s="160">
        <v>108.0</v>
      </c>
      <c r="BC8" s="160">
        <v>110.0</v>
      </c>
      <c r="BD8" s="160">
        <v>112.0</v>
      </c>
      <c r="BE8" s="160">
        <v>114.0</v>
      </c>
      <c r="BF8" s="160">
        <v>116.0</v>
      </c>
      <c r="BG8" s="160">
        <v>118.0</v>
      </c>
      <c r="BH8" s="160">
        <v>120.0</v>
      </c>
      <c r="BI8" s="160">
        <v>122.0</v>
      </c>
      <c r="BJ8" s="160">
        <v>124.0</v>
      </c>
      <c r="BK8" s="160">
        <v>126.0</v>
      </c>
      <c r="BL8" s="160">
        <v>128.0</v>
      </c>
      <c r="BM8" s="160">
        <v>130.0</v>
      </c>
      <c r="BN8" s="160">
        <v>132.0</v>
      </c>
      <c r="BO8" s="160">
        <v>134.0</v>
      </c>
      <c r="BP8" s="160">
        <v>136.0</v>
      </c>
      <c r="BQ8" s="160">
        <v>138.0</v>
      </c>
      <c r="BR8" s="160">
        <v>140.0</v>
      </c>
      <c r="BS8" s="160">
        <v>142.0</v>
      </c>
      <c r="BT8" s="160">
        <v>144.0</v>
      </c>
      <c r="BU8" s="160">
        <v>146.0</v>
      </c>
      <c r="BV8" s="160">
        <v>148.0</v>
      </c>
      <c r="BW8" s="160">
        <v>150.0</v>
      </c>
      <c r="BX8" s="160">
        <v>152.0</v>
      </c>
      <c r="BY8" s="160">
        <v>154.0</v>
      </c>
      <c r="BZ8" s="160">
        <v>156.0</v>
      </c>
      <c r="CA8" s="160">
        <v>158.0</v>
      </c>
      <c r="CB8" s="160">
        <v>160.0</v>
      </c>
      <c r="CC8" s="160">
        <v>162.0</v>
      </c>
      <c r="CD8" s="160">
        <v>164.0</v>
      </c>
      <c r="CE8" s="160">
        <v>166.0</v>
      </c>
      <c r="CF8" s="160">
        <v>168.0</v>
      </c>
      <c r="CG8" s="160">
        <v>170.0</v>
      </c>
      <c r="CH8" s="160">
        <v>172.0</v>
      </c>
      <c r="CI8" s="160">
        <v>174.0</v>
      </c>
      <c r="CJ8" s="160">
        <v>176.0</v>
      </c>
      <c r="CK8" s="160">
        <v>178.0</v>
      </c>
      <c r="CL8" s="160">
        <v>180.0</v>
      </c>
      <c r="CM8" s="160">
        <v>182.0</v>
      </c>
      <c r="CN8" s="160">
        <v>184.0</v>
      </c>
      <c r="CO8" s="160">
        <v>186.0</v>
      </c>
      <c r="CP8" s="160">
        <v>188.0</v>
      </c>
      <c r="CQ8" s="160">
        <v>190.0</v>
      </c>
      <c r="CR8" s="160">
        <v>192.0</v>
      </c>
      <c r="CS8" s="160">
        <v>194.0</v>
      </c>
      <c r="CT8" s="160">
        <v>196.0</v>
      </c>
      <c r="CU8" s="160">
        <v>198.0</v>
      </c>
      <c r="CV8" s="160">
        <v>200.0</v>
      </c>
      <c r="CW8" s="160">
        <v>202.0</v>
      </c>
      <c r="CX8" s="160">
        <v>204.0</v>
      </c>
      <c r="CY8" s="160">
        <v>206.0</v>
      </c>
      <c r="CZ8" s="160">
        <v>208.0</v>
      </c>
      <c r="DA8" s="160">
        <v>210.0</v>
      </c>
      <c r="DB8" s="160">
        <v>212.0</v>
      </c>
      <c r="DC8" s="160">
        <v>214.0</v>
      </c>
      <c r="DD8" s="160">
        <v>216.0</v>
      </c>
      <c r="DE8" s="160">
        <v>218.0</v>
      </c>
      <c r="DF8" s="160">
        <v>220.0</v>
      </c>
      <c r="DG8" s="160">
        <v>222.0</v>
      </c>
      <c r="DH8" s="160">
        <v>224.0</v>
      </c>
      <c r="DI8" s="160">
        <v>226.0</v>
      </c>
      <c r="DJ8" s="160">
        <v>228.0</v>
      </c>
      <c r="DK8" s="160">
        <v>230.0</v>
      </c>
      <c r="DL8" s="160">
        <v>232.0</v>
      </c>
      <c r="DM8" s="160">
        <v>234.0</v>
      </c>
      <c r="DN8" s="160">
        <v>236.0</v>
      </c>
      <c r="DO8" s="160">
        <v>238.0</v>
      </c>
      <c r="DP8" s="160">
        <v>240.0</v>
      </c>
      <c r="DQ8" s="160">
        <v>242.0</v>
      </c>
      <c r="DR8" s="160">
        <v>244.0</v>
      </c>
      <c r="DS8" s="160">
        <v>246.0</v>
      </c>
      <c r="DT8" s="160">
        <v>248.0</v>
      </c>
      <c r="DU8" s="160">
        <v>250.0</v>
      </c>
      <c r="DV8" s="160">
        <v>252.0</v>
      </c>
      <c r="DW8" s="160">
        <v>254.0</v>
      </c>
      <c r="DX8" s="160">
        <v>256.0</v>
      </c>
      <c r="DY8" s="160">
        <v>258.0</v>
      </c>
      <c r="DZ8" s="160">
        <v>260.0</v>
      </c>
      <c r="EA8" s="160">
        <v>262.0</v>
      </c>
      <c r="EB8" s="160">
        <v>264.0</v>
      </c>
      <c r="EC8" s="160">
        <v>266.0</v>
      </c>
      <c r="ED8" s="160">
        <v>268.0</v>
      </c>
      <c r="EE8" s="160">
        <v>270.0</v>
      </c>
      <c r="EF8" s="160">
        <v>272.0</v>
      </c>
      <c r="EG8" s="160">
        <v>274.0</v>
      </c>
      <c r="EH8" s="160">
        <v>276.0</v>
      </c>
      <c r="EI8" s="160">
        <v>278.0</v>
      </c>
      <c r="EJ8" s="160">
        <v>280.0</v>
      </c>
      <c r="EK8" s="160">
        <v>282.0</v>
      </c>
      <c r="EL8" s="160">
        <v>284.0</v>
      </c>
      <c r="EM8" s="160">
        <v>286.0</v>
      </c>
      <c r="EN8" s="160">
        <v>288.0</v>
      </c>
      <c r="EO8" s="160">
        <v>290.0</v>
      </c>
      <c r="EP8" s="160">
        <v>292.0</v>
      </c>
      <c r="EQ8" s="160">
        <v>294.0</v>
      </c>
      <c r="ER8" s="160">
        <v>296.0</v>
      </c>
      <c r="ES8" s="160">
        <v>298.0</v>
      </c>
      <c r="ET8" s="160">
        <v>300.0</v>
      </c>
      <c r="EU8" s="160">
        <v>302.0</v>
      </c>
      <c r="EV8" s="160">
        <v>304.0</v>
      </c>
      <c r="EW8" s="160">
        <v>306.0</v>
      </c>
      <c r="EX8" s="160">
        <v>308.0</v>
      </c>
      <c r="EY8" s="160">
        <v>310.0</v>
      </c>
      <c r="EZ8" s="160">
        <v>312.0</v>
      </c>
      <c r="FA8" s="160">
        <v>314.0</v>
      </c>
      <c r="FB8" s="160">
        <v>316.0</v>
      </c>
      <c r="FC8" s="160">
        <v>318.0</v>
      </c>
      <c r="FD8" s="160">
        <v>320.0</v>
      </c>
      <c r="FE8" s="160">
        <v>322.0</v>
      </c>
      <c r="FF8" s="160">
        <v>324.0</v>
      </c>
      <c r="FG8" s="160">
        <v>326.0</v>
      </c>
      <c r="FH8" s="160">
        <v>328.0</v>
      </c>
      <c r="FI8" s="160">
        <v>330.0</v>
      </c>
      <c r="FJ8" s="160">
        <v>332.0</v>
      </c>
      <c r="FK8" s="160">
        <v>334.0</v>
      </c>
      <c r="FL8" s="160">
        <v>336.0</v>
      </c>
      <c r="FM8" s="160">
        <v>338.0</v>
      </c>
      <c r="FN8" s="160">
        <v>340.0</v>
      </c>
      <c r="FO8" s="160">
        <v>342.0</v>
      </c>
      <c r="FP8" s="160">
        <v>344.0</v>
      </c>
      <c r="FQ8" s="160">
        <v>346.0</v>
      </c>
      <c r="FR8" s="160">
        <v>348.0</v>
      </c>
      <c r="FS8" s="160">
        <v>350.0</v>
      </c>
      <c r="FT8" s="160">
        <v>352.0</v>
      </c>
      <c r="FU8" s="160">
        <v>354.0</v>
      </c>
      <c r="FV8" s="160">
        <v>356.0</v>
      </c>
      <c r="FW8" s="160">
        <v>358.0</v>
      </c>
      <c r="FX8" s="160">
        <v>360.0</v>
      </c>
      <c r="FY8" s="160">
        <v>362.0</v>
      </c>
      <c r="FZ8" s="160">
        <v>364.0</v>
      </c>
      <c r="GA8" s="160">
        <v>366.0</v>
      </c>
      <c r="GB8" s="160">
        <v>368.0</v>
      </c>
      <c r="GC8" s="160">
        <v>370.0</v>
      </c>
      <c r="GD8" s="160">
        <v>372.0</v>
      </c>
      <c r="GE8" s="160">
        <v>374.0</v>
      </c>
      <c r="GF8" s="160">
        <v>376.0</v>
      </c>
      <c r="GG8" s="160">
        <v>378.0</v>
      </c>
      <c r="GH8" s="160">
        <v>380.0</v>
      </c>
      <c r="GI8" s="160">
        <v>382.0</v>
      </c>
      <c r="GJ8" s="160">
        <v>384.0</v>
      </c>
      <c r="GK8" s="160">
        <v>386.0</v>
      </c>
      <c r="GL8" s="160">
        <v>388.0</v>
      </c>
      <c r="GM8" s="160">
        <v>390.0</v>
      </c>
      <c r="GN8" s="160">
        <v>392.0</v>
      </c>
      <c r="GO8" s="160">
        <v>394.0</v>
      </c>
      <c r="GP8" s="160">
        <v>396.0</v>
      </c>
      <c r="GQ8" s="160">
        <v>398.0</v>
      </c>
      <c r="GR8" s="160">
        <v>400.0</v>
      </c>
      <c r="GS8" s="160">
        <v>402.0</v>
      </c>
      <c r="GT8" s="160">
        <v>404.0</v>
      </c>
      <c r="GU8" s="160">
        <v>406.0</v>
      </c>
      <c r="GV8" s="160">
        <v>408.0</v>
      </c>
      <c r="GW8" s="160">
        <v>410.0</v>
      </c>
      <c r="GX8" s="160">
        <v>412.0</v>
      </c>
      <c r="GY8" s="160">
        <v>414.0</v>
      </c>
      <c r="GZ8" s="160">
        <v>416.0</v>
      </c>
      <c r="HA8" s="160">
        <v>418.0</v>
      </c>
      <c r="HB8" s="160">
        <v>420.0</v>
      </c>
      <c r="HC8" s="160">
        <v>422.0</v>
      </c>
      <c r="HD8" s="160">
        <v>424.0</v>
      </c>
      <c r="HE8" s="160">
        <v>426.0</v>
      </c>
      <c r="HF8" s="160">
        <v>428.0</v>
      </c>
      <c r="HG8" s="160">
        <v>430.0</v>
      </c>
      <c r="HH8" s="160">
        <v>432.0</v>
      </c>
      <c r="HI8" s="160">
        <v>434.0</v>
      </c>
      <c r="HJ8" s="160">
        <v>436.0</v>
      </c>
      <c r="HK8" s="160">
        <v>438.0</v>
      </c>
      <c r="HL8" s="160">
        <v>440.0</v>
      </c>
      <c r="HM8" s="160">
        <v>442.0</v>
      </c>
      <c r="HN8" s="160">
        <v>444.0</v>
      </c>
      <c r="HO8" s="160">
        <v>446.0</v>
      </c>
      <c r="HP8" s="160">
        <v>448.0</v>
      </c>
      <c r="HQ8" s="160">
        <v>450.0</v>
      </c>
      <c r="HR8" s="160">
        <v>452.0</v>
      </c>
      <c r="HS8" s="160">
        <v>454.0</v>
      </c>
      <c r="HT8" s="160">
        <v>456.0</v>
      </c>
      <c r="HU8" s="160">
        <v>458.0</v>
      </c>
      <c r="HV8" s="160">
        <v>460.0</v>
      </c>
      <c r="HW8" s="160">
        <v>462.0</v>
      </c>
      <c r="HX8" s="160">
        <v>464.0</v>
      </c>
      <c r="HY8" s="160">
        <v>466.0</v>
      </c>
      <c r="HZ8" s="160">
        <v>468.0</v>
      </c>
      <c r="IA8" s="160">
        <v>470.0</v>
      </c>
      <c r="IB8" s="160">
        <v>472.0</v>
      </c>
      <c r="IC8" s="160">
        <v>474.0</v>
      </c>
      <c r="ID8" s="160">
        <v>476.0</v>
      </c>
      <c r="IE8" s="160">
        <v>478.0</v>
      </c>
      <c r="IF8" s="160">
        <v>480.0</v>
      </c>
      <c r="IG8" s="160">
        <v>482.0</v>
      </c>
      <c r="IH8" s="160">
        <v>484.0</v>
      </c>
      <c r="II8" s="160">
        <v>486.0</v>
      </c>
      <c r="IJ8" s="160">
        <v>488.0</v>
      </c>
      <c r="IK8" s="160">
        <v>490.0</v>
      </c>
      <c r="IL8" s="160">
        <v>492.0</v>
      </c>
      <c r="IM8" s="160">
        <v>494.0</v>
      </c>
      <c r="IN8" s="160">
        <v>496.0</v>
      </c>
      <c r="IO8" s="160">
        <v>498.0</v>
      </c>
      <c r="IP8" s="160">
        <v>500.0</v>
      </c>
      <c r="IQ8" s="160">
        <v>502.0</v>
      </c>
      <c r="IR8" s="160">
        <v>504.0</v>
      </c>
      <c r="IS8" s="160">
        <v>506.0</v>
      </c>
      <c r="IT8" s="160">
        <v>508.0</v>
      </c>
      <c r="IU8" s="160">
        <v>510.0</v>
      </c>
      <c r="IV8" s="160">
        <v>512.0</v>
      </c>
      <c r="IW8" s="160">
        <v>514.0</v>
      </c>
      <c r="IX8" s="160">
        <v>516.0</v>
      </c>
      <c r="IY8" s="160">
        <v>518.0</v>
      </c>
      <c r="IZ8" s="160">
        <v>520.0</v>
      </c>
      <c r="JA8" s="160">
        <v>522.0</v>
      </c>
      <c r="JB8" s="160">
        <v>524.0</v>
      </c>
      <c r="JC8" s="160">
        <v>526.0</v>
      </c>
      <c r="JD8" s="160">
        <v>528.0</v>
      </c>
      <c r="JE8" s="160">
        <v>530.0</v>
      </c>
      <c r="JF8" s="160">
        <v>532.0</v>
      </c>
      <c r="JG8" s="160">
        <v>534.0</v>
      </c>
      <c r="JH8" s="160">
        <v>536.0</v>
      </c>
      <c r="JI8" s="160">
        <v>538.0</v>
      </c>
      <c r="JJ8" s="160">
        <v>540.0</v>
      </c>
      <c r="JK8" s="160">
        <v>542.0</v>
      </c>
      <c r="JL8" s="160">
        <v>544.0</v>
      </c>
      <c r="JM8" s="160">
        <v>546.0</v>
      </c>
      <c r="JN8" s="160">
        <v>548.0</v>
      </c>
      <c r="JO8" s="160">
        <v>550.0</v>
      </c>
      <c r="JP8" s="160">
        <v>552.0</v>
      </c>
      <c r="JQ8" s="160">
        <v>554.0</v>
      </c>
      <c r="JR8" s="160">
        <v>556.0</v>
      </c>
      <c r="JS8" s="160">
        <v>558.0</v>
      </c>
      <c r="JT8" s="160">
        <v>560.0</v>
      </c>
      <c r="JU8" s="160">
        <v>562.0</v>
      </c>
      <c r="JV8" s="160">
        <v>564.0</v>
      </c>
      <c r="JW8" s="160">
        <v>566.0</v>
      </c>
      <c r="JX8" s="160">
        <v>568.0</v>
      </c>
      <c r="JY8" s="160">
        <v>570.0</v>
      </c>
      <c r="JZ8" s="160">
        <v>572.0</v>
      </c>
      <c r="KA8" s="160">
        <v>574.0</v>
      </c>
      <c r="KB8" s="160">
        <v>576.0</v>
      </c>
      <c r="KC8" s="160">
        <v>578.0</v>
      </c>
      <c r="KD8" s="160">
        <v>580.0</v>
      </c>
      <c r="KE8" s="160">
        <v>582.0</v>
      </c>
      <c r="KF8" s="160">
        <v>584.0</v>
      </c>
      <c r="KG8" s="160">
        <v>586.0</v>
      </c>
      <c r="KH8" s="160">
        <v>588.0</v>
      </c>
      <c r="KI8" s="160">
        <v>590.0</v>
      </c>
      <c r="KJ8" s="160">
        <v>592.0</v>
      </c>
      <c r="KK8" s="160">
        <v>594.0</v>
      </c>
      <c r="KL8" s="160">
        <v>596.0</v>
      </c>
      <c r="KM8" s="160">
        <v>598.0</v>
      </c>
      <c r="KN8" s="160">
        <v>600.0</v>
      </c>
      <c r="KO8" s="160">
        <v>602.0</v>
      </c>
      <c r="KP8" s="160">
        <v>604.0</v>
      </c>
      <c r="KQ8" s="160">
        <v>606.0</v>
      </c>
      <c r="KR8" s="160">
        <v>608.0</v>
      </c>
      <c r="KS8" s="160">
        <v>610.0</v>
      </c>
      <c r="KT8" s="160">
        <v>612.0</v>
      </c>
      <c r="KU8" s="160">
        <v>614.0</v>
      </c>
      <c r="KV8" s="160">
        <v>616.0</v>
      </c>
      <c r="KW8" s="160">
        <v>618.0</v>
      </c>
      <c r="KX8" s="160">
        <v>620.0</v>
      </c>
      <c r="KY8" s="160">
        <v>622.0</v>
      </c>
      <c r="KZ8" s="160">
        <v>624.0</v>
      </c>
      <c r="LA8" s="160">
        <v>626.0</v>
      </c>
      <c r="LB8" s="160">
        <v>628.0</v>
      </c>
      <c r="LC8" s="160">
        <v>630.0</v>
      </c>
      <c r="LD8" s="160">
        <v>632.0</v>
      </c>
      <c r="LE8" s="160">
        <v>634.0</v>
      </c>
      <c r="LF8" s="160">
        <v>636.0</v>
      </c>
      <c r="LG8" s="160">
        <v>638.0</v>
      </c>
      <c r="LH8" s="160">
        <v>640.0</v>
      </c>
      <c r="LI8" s="160">
        <v>642.0</v>
      </c>
      <c r="LJ8" s="160">
        <v>644.0</v>
      </c>
      <c r="LK8" s="160">
        <v>646.0</v>
      </c>
      <c r="LL8" s="160">
        <v>648.0</v>
      </c>
      <c r="LM8" s="160">
        <v>650.0</v>
      </c>
      <c r="LN8" s="160">
        <v>652.0</v>
      </c>
      <c r="LO8" s="160">
        <v>654.0</v>
      </c>
      <c r="LP8" s="160">
        <v>656.0</v>
      </c>
      <c r="LQ8" s="160">
        <v>658.0</v>
      </c>
      <c r="LR8" s="160">
        <v>660.0</v>
      </c>
      <c r="LS8" s="160">
        <v>662.0</v>
      </c>
      <c r="LT8" s="160">
        <v>664.0</v>
      </c>
      <c r="LU8" s="160">
        <v>666.0</v>
      </c>
      <c r="LV8" s="160">
        <v>668.0</v>
      </c>
      <c r="LW8" s="160">
        <v>670.0</v>
      </c>
      <c r="LX8" s="160">
        <v>672.0</v>
      </c>
      <c r="LY8" s="160">
        <v>674.0</v>
      </c>
      <c r="LZ8" s="160">
        <v>676.0</v>
      </c>
      <c r="MA8" s="160">
        <v>678.0</v>
      </c>
      <c r="MB8" s="160">
        <v>680.0</v>
      </c>
      <c r="MC8" s="160">
        <v>682.0</v>
      </c>
      <c r="MD8" s="160">
        <v>684.0</v>
      </c>
      <c r="ME8" s="160">
        <v>686.0</v>
      </c>
      <c r="MF8" s="160">
        <v>688.0</v>
      </c>
      <c r="MG8" s="160">
        <v>690.0</v>
      </c>
      <c r="MH8" s="160">
        <v>692.0</v>
      </c>
      <c r="MI8" s="160">
        <v>694.0</v>
      </c>
      <c r="MJ8" s="160">
        <v>696.0</v>
      </c>
      <c r="MK8" s="160">
        <v>698.0</v>
      </c>
      <c r="ML8" s="160">
        <v>700.0</v>
      </c>
      <c r="MM8" s="160">
        <v>702.0</v>
      </c>
      <c r="MN8" s="160">
        <v>704.0</v>
      </c>
      <c r="MO8" s="160">
        <v>706.0</v>
      </c>
      <c r="MP8" s="160">
        <v>708.0</v>
      </c>
      <c r="MQ8" s="160">
        <v>710.0</v>
      </c>
      <c r="MR8" s="160">
        <v>712.0</v>
      </c>
      <c r="MS8" s="160">
        <v>714.0</v>
      </c>
      <c r="MT8" s="160">
        <v>716.0</v>
      </c>
      <c r="MU8" s="160">
        <v>718.0</v>
      </c>
      <c r="MV8" s="160">
        <v>720.0</v>
      </c>
      <c r="MW8" s="160">
        <v>722.0</v>
      </c>
      <c r="MX8" s="160">
        <v>724.0</v>
      </c>
      <c r="MY8" s="160">
        <v>726.0</v>
      </c>
      <c r="MZ8" s="160">
        <v>728.0</v>
      </c>
      <c r="NA8" s="160">
        <v>730.0</v>
      </c>
      <c r="NB8" s="160">
        <v>732.0</v>
      </c>
      <c r="NC8" s="160">
        <v>734.0</v>
      </c>
      <c r="ND8" s="160">
        <v>736.0</v>
      </c>
      <c r="NE8" s="160">
        <v>738.0</v>
      </c>
      <c r="NF8" s="160">
        <v>740.0</v>
      </c>
      <c r="NG8" s="160">
        <v>742.0</v>
      </c>
      <c r="NH8" s="160">
        <v>744.0</v>
      </c>
      <c r="NI8" s="160">
        <v>746.0</v>
      </c>
      <c r="NJ8" s="160">
        <v>748.0</v>
      </c>
      <c r="NK8" s="160">
        <v>750.0</v>
      </c>
      <c r="NL8" s="160">
        <v>752.0</v>
      </c>
      <c r="NM8" s="160">
        <v>754.0</v>
      </c>
      <c r="NN8" s="160">
        <v>756.0</v>
      </c>
      <c r="NO8" s="160">
        <v>758.0</v>
      </c>
      <c r="NP8" s="160">
        <v>760.0</v>
      </c>
      <c r="NQ8" s="160">
        <v>762.0</v>
      </c>
      <c r="NR8" s="160">
        <v>764.0</v>
      </c>
      <c r="NS8" s="160">
        <v>766.0</v>
      </c>
      <c r="NT8" s="160">
        <v>768.0</v>
      </c>
      <c r="NU8" s="160">
        <v>770.0</v>
      </c>
      <c r="NV8" s="160">
        <v>772.0</v>
      </c>
      <c r="NW8" s="160">
        <v>774.0</v>
      </c>
      <c r="NX8" s="160">
        <v>776.0</v>
      </c>
      <c r="NY8" s="160">
        <v>778.0</v>
      </c>
      <c r="NZ8" s="160">
        <v>780.0</v>
      </c>
      <c r="OA8" s="160">
        <v>782.0</v>
      </c>
      <c r="OB8" s="160">
        <v>784.0</v>
      </c>
      <c r="OC8" s="160">
        <v>786.0</v>
      </c>
      <c r="OD8" s="160">
        <v>788.0</v>
      </c>
      <c r="OE8" s="160">
        <v>790.0</v>
      </c>
      <c r="OF8" s="160">
        <v>792.0</v>
      </c>
      <c r="OG8" s="160">
        <v>794.0</v>
      </c>
      <c r="OH8" s="160">
        <v>796.0</v>
      </c>
      <c r="OI8" s="160">
        <v>798.0</v>
      </c>
      <c r="OJ8" s="160">
        <v>800.0</v>
      </c>
      <c r="OK8" s="160">
        <v>802.0</v>
      </c>
      <c r="OL8" s="160">
        <v>804.0</v>
      </c>
      <c r="OM8" s="160">
        <v>806.0</v>
      </c>
      <c r="ON8" s="160">
        <v>808.0</v>
      </c>
      <c r="OO8" s="160">
        <v>810.0</v>
      </c>
      <c r="OP8" s="160">
        <v>812.0</v>
      </c>
      <c r="OQ8" s="160">
        <v>814.0</v>
      </c>
      <c r="OR8" s="160">
        <v>816.0</v>
      </c>
      <c r="OS8" s="160">
        <v>818.0</v>
      </c>
      <c r="OT8" s="160">
        <v>820.0</v>
      </c>
      <c r="OU8" s="160">
        <v>822.0</v>
      </c>
      <c r="OV8" s="160">
        <v>824.0</v>
      </c>
      <c r="OW8" s="160">
        <v>826.0</v>
      </c>
      <c r="OX8" s="160">
        <v>828.0</v>
      </c>
      <c r="OY8" s="160">
        <v>830.0</v>
      </c>
      <c r="OZ8" s="160">
        <v>832.0</v>
      </c>
      <c r="PA8" s="160">
        <v>834.0</v>
      </c>
      <c r="PB8" s="160">
        <v>836.0</v>
      </c>
      <c r="PC8" s="160">
        <v>838.0</v>
      </c>
      <c r="PD8" s="160">
        <v>840.0</v>
      </c>
      <c r="PE8" s="160">
        <v>842.0</v>
      </c>
      <c r="PF8" s="160">
        <v>844.0</v>
      </c>
      <c r="PG8" s="160">
        <v>846.0</v>
      </c>
      <c r="PH8" s="160">
        <v>848.0</v>
      </c>
      <c r="PI8" s="160">
        <v>850.0</v>
      </c>
      <c r="PJ8" s="160">
        <v>852.0</v>
      </c>
      <c r="PK8" s="160">
        <v>854.0</v>
      </c>
      <c r="PL8" s="160">
        <v>856.0</v>
      </c>
      <c r="PM8" s="160">
        <v>858.0</v>
      </c>
      <c r="PN8" s="160">
        <v>860.0</v>
      </c>
      <c r="PO8" s="160">
        <v>862.0</v>
      </c>
      <c r="PP8" s="160">
        <v>864.0</v>
      </c>
      <c r="PQ8" s="160">
        <v>866.0</v>
      </c>
      <c r="PR8" s="160">
        <v>868.0</v>
      </c>
      <c r="PS8" s="160">
        <v>870.0</v>
      </c>
      <c r="PT8" s="160">
        <v>872.0</v>
      </c>
      <c r="PU8" s="160">
        <v>874.0</v>
      </c>
      <c r="PV8" s="160">
        <v>876.0</v>
      </c>
      <c r="PW8" s="160">
        <v>878.0</v>
      </c>
      <c r="PX8" s="160">
        <v>880.0</v>
      </c>
      <c r="PY8" s="160">
        <v>882.0</v>
      </c>
      <c r="PZ8" s="160">
        <v>884.0</v>
      </c>
      <c r="QA8" s="160">
        <v>886.0</v>
      </c>
      <c r="QB8" s="160">
        <v>888.0</v>
      </c>
      <c r="QC8" s="160">
        <v>890.0</v>
      </c>
      <c r="QD8" s="160">
        <v>892.0</v>
      </c>
      <c r="QE8" s="160">
        <v>894.0</v>
      </c>
      <c r="QF8" s="160">
        <v>896.0</v>
      </c>
      <c r="QG8" s="160">
        <v>898.0</v>
      </c>
      <c r="QH8" s="160">
        <v>900.0</v>
      </c>
      <c r="QI8" s="160">
        <v>902.0</v>
      </c>
      <c r="QJ8" s="160">
        <v>904.0</v>
      </c>
      <c r="QK8" s="160">
        <v>906.0</v>
      </c>
      <c r="QL8" s="160">
        <v>908.0</v>
      </c>
      <c r="QM8" s="160">
        <v>910.0</v>
      </c>
      <c r="QN8" s="160">
        <v>912.0</v>
      </c>
      <c r="QO8" s="160">
        <v>914.0</v>
      </c>
      <c r="QP8" s="160">
        <v>916.0</v>
      </c>
      <c r="QQ8" s="160">
        <v>918.0</v>
      </c>
      <c r="QR8" s="160">
        <v>920.0</v>
      </c>
      <c r="QS8" s="160">
        <v>922.0</v>
      </c>
      <c r="QT8" s="160">
        <v>924.0</v>
      </c>
      <c r="QU8" s="160">
        <v>926.0</v>
      </c>
      <c r="QV8" s="160">
        <v>928.0</v>
      </c>
      <c r="QW8" s="160">
        <v>930.0</v>
      </c>
      <c r="QX8" s="160">
        <v>932.0</v>
      </c>
      <c r="QY8" s="160">
        <v>934.0</v>
      </c>
      <c r="QZ8" s="160">
        <v>936.0</v>
      </c>
      <c r="RA8" s="160">
        <v>938.0</v>
      </c>
      <c r="RB8" s="160">
        <v>940.0</v>
      </c>
      <c r="RC8" s="160">
        <v>942.0</v>
      </c>
      <c r="RD8" s="160">
        <v>944.0</v>
      </c>
      <c r="RE8" s="160">
        <v>946.0</v>
      </c>
      <c r="RF8" s="160">
        <v>948.0</v>
      </c>
      <c r="RG8" s="160">
        <v>950.0</v>
      </c>
      <c r="RH8" s="160">
        <v>952.0</v>
      </c>
      <c r="RI8" s="160">
        <v>954.0</v>
      </c>
      <c r="RJ8" s="160">
        <v>956.0</v>
      </c>
      <c r="RK8" s="160">
        <v>958.0</v>
      </c>
      <c r="RL8" s="160">
        <v>960.0</v>
      </c>
      <c r="RM8" s="160">
        <v>962.0</v>
      </c>
      <c r="RN8" s="160">
        <v>964.0</v>
      </c>
      <c r="RO8" s="160">
        <v>966.0</v>
      </c>
      <c r="RP8" s="160">
        <v>968.0</v>
      </c>
      <c r="RQ8" s="160">
        <v>970.0</v>
      </c>
      <c r="RR8" s="160">
        <v>972.0</v>
      </c>
      <c r="RS8" s="160">
        <v>974.0</v>
      </c>
      <c r="RT8" s="160">
        <v>976.0</v>
      </c>
      <c r="RU8" s="160">
        <v>978.0</v>
      </c>
      <c r="RV8" s="160">
        <v>980.0</v>
      </c>
      <c r="RW8" s="160">
        <v>982.0</v>
      </c>
      <c r="RX8" s="160">
        <v>984.0</v>
      </c>
      <c r="RY8" s="160">
        <v>986.0</v>
      </c>
      <c r="RZ8" s="160">
        <v>988.0</v>
      </c>
      <c r="SA8" s="160">
        <v>990.0</v>
      </c>
      <c r="SB8" s="160">
        <v>992.0</v>
      </c>
      <c r="SC8" s="160">
        <v>994.0</v>
      </c>
      <c r="SD8" s="160">
        <v>996.0</v>
      </c>
      <c r="SE8" s="160">
        <v>998.0</v>
      </c>
      <c r="SF8" s="160">
        <v>1000.0</v>
      </c>
      <c r="SG8" s="160">
        <v>1002.0</v>
      </c>
      <c r="SH8" s="160">
        <v>1004.0</v>
      </c>
      <c r="SI8" s="160">
        <v>1006.0</v>
      </c>
      <c r="SJ8" s="160">
        <v>1008.0</v>
      </c>
      <c r="SK8" s="160">
        <v>1010.0</v>
      </c>
      <c r="SL8" s="160">
        <v>1012.0</v>
      </c>
      <c r="SM8" s="160">
        <v>1014.0</v>
      </c>
      <c r="SN8" s="160">
        <v>1016.0</v>
      </c>
      <c r="SO8" s="160">
        <v>1018.0</v>
      </c>
      <c r="SP8" s="160">
        <v>1020.0</v>
      </c>
      <c r="SQ8" s="160">
        <v>1022.0</v>
      </c>
      <c r="SR8" s="160">
        <v>1024.0</v>
      </c>
      <c r="SS8" s="160">
        <v>1026.0</v>
      </c>
      <c r="ST8" s="160">
        <v>1028.0</v>
      </c>
      <c r="SU8" s="160">
        <v>1030.0</v>
      </c>
      <c r="SV8" s="160">
        <v>1032.0</v>
      </c>
      <c r="SW8" s="160">
        <v>1034.0</v>
      </c>
      <c r="SX8" s="160">
        <v>1036.0</v>
      </c>
      <c r="SY8" s="160">
        <v>1038.0</v>
      </c>
      <c r="SZ8" s="160">
        <v>1040.0</v>
      </c>
      <c r="TA8" s="160">
        <v>1042.0</v>
      </c>
      <c r="TB8" s="160">
        <v>1044.0</v>
      </c>
      <c r="TC8" s="160">
        <v>1046.0</v>
      </c>
      <c r="TD8" s="160">
        <v>1048.0</v>
      </c>
      <c r="TE8" s="160">
        <v>1050.0</v>
      </c>
      <c r="TF8" s="160">
        <v>1052.0</v>
      </c>
      <c r="TG8" s="160">
        <v>1054.0</v>
      </c>
      <c r="TH8" s="160">
        <v>1056.0</v>
      </c>
      <c r="TI8" s="160">
        <v>1058.0</v>
      </c>
      <c r="TJ8" s="160">
        <v>1060.0</v>
      </c>
      <c r="TK8" s="160">
        <v>1062.0</v>
      </c>
      <c r="TL8" s="160">
        <v>1064.0</v>
      </c>
      <c r="TM8" s="160">
        <v>1066.0</v>
      </c>
      <c r="TN8" s="160">
        <v>1068.0</v>
      </c>
      <c r="TO8" s="160">
        <v>1070.0</v>
      </c>
      <c r="TP8" s="160">
        <v>1072.0</v>
      </c>
      <c r="TQ8" s="160">
        <v>1074.0</v>
      </c>
      <c r="TR8" s="160">
        <v>1076.0</v>
      </c>
      <c r="TS8" s="160">
        <v>1078.0</v>
      </c>
      <c r="TT8" s="160">
        <v>1080.0</v>
      </c>
      <c r="TU8" s="160">
        <v>1082.0</v>
      </c>
      <c r="TV8" s="160">
        <v>1084.0</v>
      </c>
      <c r="TW8" s="160">
        <v>1086.0</v>
      </c>
      <c r="TX8" s="160">
        <v>1088.0</v>
      </c>
      <c r="TY8" s="160">
        <v>1090.0</v>
      </c>
      <c r="TZ8" s="160">
        <v>1092.0</v>
      </c>
      <c r="UA8" s="160">
        <v>1094.0</v>
      </c>
      <c r="UB8" s="160">
        <v>1096.0</v>
      </c>
      <c r="UC8" s="160">
        <v>1098.0</v>
      </c>
      <c r="UD8" s="160">
        <v>1100.0</v>
      </c>
      <c r="UE8" s="160">
        <v>1102.0</v>
      </c>
      <c r="UF8" s="160">
        <v>1104.0</v>
      </c>
      <c r="UG8" s="160">
        <v>1106.0</v>
      </c>
      <c r="UH8" s="160">
        <v>1108.0</v>
      </c>
      <c r="UI8" s="160">
        <v>1110.0</v>
      </c>
      <c r="UJ8" s="160">
        <v>1112.0</v>
      </c>
      <c r="UK8" s="160">
        <v>1114.0</v>
      </c>
      <c r="UL8" s="160">
        <v>1116.0</v>
      </c>
      <c r="UM8" s="160">
        <v>1118.0</v>
      </c>
      <c r="UN8" s="160">
        <v>1120.0</v>
      </c>
      <c r="UO8" s="160">
        <v>1122.0</v>
      </c>
      <c r="UP8" s="160">
        <v>1124.0</v>
      </c>
      <c r="UQ8" s="160">
        <v>1126.0</v>
      </c>
      <c r="UR8" s="160">
        <v>1128.0</v>
      </c>
      <c r="US8" s="160">
        <v>1130.0</v>
      </c>
      <c r="UT8" s="160">
        <v>1132.0</v>
      </c>
      <c r="UU8" s="160">
        <v>1134.0</v>
      </c>
      <c r="UV8" s="160">
        <v>1136.0</v>
      </c>
      <c r="UW8" s="160">
        <v>1138.0</v>
      </c>
      <c r="UX8" s="160">
        <v>1140.0</v>
      </c>
      <c r="UY8" s="160">
        <v>1142.0</v>
      </c>
      <c r="UZ8" s="160">
        <v>1144.0</v>
      </c>
      <c r="VA8" s="160">
        <v>1146.0</v>
      </c>
      <c r="VB8" s="160">
        <v>1148.0</v>
      </c>
      <c r="VC8" s="160">
        <v>1150.0</v>
      </c>
      <c r="VD8" s="160">
        <v>1152.0</v>
      </c>
      <c r="VE8" s="160">
        <v>1154.0</v>
      </c>
      <c r="VF8" s="160">
        <v>1156.0</v>
      </c>
      <c r="VG8" s="160">
        <v>1158.0</v>
      </c>
      <c r="VH8" s="160">
        <v>1160.0</v>
      </c>
      <c r="VI8" s="160">
        <v>1162.0</v>
      </c>
      <c r="VJ8" s="160">
        <v>1164.0</v>
      </c>
      <c r="VK8" s="160">
        <v>1166.0</v>
      </c>
      <c r="VL8" s="160">
        <v>1168.0</v>
      </c>
      <c r="VM8" s="160">
        <v>1170.0</v>
      </c>
      <c r="VN8" s="160">
        <v>1172.0</v>
      </c>
      <c r="VO8" s="160">
        <v>1174.0</v>
      </c>
      <c r="VP8" s="160">
        <v>1176.0</v>
      </c>
      <c r="VQ8" s="160">
        <v>1178.0</v>
      </c>
      <c r="VR8" s="160">
        <v>1180.0</v>
      </c>
      <c r="VS8" s="160">
        <v>1182.0</v>
      </c>
      <c r="VT8" s="160">
        <v>1184.0</v>
      </c>
      <c r="VU8" s="160">
        <v>1186.0</v>
      </c>
      <c r="VV8" s="160">
        <v>1188.0</v>
      </c>
      <c r="VW8" s="160">
        <v>1190.0</v>
      </c>
      <c r="VX8" s="160">
        <v>1192.0</v>
      </c>
      <c r="VY8" s="160">
        <v>1194.0</v>
      </c>
      <c r="VZ8" s="160">
        <v>1196.0</v>
      </c>
      <c r="WA8" s="160">
        <v>1198.0</v>
      </c>
      <c r="WB8" s="160">
        <v>1200.0</v>
      </c>
      <c r="WC8" s="160">
        <v>1202.0</v>
      </c>
      <c r="WD8" s="160">
        <v>1204.0</v>
      </c>
      <c r="WE8" s="160">
        <v>1206.0</v>
      </c>
      <c r="WF8" s="160">
        <v>1208.0</v>
      </c>
      <c r="WG8" s="160">
        <v>1210.0</v>
      </c>
      <c r="WH8" s="160">
        <v>1212.0</v>
      </c>
      <c r="WI8" s="160">
        <v>1214.0</v>
      </c>
      <c r="WJ8" s="160">
        <v>1216.0</v>
      </c>
      <c r="WK8" s="160">
        <v>1218.0</v>
      </c>
      <c r="WL8" s="160">
        <v>1220.0</v>
      </c>
      <c r="WM8" s="160">
        <v>1222.0</v>
      </c>
      <c r="WN8" s="160">
        <v>1224.0</v>
      </c>
      <c r="WO8" s="160">
        <v>1226.0</v>
      </c>
      <c r="WP8" s="160">
        <v>1228.0</v>
      </c>
      <c r="WQ8" s="160">
        <v>1230.0</v>
      </c>
      <c r="WR8" s="160">
        <v>1232.0</v>
      </c>
      <c r="WS8" s="160">
        <v>1234.0</v>
      </c>
      <c r="WT8" s="160">
        <v>1236.0</v>
      </c>
      <c r="WU8" s="160">
        <v>1238.0</v>
      </c>
      <c r="WV8" s="160">
        <v>1240.0</v>
      </c>
      <c r="WW8" s="160">
        <v>1242.0</v>
      </c>
      <c r="WX8" s="160">
        <v>1244.0</v>
      </c>
      <c r="WY8" s="160">
        <v>1246.0</v>
      </c>
      <c r="WZ8" s="160">
        <v>1248.0</v>
      </c>
      <c r="XA8" s="160">
        <v>1250.0</v>
      </c>
      <c r="XB8" s="160">
        <v>1252.0</v>
      </c>
      <c r="XC8" s="160">
        <v>1254.0</v>
      </c>
      <c r="XD8" s="160">
        <v>1256.0</v>
      </c>
      <c r="XE8" s="160">
        <v>1258.0</v>
      </c>
      <c r="XF8" s="160">
        <v>1260.0</v>
      </c>
      <c r="XG8" s="160">
        <v>1262.0</v>
      </c>
      <c r="XH8" s="160">
        <v>1264.0</v>
      </c>
      <c r="XI8" s="160">
        <v>1266.0</v>
      </c>
      <c r="XJ8" s="160">
        <v>1268.0</v>
      </c>
      <c r="XK8" s="160">
        <v>1270.0</v>
      </c>
      <c r="XL8" s="160">
        <v>1272.0</v>
      </c>
      <c r="XM8" s="160">
        <v>1274.0</v>
      </c>
      <c r="XN8" s="160">
        <v>1276.0</v>
      </c>
      <c r="XO8" s="160">
        <v>1278.0</v>
      </c>
      <c r="XP8" s="160">
        <v>1280.0</v>
      </c>
      <c r="XQ8" s="160">
        <v>1282.0</v>
      </c>
      <c r="XR8" s="160">
        <v>1284.0</v>
      </c>
      <c r="XS8" s="160">
        <v>1286.0</v>
      </c>
      <c r="XT8" s="160">
        <v>1288.0</v>
      </c>
      <c r="XU8" s="160">
        <v>1290.0</v>
      </c>
      <c r="XV8" s="160">
        <v>1292.0</v>
      </c>
      <c r="XW8" s="160">
        <v>1294.0</v>
      </c>
      <c r="XX8" s="160">
        <v>1296.0</v>
      </c>
      <c r="XY8" s="160">
        <v>1298.0</v>
      </c>
      <c r="XZ8" s="160">
        <v>1300.0</v>
      </c>
      <c r="YA8" s="160">
        <v>1302.0</v>
      </c>
      <c r="YB8" s="160">
        <v>1304.0</v>
      </c>
      <c r="YC8" s="160">
        <v>1306.0</v>
      </c>
      <c r="YD8" s="160">
        <v>1308.0</v>
      </c>
      <c r="YE8" s="160">
        <v>1310.0</v>
      </c>
      <c r="YF8" s="160">
        <v>1312.0</v>
      </c>
      <c r="YG8" s="160">
        <v>1314.0</v>
      </c>
      <c r="YH8" s="160">
        <v>1316.0</v>
      </c>
      <c r="YI8" s="160">
        <v>1318.0</v>
      </c>
      <c r="YJ8" s="160">
        <v>1320.0</v>
      </c>
      <c r="YK8" s="160">
        <v>1322.0</v>
      </c>
      <c r="YL8" s="160">
        <v>1324.0</v>
      </c>
      <c r="YM8" s="160">
        <v>1326.0</v>
      </c>
      <c r="YN8" s="160">
        <v>1328.0</v>
      </c>
      <c r="YO8" s="160">
        <v>1330.0</v>
      </c>
      <c r="YP8" s="160">
        <v>1332.0</v>
      </c>
      <c r="YQ8" s="160">
        <v>1334.0</v>
      </c>
      <c r="YR8" s="160">
        <v>1336.0</v>
      </c>
      <c r="YS8" s="160">
        <v>1338.0</v>
      </c>
      <c r="YT8" s="160">
        <v>1340.0</v>
      </c>
      <c r="YU8" s="160">
        <v>1342.0</v>
      </c>
      <c r="YV8" s="160">
        <v>1344.0</v>
      </c>
      <c r="YW8" s="160">
        <v>1346.0</v>
      </c>
      <c r="YX8" s="160">
        <v>1348.0</v>
      </c>
      <c r="YY8" s="160">
        <v>1350.0</v>
      </c>
      <c r="YZ8" s="160">
        <v>1352.0</v>
      </c>
      <c r="ZA8" s="160">
        <v>1354.0</v>
      </c>
      <c r="ZB8" s="160">
        <v>1356.0</v>
      </c>
      <c r="ZC8" s="160">
        <v>1358.0</v>
      </c>
      <c r="ZD8" s="160">
        <v>1360.0</v>
      </c>
      <c r="ZE8" s="160">
        <v>1362.0</v>
      </c>
      <c r="ZF8" s="160">
        <v>1364.0</v>
      </c>
      <c r="ZG8" s="160">
        <v>1366.0</v>
      </c>
      <c r="ZH8" s="160">
        <v>1368.0</v>
      </c>
      <c r="ZI8" s="160">
        <v>1370.0</v>
      </c>
      <c r="ZJ8" s="160">
        <v>1372.0</v>
      </c>
      <c r="ZK8" s="160">
        <v>1374.0</v>
      </c>
      <c r="ZL8" s="160">
        <v>1376.0</v>
      </c>
      <c r="ZM8" s="160">
        <v>1378.0</v>
      </c>
      <c r="ZN8" s="160">
        <v>1380.0</v>
      </c>
      <c r="ZO8" s="160">
        <v>1382.0</v>
      </c>
      <c r="ZP8" s="160">
        <v>1384.0</v>
      </c>
      <c r="ZQ8" s="160">
        <v>1386.0</v>
      </c>
      <c r="ZR8" s="160">
        <v>1388.0</v>
      </c>
      <c r="ZS8" s="160">
        <v>1390.0</v>
      </c>
      <c r="ZT8" s="160">
        <v>1392.0</v>
      </c>
      <c r="ZU8" s="160">
        <v>1394.0</v>
      </c>
      <c r="ZV8" s="160">
        <v>1396.0</v>
      </c>
      <c r="ZW8" s="160">
        <v>1398.0</v>
      </c>
      <c r="ZX8" s="160">
        <v>1400.0</v>
      </c>
      <c r="ZY8" s="160">
        <v>1402.0</v>
      </c>
      <c r="ZZ8" s="160">
        <v>1404.0</v>
      </c>
      <c r="AAA8" s="160">
        <v>1406.0</v>
      </c>
      <c r="AAB8" s="160">
        <v>1408.0</v>
      </c>
      <c r="AAC8" s="160">
        <v>1410.0</v>
      </c>
      <c r="AAD8" s="160">
        <v>1412.0</v>
      </c>
      <c r="AAE8" s="160">
        <v>1414.0</v>
      </c>
      <c r="AAF8" s="160">
        <v>1416.0</v>
      </c>
      <c r="AAG8" s="160">
        <v>1418.0</v>
      </c>
      <c r="AAH8" s="160">
        <v>1420.0</v>
      </c>
      <c r="AAI8" s="160">
        <v>1422.0</v>
      </c>
      <c r="AAJ8" s="160">
        <v>1424.0</v>
      </c>
      <c r="AAK8" s="160">
        <v>1426.0</v>
      </c>
      <c r="AAL8" s="160">
        <v>1428.0</v>
      </c>
      <c r="AAM8" s="160">
        <v>1430.0</v>
      </c>
      <c r="AAN8" s="160">
        <v>1432.0</v>
      </c>
      <c r="AAO8" s="160">
        <v>1434.0</v>
      </c>
      <c r="AAP8" s="160">
        <v>1436.0</v>
      </c>
      <c r="AAQ8" s="160">
        <v>1438.0</v>
      </c>
      <c r="AAR8" s="160">
        <v>1440.0</v>
      </c>
      <c r="AAS8" s="160">
        <v>1442.0</v>
      </c>
      <c r="AAT8" s="160">
        <v>1444.0</v>
      </c>
      <c r="AAU8" s="160">
        <v>1446.0</v>
      </c>
      <c r="AAV8" s="160">
        <v>1448.0</v>
      </c>
      <c r="AAW8" s="160">
        <v>1450.0</v>
      </c>
      <c r="AAX8" s="160">
        <v>1452.0</v>
      </c>
      <c r="AAY8" s="160">
        <v>1454.0</v>
      </c>
      <c r="AAZ8" s="160">
        <v>1456.0</v>
      </c>
      <c r="ABA8" s="160">
        <v>1458.0</v>
      </c>
      <c r="ABB8" s="160">
        <v>1460.0</v>
      </c>
      <c r="ABC8" s="160">
        <v>1462.0</v>
      </c>
      <c r="ABD8" s="160">
        <v>1464.0</v>
      </c>
      <c r="ABE8" s="160">
        <v>1466.0</v>
      </c>
      <c r="ABF8" s="160">
        <v>1468.0</v>
      </c>
      <c r="ABG8" s="160">
        <v>1470.0</v>
      </c>
      <c r="ABH8" s="160">
        <v>1472.0</v>
      </c>
      <c r="ABI8" s="160">
        <v>1474.0</v>
      </c>
      <c r="ABJ8" s="160">
        <v>1476.0</v>
      </c>
      <c r="ABK8" s="160">
        <v>1478.0</v>
      </c>
      <c r="ABL8" s="160">
        <v>1480.0</v>
      </c>
      <c r="ABM8" s="160">
        <v>1482.0</v>
      </c>
      <c r="ABN8" s="160">
        <v>1484.0</v>
      </c>
      <c r="ABO8" s="160">
        <v>1486.0</v>
      </c>
      <c r="ABP8" s="160">
        <v>1488.0</v>
      </c>
      <c r="ABQ8" s="160">
        <v>1490.0</v>
      </c>
      <c r="ABR8" s="160">
        <v>1492.0</v>
      </c>
      <c r="ABS8" s="160">
        <v>1494.0</v>
      </c>
      <c r="ABT8" s="160">
        <v>1496.0</v>
      </c>
      <c r="ABU8" s="160">
        <v>1498.0</v>
      </c>
      <c r="ABV8" s="160">
        <v>1500.0</v>
      </c>
      <c r="ABW8" s="160">
        <v>1502.0</v>
      </c>
      <c r="ABX8" s="160">
        <v>1504.0</v>
      </c>
      <c r="ABY8" s="160">
        <v>1506.0</v>
      </c>
      <c r="ABZ8" s="160">
        <v>1508.0</v>
      </c>
      <c r="ACA8" s="160">
        <v>1510.0</v>
      </c>
      <c r="ACB8" s="160">
        <v>1512.0</v>
      </c>
      <c r="ACC8" s="160">
        <v>1514.0</v>
      </c>
      <c r="ACD8" s="160">
        <v>1516.0</v>
      </c>
      <c r="ACE8" s="160">
        <v>1518.0</v>
      </c>
      <c r="ACF8" s="160">
        <v>1520.0</v>
      </c>
      <c r="ACG8" s="160">
        <v>1522.0</v>
      </c>
      <c r="ACH8" s="160">
        <v>1524.0</v>
      </c>
      <c r="ACI8" s="160">
        <v>1526.0</v>
      </c>
      <c r="ACJ8" s="160">
        <v>1528.0</v>
      </c>
      <c r="ACK8" s="160">
        <v>1530.0</v>
      </c>
      <c r="ACL8" s="160">
        <v>1532.0</v>
      </c>
      <c r="ACM8" s="160">
        <v>1534.0</v>
      </c>
      <c r="ACN8" s="160">
        <v>1536.0</v>
      </c>
      <c r="ACO8" s="160">
        <v>1538.0</v>
      </c>
      <c r="ACP8" s="160">
        <v>1540.0</v>
      </c>
      <c r="ACQ8" s="160">
        <v>1542.0</v>
      </c>
      <c r="ACR8" s="160">
        <v>1544.0</v>
      </c>
      <c r="ACS8" s="160">
        <v>1546.0</v>
      </c>
      <c r="ACT8" s="160">
        <v>1548.0</v>
      </c>
      <c r="ACU8" s="160">
        <v>1550.0</v>
      </c>
      <c r="ACV8" s="160">
        <v>1552.0</v>
      </c>
      <c r="ACW8" s="160">
        <v>1554.0</v>
      </c>
      <c r="ACX8" s="160">
        <v>1556.0</v>
      </c>
      <c r="ACY8" s="160">
        <v>1558.0</v>
      </c>
      <c r="ACZ8" s="160">
        <v>1560.0</v>
      </c>
      <c r="ADA8" s="160">
        <v>1562.0</v>
      </c>
      <c r="ADB8" s="160">
        <v>1564.0</v>
      </c>
      <c r="ADC8" s="160">
        <v>1566.0</v>
      </c>
      <c r="ADD8" s="160">
        <v>1568.0</v>
      </c>
      <c r="ADE8" s="160">
        <v>1570.0</v>
      </c>
      <c r="ADF8" s="160">
        <v>1572.0</v>
      </c>
      <c r="ADG8" s="160">
        <v>1574.0</v>
      </c>
      <c r="ADH8" s="160">
        <v>1576.0</v>
      </c>
      <c r="ADI8" s="160">
        <v>1578.0</v>
      </c>
      <c r="ADJ8" s="160">
        <v>1580.0</v>
      </c>
      <c r="ADK8" s="160">
        <v>1582.0</v>
      </c>
      <c r="ADL8" s="160">
        <v>1584.0</v>
      </c>
      <c r="ADM8" s="160">
        <v>1586.0</v>
      </c>
      <c r="ADN8" s="160">
        <v>1588.0</v>
      </c>
      <c r="ADO8" s="160">
        <v>1590.0</v>
      </c>
      <c r="ADP8" s="160">
        <v>1592.0</v>
      </c>
      <c r="ADQ8" s="160">
        <v>1594.0</v>
      </c>
      <c r="ADR8" s="160">
        <v>1596.0</v>
      </c>
      <c r="ADS8" s="160">
        <v>1598.0</v>
      </c>
      <c r="ADT8" s="160">
        <v>1600.0</v>
      </c>
      <c r="ADU8" s="160">
        <v>1602.0</v>
      </c>
      <c r="ADV8" s="160">
        <v>1604.0</v>
      </c>
      <c r="ADW8" s="160">
        <v>1606.0</v>
      </c>
      <c r="ADX8" s="160">
        <v>1608.0</v>
      </c>
      <c r="ADY8" s="160">
        <v>1610.0</v>
      </c>
      <c r="ADZ8" s="160">
        <v>1612.0</v>
      </c>
      <c r="AEA8" s="160">
        <v>1614.0</v>
      </c>
      <c r="AEB8" s="160">
        <v>1616.0</v>
      </c>
      <c r="AEC8" s="160">
        <v>1618.0</v>
      </c>
      <c r="AED8" s="160">
        <v>1620.0</v>
      </c>
      <c r="AEE8" s="160">
        <v>1622.0</v>
      </c>
      <c r="AEF8" s="160">
        <v>1624.0</v>
      </c>
      <c r="AEG8" s="160">
        <v>1626.0</v>
      </c>
      <c r="AEH8" s="160">
        <v>1628.0</v>
      </c>
      <c r="AEI8" s="160">
        <v>1630.0</v>
      </c>
      <c r="AEJ8" s="160">
        <v>1632.0</v>
      </c>
      <c r="AEK8" s="160">
        <v>1634.0</v>
      </c>
      <c r="AEL8" s="160">
        <v>1636.0</v>
      </c>
      <c r="AEM8" s="160">
        <v>1638.0</v>
      </c>
      <c r="AEN8" s="160">
        <v>1640.0</v>
      </c>
      <c r="AEO8" s="160">
        <v>1642.0</v>
      </c>
      <c r="AEP8" s="160">
        <v>1644.0</v>
      </c>
      <c r="AEQ8" s="160">
        <v>1646.0</v>
      </c>
      <c r="AER8" s="160">
        <v>1648.0</v>
      </c>
      <c r="AES8" s="160">
        <v>1650.0</v>
      </c>
      <c r="AET8" s="160">
        <v>1652.0</v>
      </c>
      <c r="AEU8" s="160">
        <v>1654.0</v>
      </c>
      <c r="AEV8" s="160">
        <v>1656.0</v>
      </c>
      <c r="AEW8" s="160">
        <v>1658.0</v>
      </c>
      <c r="AEX8" s="160">
        <v>1660.0</v>
      </c>
      <c r="AEY8" s="160">
        <v>1662.0</v>
      </c>
      <c r="AEZ8" s="160">
        <v>1664.0</v>
      </c>
      <c r="AFA8" s="160">
        <v>1666.0</v>
      </c>
      <c r="AFB8" s="160">
        <v>1668.0</v>
      </c>
      <c r="AFC8" s="160">
        <v>1670.0</v>
      </c>
      <c r="AFD8" s="160">
        <v>1672.0</v>
      </c>
      <c r="AFE8" s="160">
        <v>1674.0</v>
      </c>
      <c r="AFF8" s="160">
        <v>1676.0</v>
      </c>
      <c r="AFG8" s="160">
        <v>1678.0</v>
      </c>
      <c r="AFH8" s="160">
        <v>1680.0</v>
      </c>
      <c r="AFI8" s="160">
        <v>1682.0</v>
      </c>
      <c r="AFJ8" s="160">
        <v>1684.0</v>
      </c>
      <c r="AFK8" s="160">
        <v>1686.0</v>
      </c>
      <c r="AFL8" s="160">
        <v>1688.0</v>
      </c>
      <c r="AFM8" s="160">
        <v>1690.0</v>
      </c>
      <c r="AFN8" s="160">
        <v>1692.0</v>
      </c>
      <c r="AFO8" s="160">
        <v>1694.0</v>
      </c>
      <c r="AFP8" s="160">
        <v>1696.0</v>
      </c>
      <c r="AFQ8" s="160">
        <v>1698.0</v>
      </c>
      <c r="AFR8" s="160">
        <v>1700.0</v>
      </c>
      <c r="AFS8" s="160">
        <v>1702.0</v>
      </c>
      <c r="AFT8" s="160">
        <v>1704.0</v>
      </c>
      <c r="AFU8" s="160">
        <v>1706.0</v>
      </c>
      <c r="AFV8" s="160">
        <v>1708.0</v>
      </c>
      <c r="AFW8" s="160">
        <v>1710.0</v>
      </c>
      <c r="AFX8" s="160">
        <v>1712.0</v>
      </c>
      <c r="AFY8" s="160">
        <v>1714.0</v>
      </c>
      <c r="AFZ8" s="160">
        <v>1716.0</v>
      </c>
      <c r="AGA8" s="160">
        <v>1718.0</v>
      </c>
      <c r="AGB8" s="160">
        <v>1720.0</v>
      </c>
      <c r="AGC8" s="160">
        <v>1722.0</v>
      </c>
      <c r="AGD8" s="160">
        <v>1724.0</v>
      </c>
      <c r="AGE8" s="160">
        <v>1726.0</v>
      </c>
      <c r="AGF8" s="160">
        <v>1728.0</v>
      </c>
      <c r="AGG8" s="160">
        <v>1730.0</v>
      </c>
      <c r="AGH8" s="160">
        <v>1732.0</v>
      </c>
      <c r="AGI8" s="160">
        <v>1734.0</v>
      </c>
      <c r="AGJ8" s="160">
        <v>1736.0</v>
      </c>
      <c r="AGK8" s="160">
        <v>1738.0</v>
      </c>
      <c r="AGL8" s="160">
        <v>1740.0</v>
      </c>
      <c r="AGM8" s="160">
        <v>1742.0</v>
      </c>
      <c r="AGN8" s="160">
        <v>1744.0</v>
      </c>
      <c r="AGO8" s="160">
        <v>1746.0</v>
      </c>
      <c r="AGP8" s="160">
        <v>1748.0</v>
      </c>
      <c r="AGQ8" s="160">
        <v>1750.0</v>
      </c>
      <c r="AGR8" s="160">
        <v>1752.0</v>
      </c>
      <c r="AGS8" s="160">
        <v>1754.0</v>
      </c>
      <c r="AGT8" s="160">
        <v>1756.0</v>
      </c>
      <c r="AGU8" s="160">
        <v>1758.0</v>
      </c>
      <c r="AGV8" s="160">
        <v>1760.0</v>
      </c>
      <c r="AGW8" s="160">
        <v>1762.0</v>
      </c>
      <c r="AGX8" s="160">
        <v>1764.0</v>
      </c>
      <c r="AGY8" s="160">
        <v>1766.0</v>
      </c>
      <c r="AGZ8" s="160">
        <v>1768.0</v>
      </c>
      <c r="AHA8" s="160">
        <v>1770.0</v>
      </c>
      <c r="AHB8" s="160">
        <v>1772.0</v>
      </c>
      <c r="AHC8" s="160">
        <v>1774.0</v>
      </c>
      <c r="AHD8" s="160">
        <v>1776.0</v>
      </c>
      <c r="AHE8" s="160">
        <v>1778.0</v>
      </c>
      <c r="AHF8" s="160">
        <v>1780.0</v>
      </c>
      <c r="AHG8" s="160">
        <v>1782.0</v>
      </c>
      <c r="AHH8" s="160">
        <v>1784.0</v>
      </c>
      <c r="AHI8" s="160">
        <v>1786.0</v>
      </c>
      <c r="AHJ8" s="160">
        <v>1788.0</v>
      </c>
      <c r="AHK8" s="160">
        <v>1790.0</v>
      </c>
      <c r="AHL8" s="160">
        <v>1792.0</v>
      </c>
      <c r="AHM8" s="160">
        <v>1794.0</v>
      </c>
      <c r="AHN8" s="160">
        <v>1796.0</v>
      </c>
      <c r="AHO8" s="160">
        <v>1798.0</v>
      </c>
      <c r="AHP8" s="160">
        <v>1800.0</v>
      </c>
      <c r="AHQ8" s="160">
        <v>1802.0</v>
      </c>
      <c r="AHR8" s="160">
        <v>1804.0</v>
      </c>
      <c r="AHS8" s="160">
        <v>1806.0</v>
      </c>
      <c r="AHT8" s="160">
        <v>1808.0</v>
      </c>
      <c r="AHU8" s="160">
        <v>1810.0</v>
      </c>
      <c r="AHV8" s="160">
        <v>1812.0</v>
      </c>
      <c r="AHW8" s="160">
        <v>1814.0</v>
      </c>
      <c r="AHX8" s="160">
        <v>1816.0</v>
      </c>
      <c r="AHY8" s="160">
        <v>1818.0</v>
      </c>
      <c r="AHZ8" s="160">
        <v>1820.0</v>
      </c>
      <c r="AIA8" s="160">
        <v>1822.0</v>
      </c>
      <c r="AIB8" s="160">
        <v>1824.0</v>
      </c>
      <c r="AIC8" s="160">
        <v>1826.0</v>
      </c>
      <c r="AID8" s="160">
        <v>1828.0</v>
      </c>
      <c r="AIE8" s="160">
        <v>1830.0</v>
      </c>
      <c r="AIF8" s="160">
        <v>1832.0</v>
      </c>
      <c r="AIG8" s="160">
        <v>1834.0</v>
      </c>
      <c r="AIH8" s="160">
        <v>1836.0</v>
      </c>
      <c r="AII8" s="160">
        <v>1838.0</v>
      </c>
      <c r="AIJ8" s="160">
        <v>1840.0</v>
      </c>
      <c r="AIK8" s="160">
        <v>1842.0</v>
      </c>
      <c r="AIL8" s="160">
        <v>1844.0</v>
      </c>
      <c r="AIM8" s="160">
        <v>1846.0</v>
      </c>
      <c r="AIN8" s="160">
        <v>1848.0</v>
      </c>
      <c r="AIO8" s="160">
        <v>1850.0</v>
      </c>
      <c r="AIP8" s="160">
        <v>1852.0</v>
      </c>
      <c r="AIQ8" s="160">
        <v>1854.0</v>
      </c>
      <c r="AIR8" s="160">
        <v>1856.0</v>
      </c>
      <c r="AIS8" s="160">
        <v>1858.0</v>
      </c>
      <c r="AIT8" s="160">
        <v>1860.0</v>
      </c>
      <c r="AIU8" s="160">
        <v>1862.0</v>
      </c>
      <c r="AIV8" s="160">
        <v>1864.0</v>
      </c>
      <c r="AIW8" s="160">
        <v>1866.0</v>
      </c>
      <c r="AIX8" s="160">
        <v>1868.0</v>
      </c>
      <c r="AIY8" s="160">
        <v>1870.0</v>
      </c>
      <c r="AIZ8" s="160">
        <v>1872.0</v>
      </c>
      <c r="AJA8" s="160">
        <v>1874.0</v>
      </c>
      <c r="AJB8" s="160">
        <v>1876.0</v>
      </c>
      <c r="AJC8" s="160">
        <v>1878.0</v>
      </c>
      <c r="AJD8" s="160">
        <v>1880.0</v>
      </c>
      <c r="AJE8" s="160">
        <v>1882.0</v>
      </c>
      <c r="AJF8" s="160">
        <v>1884.0</v>
      </c>
      <c r="AJG8" s="160">
        <v>1886.0</v>
      </c>
      <c r="AJH8" s="160">
        <v>1888.0</v>
      </c>
      <c r="AJI8" s="160">
        <v>1890.0</v>
      </c>
      <c r="AJJ8" s="160">
        <v>1892.0</v>
      </c>
      <c r="AJK8" s="160">
        <v>1894.0</v>
      </c>
      <c r="AJL8" s="160">
        <v>1896.0</v>
      </c>
      <c r="AJM8" s="160">
        <v>1898.0</v>
      </c>
      <c r="AJN8" s="160">
        <v>1900.0</v>
      </c>
      <c r="AJO8" s="160">
        <v>1902.0</v>
      </c>
      <c r="AJP8" s="160">
        <v>1904.0</v>
      </c>
      <c r="AJQ8" s="160">
        <v>1906.0</v>
      </c>
      <c r="AJR8" s="160">
        <v>1908.0</v>
      </c>
      <c r="AJS8" s="160">
        <v>1910.0</v>
      </c>
      <c r="AJT8" s="160">
        <v>1912.0</v>
      </c>
      <c r="AJU8" s="160">
        <v>1914.0</v>
      </c>
      <c r="AJV8" s="160">
        <v>1916.0</v>
      </c>
      <c r="AJW8" s="160">
        <v>1918.0</v>
      </c>
      <c r="AJX8" s="160">
        <v>1920.0</v>
      </c>
      <c r="AJY8" s="160">
        <v>1922.0</v>
      </c>
      <c r="AJZ8" s="160">
        <v>1924.0</v>
      </c>
      <c r="AKA8" s="160">
        <v>1926.0</v>
      </c>
      <c r="AKB8" s="160">
        <v>1928.0</v>
      </c>
      <c r="AKC8" s="160">
        <v>1930.0</v>
      </c>
      <c r="AKD8" s="160">
        <v>1932.0</v>
      </c>
      <c r="AKE8" s="160">
        <v>1934.0</v>
      </c>
      <c r="AKF8" s="160">
        <v>1936.0</v>
      </c>
      <c r="AKG8" s="160">
        <v>1938.0</v>
      </c>
      <c r="AKH8" s="160">
        <v>1940.0</v>
      </c>
      <c r="AKI8" s="160">
        <v>1942.0</v>
      </c>
      <c r="AKJ8" s="160">
        <v>1944.0</v>
      </c>
      <c r="AKK8" s="160">
        <v>1946.0</v>
      </c>
      <c r="AKL8" s="160">
        <v>1948.0</v>
      </c>
      <c r="AKM8" s="160">
        <v>1950.0</v>
      </c>
      <c r="AKN8" s="160">
        <v>1952.0</v>
      </c>
      <c r="AKO8" s="160">
        <v>1954.0</v>
      </c>
      <c r="AKP8" s="160">
        <v>1956.0</v>
      </c>
      <c r="AKQ8" s="160">
        <v>1958.0</v>
      </c>
      <c r="AKR8" s="160">
        <v>1960.0</v>
      </c>
      <c r="AKS8" s="160">
        <v>1962.0</v>
      </c>
      <c r="AKT8" s="160">
        <v>1964.0</v>
      </c>
      <c r="AKU8" s="160">
        <v>1966.0</v>
      </c>
      <c r="AKV8" s="160">
        <v>1968.0</v>
      </c>
      <c r="AKW8" s="160">
        <v>1970.0</v>
      </c>
      <c r="AKX8" s="160">
        <v>1972.0</v>
      </c>
      <c r="AKY8" s="160">
        <v>1974.0</v>
      </c>
      <c r="AKZ8" s="160">
        <v>1976.0</v>
      </c>
      <c r="ALA8" s="160">
        <v>1978.0</v>
      </c>
      <c r="ALB8" s="160">
        <v>1980.0</v>
      </c>
      <c r="ALC8" s="160">
        <v>1982.0</v>
      </c>
      <c r="ALD8" s="160">
        <v>1984.0</v>
      </c>
      <c r="ALE8" s="160">
        <v>1986.0</v>
      </c>
      <c r="ALF8" s="160">
        <v>1988.0</v>
      </c>
      <c r="ALG8" s="160">
        <v>1990.0</v>
      </c>
      <c r="ALH8" s="160">
        <v>1992.0</v>
      </c>
      <c r="ALI8" s="160">
        <v>1994.0</v>
      </c>
      <c r="ALJ8" s="160">
        <v>1996.0</v>
      </c>
      <c r="ALK8" s="160">
        <v>1998.0</v>
      </c>
      <c r="ALL8" s="160">
        <v>2000.0</v>
      </c>
      <c r="ALM8" s="160">
        <v>2002.0</v>
      </c>
      <c r="ALN8" s="160">
        <v>2004.0</v>
      </c>
      <c r="ALO8" s="160">
        <v>2006.0</v>
      </c>
      <c r="ALP8" s="160">
        <v>2008.0</v>
      </c>
      <c r="ALQ8" s="160">
        <v>2010.0</v>
      </c>
      <c r="ALR8" s="160">
        <v>2012.0</v>
      </c>
      <c r="ALS8" s="160">
        <v>2014.0</v>
      </c>
      <c r="ALT8" s="160">
        <v>2016.0</v>
      </c>
      <c r="ALU8" s="160">
        <v>2018.0</v>
      </c>
      <c r="ALV8" s="160">
        <v>2020.0</v>
      </c>
      <c r="ALW8" s="160">
        <v>2022.0</v>
      </c>
      <c r="ALX8" s="160">
        <v>2024.0</v>
      </c>
      <c r="ALY8" s="160">
        <v>2026.0</v>
      </c>
      <c r="ALZ8" s="160">
        <v>2028.0</v>
      </c>
      <c r="AMA8" s="160">
        <v>2030.0</v>
      </c>
      <c r="AMB8" s="160">
        <v>2032.0</v>
      </c>
      <c r="AMC8" s="160">
        <v>2034.0</v>
      </c>
      <c r="AMD8" s="160">
        <v>2036.0</v>
      </c>
      <c r="AME8" s="160">
        <v>2038.0</v>
      </c>
      <c r="AMF8" s="160">
        <v>2040.0</v>
      </c>
      <c r="AMG8" s="160">
        <v>2042.0</v>
      </c>
      <c r="AMH8" s="160">
        <v>2044.0</v>
      </c>
      <c r="AMI8" s="160">
        <v>2046.0</v>
      </c>
      <c r="AMJ8" s="160">
        <v>2048.0</v>
      </c>
      <c r="AMK8" s="160">
        <v>2050.0</v>
      </c>
      <c r="AML8" s="160">
        <v>2052.0</v>
      </c>
      <c r="AMM8" s="160">
        <v>2054.0</v>
      </c>
      <c r="AMN8" s="160">
        <v>2056.0</v>
      </c>
      <c r="AMO8" s="160">
        <v>2058.0</v>
      </c>
      <c r="AMP8" s="160">
        <v>2060.0</v>
      </c>
      <c r="AMQ8" s="160">
        <v>2062.0</v>
      </c>
      <c r="AMR8" s="160">
        <v>2064.0</v>
      </c>
      <c r="AMS8" s="160">
        <v>2066.0</v>
      </c>
      <c r="AMT8" s="160">
        <v>2068.0</v>
      </c>
      <c r="AMU8" s="160">
        <v>2070.0</v>
      </c>
      <c r="AMV8" s="160">
        <v>2072.0</v>
      </c>
      <c r="AMW8" s="160">
        <v>2074.0</v>
      </c>
      <c r="AMX8" s="160">
        <v>2076.0</v>
      </c>
      <c r="AMY8" s="160">
        <v>2078.0</v>
      </c>
      <c r="AMZ8" s="160">
        <v>2080.0</v>
      </c>
      <c r="ANA8" s="160">
        <v>2082.0</v>
      </c>
      <c r="ANB8" s="160">
        <v>2084.0</v>
      </c>
      <c r="ANC8" s="160">
        <v>2086.0</v>
      </c>
      <c r="AND8" s="160">
        <v>2088.0</v>
      </c>
      <c r="ANE8" s="160">
        <v>2090.0</v>
      </c>
      <c r="ANF8" s="160">
        <v>2092.0</v>
      </c>
      <c r="ANG8" s="160">
        <v>2094.0</v>
      </c>
      <c r="ANH8" s="160">
        <v>2096.0</v>
      </c>
      <c r="ANI8" s="160">
        <v>2098.0</v>
      </c>
      <c r="ANJ8" s="160">
        <v>2100.0</v>
      </c>
      <c r="ANK8" s="160">
        <v>2102.0</v>
      </c>
      <c r="ANL8" s="160">
        <v>2104.0</v>
      </c>
      <c r="ANM8" s="160">
        <v>2106.0</v>
      </c>
      <c r="ANN8" s="160">
        <v>2108.0</v>
      </c>
      <c r="ANO8" s="160">
        <v>2110.0</v>
      </c>
      <c r="ANP8" s="160">
        <v>2112.0</v>
      </c>
      <c r="ANQ8" s="160">
        <v>2114.0</v>
      </c>
      <c r="ANR8" s="160">
        <v>2116.0</v>
      </c>
      <c r="ANS8" s="160">
        <v>2118.0</v>
      </c>
      <c r="ANT8" s="160">
        <v>2120.0</v>
      </c>
      <c r="ANU8" s="160">
        <v>2122.0</v>
      </c>
      <c r="ANV8" s="160">
        <v>2124.0</v>
      </c>
      <c r="ANW8" s="160">
        <v>2126.0</v>
      </c>
      <c r="ANX8" s="160">
        <v>2128.0</v>
      </c>
      <c r="ANY8" s="160">
        <v>2130.0</v>
      </c>
      <c r="ANZ8" s="160">
        <v>2132.0</v>
      </c>
      <c r="AOA8" s="160">
        <v>2134.0</v>
      </c>
      <c r="AOB8" s="160">
        <v>2136.0</v>
      </c>
      <c r="AOC8" s="160">
        <v>2138.0</v>
      </c>
      <c r="AOD8" s="160">
        <v>2140.0</v>
      </c>
      <c r="AOE8" s="160">
        <v>2142.0</v>
      </c>
      <c r="AOF8" s="160">
        <v>2144.0</v>
      </c>
      <c r="AOG8" s="160">
        <v>2146.0</v>
      </c>
      <c r="AOH8" s="160">
        <v>2148.0</v>
      </c>
      <c r="AOI8" s="160">
        <v>2150.0</v>
      </c>
      <c r="AOJ8" s="160">
        <v>2152.0</v>
      </c>
      <c r="AOK8" s="160">
        <v>2154.0</v>
      </c>
      <c r="AOL8" s="160">
        <v>2156.0</v>
      </c>
      <c r="AOM8" s="160">
        <v>2158.0</v>
      </c>
      <c r="AON8" s="160">
        <v>2160.0</v>
      </c>
      <c r="AOO8" s="160">
        <v>2162.0</v>
      </c>
      <c r="AOP8" s="160">
        <v>2164.0</v>
      </c>
      <c r="AOQ8" s="160">
        <v>2166.0</v>
      </c>
      <c r="AOR8" s="160">
        <v>2168.0</v>
      </c>
      <c r="AOS8" s="160">
        <v>2170.0</v>
      </c>
      <c r="AOT8" s="160">
        <v>2172.0</v>
      </c>
      <c r="AOU8" s="160">
        <v>2174.0</v>
      </c>
      <c r="AOV8" s="160">
        <v>2176.0</v>
      </c>
      <c r="AOW8" s="160">
        <v>2178.0</v>
      </c>
      <c r="AOX8" s="160">
        <v>2180.0</v>
      </c>
      <c r="AOY8" s="160">
        <v>2182.0</v>
      </c>
      <c r="AOZ8" s="160">
        <v>2184.0</v>
      </c>
      <c r="APA8" s="160">
        <v>2186.0</v>
      </c>
      <c r="APB8" s="160">
        <v>2188.0</v>
      </c>
      <c r="APC8" s="160">
        <v>2190.0</v>
      </c>
      <c r="APD8" s="160">
        <v>2192.0</v>
      </c>
      <c r="APE8" s="160">
        <v>2194.0</v>
      </c>
      <c r="APF8" s="160">
        <v>2196.0</v>
      </c>
      <c r="APG8" s="160">
        <v>2198.0</v>
      </c>
      <c r="APH8" s="160">
        <v>2200.0</v>
      </c>
      <c r="API8" s="160">
        <v>2202.0</v>
      </c>
      <c r="APJ8" s="160">
        <v>2204.0</v>
      </c>
      <c r="APK8" s="160">
        <v>2206.0</v>
      </c>
      <c r="APL8" s="160">
        <v>2208.0</v>
      </c>
      <c r="APM8" s="160">
        <v>2210.0</v>
      </c>
      <c r="APN8" s="160">
        <v>2212.0</v>
      </c>
      <c r="APO8" s="160">
        <v>2214.0</v>
      </c>
      <c r="APP8" s="160">
        <v>2216.0</v>
      </c>
      <c r="APQ8" s="160">
        <v>2218.0</v>
      </c>
      <c r="APR8" s="160">
        <v>2220.0</v>
      </c>
      <c r="APS8" s="160">
        <v>2222.0</v>
      </c>
      <c r="APT8" s="160">
        <v>2224.0</v>
      </c>
      <c r="APU8" s="160">
        <v>2226.0</v>
      </c>
      <c r="APV8" s="160">
        <v>2228.0</v>
      </c>
      <c r="APW8" s="160">
        <v>2230.0</v>
      </c>
      <c r="APX8" s="160">
        <v>2232.0</v>
      </c>
      <c r="APY8" s="160">
        <v>2234.0</v>
      </c>
      <c r="APZ8" s="160">
        <v>2236.0</v>
      </c>
      <c r="AQA8" s="160">
        <v>2238.0</v>
      </c>
      <c r="AQB8" s="160">
        <v>2240.0</v>
      </c>
      <c r="AQC8" s="160">
        <v>2242.0</v>
      </c>
      <c r="AQD8" s="160">
        <v>2244.0</v>
      </c>
      <c r="AQE8" s="160">
        <v>2246.0</v>
      </c>
      <c r="AQF8" s="160">
        <v>2248.0</v>
      </c>
      <c r="AQG8" s="160">
        <v>2250.0</v>
      </c>
      <c r="AQH8" s="160">
        <v>2252.0</v>
      </c>
      <c r="AQI8" s="160">
        <v>2254.0</v>
      </c>
      <c r="AQJ8" s="160">
        <v>2256.0</v>
      </c>
      <c r="AQK8" s="160">
        <v>2258.0</v>
      </c>
      <c r="AQL8" s="160">
        <v>2260.0</v>
      </c>
      <c r="AQM8" s="160">
        <v>2262.0</v>
      </c>
      <c r="AQN8" s="160">
        <v>2264.0</v>
      </c>
      <c r="AQO8" s="160">
        <v>2266.0</v>
      </c>
      <c r="AQP8" s="160">
        <v>2268.0</v>
      </c>
      <c r="AQQ8" s="160">
        <v>2270.0</v>
      </c>
      <c r="AQR8" s="160">
        <v>2272.0</v>
      </c>
      <c r="AQS8" s="160">
        <v>2274.0</v>
      </c>
      <c r="AQT8" s="160">
        <v>2276.0</v>
      </c>
      <c r="AQU8" s="160">
        <v>2278.0</v>
      </c>
      <c r="AQV8" s="160">
        <v>2280.0</v>
      </c>
      <c r="AQW8" s="160">
        <v>2282.0</v>
      </c>
      <c r="AQX8" s="160">
        <v>2284.0</v>
      </c>
      <c r="AQY8" s="160">
        <v>2286.0</v>
      </c>
      <c r="AQZ8" s="160">
        <v>2288.0</v>
      </c>
      <c r="ARA8" s="160">
        <v>2290.0</v>
      </c>
      <c r="ARB8" s="160">
        <v>2292.0</v>
      </c>
      <c r="ARC8" s="160">
        <v>2294.0</v>
      </c>
      <c r="ARD8" s="160">
        <v>2296.0</v>
      </c>
      <c r="ARE8" s="160">
        <v>2298.0</v>
      </c>
      <c r="ARF8" s="160">
        <v>2300.0</v>
      </c>
      <c r="ARG8" s="160">
        <v>2302.0</v>
      </c>
      <c r="ARH8" s="160">
        <v>2304.0</v>
      </c>
      <c r="ARI8" s="160">
        <v>2306.0</v>
      </c>
      <c r="ARJ8" s="160">
        <v>2308.0</v>
      </c>
      <c r="ARK8" s="160">
        <v>2310.0</v>
      </c>
      <c r="ARL8" s="160">
        <v>2312.0</v>
      </c>
      <c r="ARM8" s="160">
        <v>2314.0</v>
      </c>
      <c r="ARN8" s="160">
        <v>2316.0</v>
      </c>
      <c r="ARO8" s="160">
        <v>2318.0</v>
      </c>
      <c r="ARP8" s="160">
        <v>2320.0</v>
      </c>
      <c r="ARQ8" s="160">
        <v>2322.0</v>
      </c>
      <c r="ARR8" s="160">
        <v>2324.0</v>
      </c>
      <c r="ARS8" s="160">
        <v>2326.0</v>
      </c>
      <c r="ART8" s="160">
        <v>2328.0</v>
      </c>
      <c r="ARU8" s="160">
        <v>2330.0</v>
      </c>
      <c r="ARV8" s="160">
        <v>2332.0</v>
      </c>
      <c r="ARW8" s="160">
        <v>2334.0</v>
      </c>
      <c r="ARX8" s="160">
        <v>2336.0</v>
      </c>
      <c r="ARY8" s="160">
        <v>2338.0</v>
      </c>
      <c r="ARZ8" s="160">
        <v>2340.0</v>
      </c>
      <c r="ASA8" s="160">
        <v>2342.0</v>
      </c>
      <c r="ASB8" s="160">
        <v>2344.0</v>
      </c>
      <c r="ASC8" s="160">
        <v>2346.0</v>
      </c>
      <c r="ASD8" s="160">
        <v>2348.0</v>
      </c>
      <c r="ASE8" s="160">
        <v>2350.0</v>
      </c>
      <c r="ASF8" s="160">
        <v>2352.0</v>
      </c>
      <c r="ASG8" s="160">
        <v>2354.0</v>
      </c>
      <c r="ASH8" s="160">
        <v>2356.0</v>
      </c>
      <c r="ASI8" s="160">
        <v>2358.0</v>
      </c>
      <c r="ASJ8" s="160">
        <v>2360.0</v>
      </c>
      <c r="ASK8" s="160">
        <v>2362.0</v>
      </c>
      <c r="ASL8" s="160">
        <v>2364.0</v>
      </c>
      <c r="ASM8" s="160">
        <v>2366.0</v>
      </c>
      <c r="ASN8" s="160">
        <v>2368.0</v>
      </c>
      <c r="ASO8" s="160">
        <v>2370.0</v>
      </c>
      <c r="ASP8" s="160">
        <v>2372.0</v>
      </c>
      <c r="ASQ8" s="160">
        <v>2374.0</v>
      </c>
      <c r="ASR8" s="160">
        <v>2376.0</v>
      </c>
      <c r="ASS8" s="160">
        <v>2378.0</v>
      </c>
      <c r="AST8" s="160">
        <v>2380.0</v>
      </c>
      <c r="ASU8" s="160">
        <v>2382.0</v>
      </c>
      <c r="ASV8" s="160">
        <v>2384.0</v>
      </c>
      <c r="ASW8" s="160">
        <v>2386.0</v>
      </c>
      <c r="ASX8" s="160">
        <v>2388.0</v>
      </c>
      <c r="ASY8" s="160">
        <v>2390.0</v>
      </c>
      <c r="ASZ8" s="160">
        <v>2392.0</v>
      </c>
      <c r="ATA8" s="160">
        <v>2394.0</v>
      </c>
      <c r="ATB8" s="160">
        <v>2396.0</v>
      </c>
      <c r="ATC8" s="160">
        <v>2398.0</v>
      </c>
      <c r="ATD8" s="160">
        <v>2400.0</v>
      </c>
      <c r="ATE8" s="160">
        <v>2402.0</v>
      </c>
      <c r="ATF8" s="160">
        <v>2404.0</v>
      </c>
      <c r="ATG8" s="160">
        <v>2406.0</v>
      </c>
      <c r="ATH8" s="160">
        <v>2408.0</v>
      </c>
      <c r="ATI8" s="160">
        <v>2410.0</v>
      </c>
      <c r="ATJ8" s="160">
        <v>2412.0</v>
      </c>
      <c r="ATK8" s="160">
        <v>2414.0</v>
      </c>
      <c r="ATL8" s="160">
        <v>2416.0</v>
      </c>
      <c r="ATM8" s="160">
        <v>2418.0</v>
      </c>
      <c r="ATN8" s="160">
        <v>2420.0</v>
      </c>
      <c r="ATO8" s="160">
        <v>2422.0</v>
      </c>
      <c r="ATP8" s="160">
        <v>2424.0</v>
      </c>
      <c r="ATQ8" s="160">
        <v>2426.0</v>
      </c>
      <c r="ATR8" s="160">
        <v>2428.0</v>
      </c>
      <c r="ATS8" s="160">
        <v>2430.0</v>
      </c>
      <c r="ATT8" s="160">
        <v>2432.0</v>
      </c>
      <c r="ATU8" s="160">
        <v>2434.0</v>
      </c>
      <c r="ATV8" s="160">
        <v>2436.0</v>
      </c>
      <c r="ATW8" s="160">
        <v>2438.0</v>
      </c>
      <c r="ATX8" s="160">
        <v>2440.0</v>
      </c>
      <c r="ATY8" s="160">
        <v>2442.0</v>
      </c>
      <c r="ATZ8" s="160">
        <v>2444.0</v>
      </c>
      <c r="AUA8" s="160">
        <v>2446.0</v>
      </c>
      <c r="AUB8" s="160">
        <v>2448.0</v>
      </c>
      <c r="AUC8" s="160">
        <v>2450.0</v>
      </c>
      <c r="AUD8" s="160">
        <v>2452.0</v>
      </c>
      <c r="AUE8" s="160">
        <v>2454.0</v>
      </c>
      <c r="AUF8" s="160">
        <v>2456.0</v>
      </c>
      <c r="AUG8" s="160">
        <v>2458.0</v>
      </c>
      <c r="AUH8" s="160">
        <v>2460.0</v>
      </c>
      <c r="AUI8" s="160">
        <v>2462.0</v>
      </c>
      <c r="AUJ8" s="160">
        <v>2464.0</v>
      </c>
      <c r="AUK8" s="160">
        <v>2466.0</v>
      </c>
      <c r="AUL8" s="160">
        <v>2468.0</v>
      </c>
      <c r="AUM8" s="160">
        <v>2470.0</v>
      </c>
      <c r="AUN8" s="160">
        <v>2472.0</v>
      </c>
      <c r="AUO8" s="160">
        <v>2474.0</v>
      </c>
      <c r="AUP8" s="160">
        <v>2476.0</v>
      </c>
      <c r="AUQ8" s="160">
        <v>2478.0</v>
      </c>
      <c r="AUR8" s="160">
        <v>2480.0</v>
      </c>
      <c r="AUS8" s="160">
        <v>2482.0</v>
      </c>
      <c r="AUT8" s="160">
        <v>2484.0</v>
      </c>
      <c r="AUU8" s="160">
        <v>2486.0</v>
      </c>
      <c r="AUV8" s="160">
        <v>2488.0</v>
      </c>
      <c r="AUW8" s="160">
        <v>2490.0</v>
      </c>
      <c r="AUX8" s="160">
        <v>2492.0</v>
      </c>
      <c r="AUY8" s="160">
        <v>2494.0</v>
      </c>
      <c r="AUZ8" s="160">
        <v>2496.0</v>
      </c>
      <c r="AVA8" s="160">
        <v>2498.0</v>
      </c>
      <c r="AVB8" s="160">
        <v>2500.0</v>
      </c>
      <c r="AVC8" s="160">
        <v>2502.0</v>
      </c>
      <c r="AVD8" s="160">
        <v>2504.0</v>
      </c>
      <c r="AVE8" s="160">
        <v>2506.0</v>
      </c>
      <c r="AVF8" s="160">
        <v>2508.0</v>
      </c>
      <c r="AVG8" s="160">
        <v>2510.0</v>
      </c>
      <c r="AVH8" s="160">
        <v>2512.0</v>
      </c>
      <c r="AVI8" s="160">
        <v>2514.0</v>
      </c>
      <c r="AVJ8" s="160">
        <v>2516.0</v>
      </c>
      <c r="AVK8" s="160">
        <v>2518.0</v>
      </c>
      <c r="AVL8" s="160">
        <v>2520.0</v>
      </c>
      <c r="AVM8" s="160">
        <v>2522.0</v>
      </c>
      <c r="AVN8" s="160">
        <v>2524.0</v>
      </c>
      <c r="AVO8" s="160">
        <v>2526.0</v>
      </c>
      <c r="AVP8" s="160">
        <v>2528.0</v>
      </c>
      <c r="AVQ8" s="160">
        <v>2530.0</v>
      </c>
      <c r="AVR8" s="160">
        <v>2532.0</v>
      </c>
      <c r="AVS8" s="160">
        <v>2534.0</v>
      </c>
      <c r="AVT8" s="160">
        <v>2536.0</v>
      </c>
      <c r="AVU8" s="160">
        <v>2538.0</v>
      </c>
      <c r="AVV8" s="160">
        <v>2540.0</v>
      </c>
      <c r="AVW8" s="160">
        <v>2542.0</v>
      </c>
      <c r="AVX8" s="160">
        <v>2544.0</v>
      </c>
      <c r="AVY8" s="160">
        <v>2546.0</v>
      </c>
      <c r="AVZ8" s="160">
        <v>2548.0</v>
      </c>
      <c r="AWA8" s="160">
        <v>2550.0</v>
      </c>
      <c r="AWB8" s="160">
        <v>2552.0</v>
      </c>
      <c r="AWC8" s="160">
        <v>2554.0</v>
      </c>
      <c r="AWD8" s="160">
        <v>2556.0</v>
      </c>
      <c r="AWE8" s="160">
        <v>2558.0</v>
      </c>
      <c r="AWF8" s="160">
        <v>2560.0</v>
      </c>
      <c r="AWG8" s="160">
        <v>2562.0</v>
      </c>
      <c r="AWH8" s="160">
        <v>2564.0</v>
      </c>
      <c r="AWI8" s="160">
        <v>2566.0</v>
      </c>
      <c r="AWJ8" s="160">
        <v>2568.0</v>
      </c>
      <c r="AWK8" s="160">
        <v>2570.0</v>
      </c>
      <c r="AWL8" s="160">
        <v>2572.0</v>
      </c>
      <c r="AWM8" s="160">
        <v>2574.0</v>
      </c>
      <c r="AWN8" s="160">
        <v>2576.0</v>
      </c>
      <c r="AWO8" s="160">
        <v>2578.0</v>
      </c>
      <c r="AWP8" s="160">
        <v>2580.0</v>
      </c>
      <c r="AWQ8" s="160">
        <v>2582.0</v>
      </c>
      <c r="AWR8" s="160">
        <v>2584.0</v>
      </c>
      <c r="AWS8" s="160">
        <v>2586.0</v>
      </c>
      <c r="AWT8" s="160">
        <v>2588.0</v>
      </c>
      <c r="AWU8" s="160">
        <v>2590.0</v>
      </c>
      <c r="AWV8" s="160">
        <v>2592.0</v>
      </c>
      <c r="AWW8" s="160">
        <v>2594.0</v>
      </c>
      <c r="AWX8" s="160">
        <v>2596.0</v>
      </c>
      <c r="AWY8" s="160">
        <v>2598.0</v>
      </c>
      <c r="AWZ8" s="160">
        <v>2600.0</v>
      </c>
      <c r="AXA8" s="160">
        <v>2602.0</v>
      </c>
      <c r="AXB8" s="160">
        <v>2604.0</v>
      </c>
      <c r="AXC8" s="160">
        <v>2606.0</v>
      </c>
      <c r="AXD8" s="160">
        <v>2608.0</v>
      </c>
      <c r="AXE8" s="160">
        <v>2610.0</v>
      </c>
      <c r="AXF8" s="160">
        <v>2612.0</v>
      </c>
      <c r="AXG8" s="160">
        <v>2614.0</v>
      </c>
      <c r="AXH8" s="160">
        <v>2616.0</v>
      </c>
      <c r="AXI8" s="160">
        <v>2618.0</v>
      </c>
      <c r="AXJ8" s="160">
        <v>2620.0</v>
      </c>
      <c r="AXK8" s="160">
        <v>2622.0</v>
      </c>
      <c r="AXL8" s="160">
        <v>2624.0</v>
      </c>
      <c r="AXM8" s="160">
        <v>2626.0</v>
      </c>
      <c r="AXN8" s="160">
        <v>2628.0</v>
      </c>
      <c r="AXO8" s="160">
        <v>2630.0</v>
      </c>
      <c r="AXP8" s="160">
        <v>2632.0</v>
      </c>
      <c r="AXQ8" s="160">
        <v>2634.0</v>
      </c>
      <c r="AXR8" s="160">
        <v>2636.0</v>
      </c>
      <c r="AXS8" s="160">
        <v>2638.0</v>
      </c>
      <c r="AXT8" s="160">
        <v>2640.0</v>
      </c>
      <c r="AXU8" s="160">
        <v>2642.0</v>
      </c>
      <c r="AXV8" s="160">
        <v>2644.0</v>
      </c>
      <c r="AXW8" s="160">
        <v>2646.0</v>
      </c>
      <c r="AXX8" s="160">
        <v>2648.0</v>
      </c>
      <c r="AXY8" s="160">
        <v>2650.0</v>
      </c>
      <c r="AXZ8" s="160">
        <v>2652.0</v>
      </c>
      <c r="AYA8" s="160">
        <v>2654.0</v>
      </c>
      <c r="AYB8" s="160">
        <v>2656.0</v>
      </c>
      <c r="AYC8" s="160">
        <v>2658.0</v>
      </c>
      <c r="AYD8" s="160">
        <v>2660.0</v>
      </c>
      <c r="AYE8" s="160">
        <v>2662.0</v>
      </c>
      <c r="AYF8" s="160">
        <v>2664.0</v>
      </c>
      <c r="AYG8" s="160">
        <v>2666.0</v>
      </c>
      <c r="AYH8" s="160">
        <v>2668.0</v>
      </c>
      <c r="AYI8" s="160">
        <v>2670.0</v>
      </c>
      <c r="AYJ8" s="160">
        <v>2672.0</v>
      </c>
      <c r="AYK8" s="160">
        <v>2674.0</v>
      </c>
      <c r="AYL8" s="160">
        <v>2676.0</v>
      </c>
      <c r="AYM8" s="160">
        <v>2678.0</v>
      </c>
      <c r="AYN8" s="160">
        <v>2680.0</v>
      </c>
      <c r="AYO8" s="160">
        <v>2682.0</v>
      </c>
      <c r="AYP8" s="160">
        <v>2684.0</v>
      </c>
      <c r="AYQ8" s="160">
        <v>2686.0</v>
      </c>
      <c r="AYR8" s="160">
        <v>2688.0</v>
      </c>
      <c r="AYS8" s="160">
        <v>2690.0</v>
      </c>
      <c r="AYT8" s="160">
        <v>2692.0</v>
      </c>
      <c r="AYU8" s="160">
        <v>2694.0</v>
      </c>
      <c r="AYV8" s="160">
        <v>2696.0</v>
      </c>
      <c r="AYW8" s="160">
        <v>2698.0</v>
      </c>
      <c r="AYX8" s="160">
        <v>2700.0</v>
      </c>
      <c r="AYY8" s="160">
        <v>2702.0</v>
      </c>
      <c r="AYZ8" s="160">
        <v>2704.0</v>
      </c>
      <c r="AZA8" s="160">
        <v>2706.0</v>
      </c>
      <c r="AZB8" s="160">
        <v>2708.0</v>
      </c>
      <c r="AZC8" s="160">
        <v>2710.0</v>
      </c>
      <c r="AZD8" s="160">
        <v>2712.0</v>
      </c>
      <c r="AZE8" s="160">
        <v>2714.0</v>
      </c>
      <c r="AZF8" s="160">
        <v>2716.0</v>
      </c>
      <c r="AZG8" s="160">
        <v>2718.0</v>
      </c>
      <c r="AZH8" s="160">
        <v>2720.0</v>
      </c>
      <c r="AZI8" s="160">
        <v>2722.0</v>
      </c>
      <c r="AZJ8" s="160">
        <v>2724.0</v>
      </c>
      <c r="AZK8" s="160">
        <v>2726.0</v>
      </c>
      <c r="AZL8" s="160">
        <v>2728.0</v>
      </c>
      <c r="AZM8" s="160">
        <v>2730.0</v>
      </c>
      <c r="AZN8" s="160">
        <v>2732.0</v>
      </c>
      <c r="AZO8" s="160">
        <v>2734.0</v>
      </c>
      <c r="AZP8" s="160">
        <v>2736.0</v>
      </c>
      <c r="AZQ8" s="160">
        <v>2738.0</v>
      </c>
      <c r="AZR8" s="160">
        <v>2740.0</v>
      </c>
      <c r="AZS8" s="160">
        <v>2742.0</v>
      </c>
      <c r="AZT8" s="160">
        <v>2744.0</v>
      </c>
      <c r="AZU8" s="160">
        <v>2746.0</v>
      </c>
      <c r="AZV8" s="160">
        <v>2748.0</v>
      </c>
      <c r="AZW8" s="160">
        <v>2750.0</v>
      </c>
      <c r="AZX8" s="160">
        <v>2752.0</v>
      </c>
      <c r="AZY8" s="160">
        <v>2754.0</v>
      </c>
      <c r="AZZ8" s="160">
        <v>2756.0</v>
      </c>
      <c r="BAA8" s="160">
        <v>2758.0</v>
      </c>
      <c r="BAB8" s="160">
        <v>2760.0</v>
      </c>
      <c r="BAC8" s="160">
        <v>2762.0</v>
      </c>
      <c r="BAD8" s="160">
        <v>2764.0</v>
      </c>
      <c r="BAE8" s="160">
        <v>2766.0</v>
      </c>
      <c r="BAF8" s="160">
        <v>2768.0</v>
      </c>
      <c r="BAG8" s="160">
        <v>2770.0</v>
      </c>
      <c r="BAH8" s="160">
        <v>2772.0</v>
      </c>
      <c r="BAI8" s="160">
        <v>2774.0</v>
      </c>
      <c r="BAJ8" s="160">
        <v>2776.0</v>
      </c>
      <c r="BAK8" s="160">
        <v>2778.0</v>
      </c>
      <c r="BAL8" s="160">
        <v>2780.0</v>
      </c>
      <c r="BAM8" s="160">
        <v>2782.0</v>
      </c>
      <c r="BAN8" s="160">
        <v>2784.0</v>
      </c>
      <c r="BAO8" s="160">
        <v>2786.0</v>
      </c>
      <c r="BAP8" s="160">
        <v>2788.0</v>
      </c>
      <c r="BAQ8" s="160">
        <v>2790.0</v>
      </c>
      <c r="BAR8" s="160">
        <v>2792.0</v>
      </c>
      <c r="BAS8" s="160">
        <v>2794.0</v>
      </c>
      <c r="BAT8" s="160">
        <v>2796.0</v>
      </c>
      <c r="BAU8" s="160">
        <v>2798.0</v>
      </c>
      <c r="BAV8" s="160">
        <v>2800.0</v>
      </c>
      <c r="BAW8" s="160">
        <v>2802.0</v>
      </c>
      <c r="BAX8" s="160">
        <v>2804.0</v>
      </c>
      <c r="BAY8" s="160">
        <v>2806.0</v>
      </c>
      <c r="BAZ8" s="160">
        <v>2808.0</v>
      </c>
      <c r="BBA8" s="160">
        <v>2810.0</v>
      </c>
      <c r="BBB8" s="160">
        <v>2812.0</v>
      </c>
      <c r="BBC8" s="160">
        <v>2814.0</v>
      </c>
      <c r="BBD8" s="160">
        <v>2816.0</v>
      </c>
      <c r="BBE8" s="160">
        <v>2818.0</v>
      </c>
      <c r="BBF8" s="160">
        <v>2820.0</v>
      </c>
      <c r="BBG8" s="160">
        <v>2822.0</v>
      </c>
      <c r="BBH8" s="160">
        <v>2824.0</v>
      </c>
      <c r="BBI8" s="160">
        <v>2826.0</v>
      </c>
      <c r="BBJ8" s="160">
        <v>2828.0</v>
      </c>
      <c r="BBK8" s="160">
        <v>2830.0</v>
      </c>
      <c r="BBL8" s="160">
        <v>2832.0</v>
      </c>
      <c r="BBM8" s="160">
        <v>2834.0</v>
      </c>
      <c r="BBN8" s="160">
        <v>2836.0</v>
      </c>
      <c r="BBO8" s="160">
        <v>2838.0</v>
      </c>
      <c r="BBP8" s="160">
        <v>2840.0</v>
      </c>
      <c r="BBQ8" s="160">
        <v>2842.0</v>
      </c>
      <c r="BBR8" s="160">
        <v>2844.0</v>
      </c>
      <c r="BBS8" s="160">
        <v>2846.0</v>
      </c>
      <c r="BBT8" s="160">
        <v>2848.0</v>
      </c>
      <c r="BBU8" s="160">
        <v>2850.0</v>
      </c>
      <c r="BBV8" s="160">
        <v>2852.0</v>
      </c>
      <c r="BBW8" s="160">
        <v>2854.0</v>
      </c>
      <c r="BBX8" s="160">
        <v>2856.0</v>
      </c>
      <c r="BBY8" s="160">
        <v>2858.0</v>
      </c>
      <c r="BBZ8" s="160">
        <v>2860.0</v>
      </c>
      <c r="BCA8" s="160">
        <v>2862.0</v>
      </c>
      <c r="BCB8" s="160">
        <v>2864.0</v>
      </c>
      <c r="BCC8" s="160">
        <v>2866.0</v>
      </c>
      <c r="BCD8" s="160">
        <v>2868.0</v>
      </c>
      <c r="BCE8" s="160">
        <v>2870.0</v>
      </c>
      <c r="BCF8" s="160">
        <v>2872.0</v>
      </c>
      <c r="BCG8" s="160">
        <v>2874.0</v>
      </c>
      <c r="BCH8" s="160">
        <v>2876.0</v>
      </c>
      <c r="BCI8" s="160">
        <v>2878.0</v>
      </c>
      <c r="BCJ8" s="160">
        <v>2880.0</v>
      </c>
      <c r="BCK8" s="160">
        <v>2882.0</v>
      </c>
      <c r="BCL8" s="160">
        <v>2884.0</v>
      </c>
      <c r="BCM8" s="160">
        <v>2886.0</v>
      </c>
      <c r="BCN8" s="160">
        <v>2888.0</v>
      </c>
      <c r="BCO8" s="160">
        <v>2890.0</v>
      </c>
      <c r="BCP8" s="160">
        <v>2892.0</v>
      </c>
      <c r="BCQ8" s="160">
        <v>2894.0</v>
      </c>
      <c r="BCR8" s="160">
        <v>2896.0</v>
      </c>
      <c r="BCS8" s="160">
        <v>2898.0</v>
      </c>
      <c r="BCT8" s="160">
        <v>2900.0</v>
      </c>
      <c r="BCU8" s="160">
        <v>2902.0</v>
      </c>
      <c r="BCV8" s="160">
        <v>2904.0</v>
      </c>
      <c r="BCW8" s="160">
        <v>2906.0</v>
      </c>
      <c r="BCX8" s="160">
        <v>2908.0</v>
      </c>
      <c r="BCY8" s="160">
        <v>2910.0</v>
      </c>
      <c r="BCZ8" s="160">
        <v>2912.0</v>
      </c>
      <c r="BDA8" s="160">
        <v>2914.0</v>
      </c>
      <c r="BDB8" s="160">
        <v>2916.0</v>
      </c>
      <c r="BDC8" s="160">
        <v>2918.0</v>
      </c>
      <c r="BDD8" s="160">
        <v>2920.0</v>
      </c>
      <c r="BDE8" s="160">
        <v>2922.0</v>
      </c>
      <c r="BDF8" s="160">
        <v>2924.0</v>
      </c>
      <c r="BDG8" s="160">
        <v>2926.0</v>
      </c>
      <c r="BDH8" s="160">
        <v>2928.0</v>
      </c>
      <c r="BDI8" s="160">
        <v>2930.0</v>
      </c>
      <c r="BDJ8" s="160">
        <v>2932.0</v>
      </c>
      <c r="BDK8" s="160">
        <v>2934.0</v>
      </c>
      <c r="BDL8" s="160">
        <v>2936.0</v>
      </c>
      <c r="BDM8" s="160">
        <v>2938.0</v>
      </c>
      <c r="BDN8" s="160">
        <v>2940.0</v>
      </c>
      <c r="BDO8" s="160">
        <v>2942.0</v>
      </c>
      <c r="BDP8" s="160">
        <v>2944.0</v>
      </c>
      <c r="BDQ8" s="160">
        <v>2946.0</v>
      </c>
      <c r="BDR8" s="160">
        <v>2948.0</v>
      </c>
      <c r="BDS8" s="160">
        <v>2950.0</v>
      </c>
      <c r="BDT8" s="160">
        <v>2952.0</v>
      </c>
      <c r="BDU8" s="160">
        <v>2954.0</v>
      </c>
      <c r="BDV8" s="160">
        <v>2956.0</v>
      </c>
      <c r="BDW8" s="160">
        <v>2958.0</v>
      </c>
      <c r="BDX8" s="160">
        <v>2960.0</v>
      </c>
      <c r="BDY8" s="160">
        <v>2962.0</v>
      </c>
      <c r="BDZ8" s="160">
        <v>2964.0</v>
      </c>
      <c r="BEA8" s="160">
        <v>2966.0</v>
      </c>
      <c r="BEB8" s="160">
        <v>2968.0</v>
      </c>
      <c r="BEC8" s="160">
        <v>2970.0</v>
      </c>
      <c r="BED8" s="160">
        <v>2972.0</v>
      </c>
      <c r="BEE8" s="160">
        <v>2974.0</v>
      </c>
      <c r="BEF8" s="160">
        <v>2976.0</v>
      </c>
      <c r="BEG8" s="160">
        <v>2978.0</v>
      </c>
      <c r="BEH8" s="160">
        <v>2980.0</v>
      </c>
      <c r="BEI8" s="160">
        <v>2982.0</v>
      </c>
      <c r="BEJ8" s="160">
        <v>2984.0</v>
      </c>
      <c r="BEK8" s="160">
        <v>2986.0</v>
      </c>
      <c r="BEL8" s="160">
        <v>2988.0</v>
      </c>
      <c r="BEM8" s="160">
        <v>2990.0</v>
      </c>
      <c r="BEN8" s="160">
        <v>2992.0</v>
      </c>
      <c r="BEO8" s="160">
        <v>2994.0</v>
      </c>
      <c r="BEP8" s="160">
        <v>2996.0</v>
      </c>
      <c r="BEQ8" s="160">
        <v>2998.0</v>
      </c>
      <c r="BER8" s="160">
        <v>3000.0</v>
      </c>
      <c r="BES8" s="160">
        <v>3002.0</v>
      </c>
      <c r="BET8" s="160">
        <v>3004.0</v>
      </c>
      <c r="BEU8" s="160">
        <v>3006.0</v>
      </c>
      <c r="BEV8" s="160">
        <v>3008.0</v>
      </c>
      <c r="BEW8" s="160">
        <v>3010.0</v>
      </c>
      <c r="BEX8" s="160">
        <v>3012.0</v>
      </c>
      <c r="BEY8" s="160">
        <v>3014.0</v>
      </c>
      <c r="BEZ8" s="160">
        <v>3016.0</v>
      </c>
      <c r="BFA8" s="160">
        <v>3018.0</v>
      </c>
      <c r="BFB8" s="160">
        <v>3020.0</v>
      </c>
      <c r="BFC8" s="160">
        <v>3022.0</v>
      </c>
      <c r="BFD8" s="160">
        <v>3024.0</v>
      </c>
      <c r="BFE8" s="160">
        <v>3026.0</v>
      </c>
      <c r="BFF8" s="160">
        <v>3028.0</v>
      </c>
      <c r="BFG8" s="160">
        <v>3030.0</v>
      </c>
      <c r="BFH8" s="160">
        <v>3032.0</v>
      </c>
      <c r="BFI8" s="160">
        <v>3034.0</v>
      </c>
      <c r="BFJ8" s="160">
        <v>3036.0</v>
      </c>
      <c r="BFK8" s="160">
        <v>3038.0</v>
      </c>
      <c r="BFL8" s="160">
        <v>3040.0</v>
      </c>
      <c r="BFM8" s="160">
        <v>3042.0</v>
      </c>
      <c r="BFN8" s="160">
        <v>3044.0</v>
      </c>
      <c r="BFO8" s="160">
        <v>3046.0</v>
      </c>
      <c r="BFP8" s="160">
        <v>3048.0</v>
      </c>
      <c r="BFQ8" s="160">
        <v>3050.0</v>
      </c>
      <c r="BFR8" s="160">
        <v>3052.0</v>
      </c>
      <c r="BFS8" s="160">
        <v>3054.0</v>
      </c>
      <c r="BFT8" s="160">
        <v>3056.0</v>
      </c>
      <c r="BFU8" s="160">
        <v>3058.0</v>
      </c>
      <c r="BFV8" s="160">
        <v>3060.0</v>
      </c>
      <c r="BFW8" s="160">
        <v>3062.0</v>
      </c>
      <c r="BFX8" s="160">
        <v>3064.0</v>
      </c>
      <c r="BFY8" s="160">
        <v>3066.0</v>
      </c>
      <c r="BFZ8" s="160">
        <v>3068.0</v>
      </c>
      <c r="BGA8" s="160">
        <v>3070.0</v>
      </c>
      <c r="BGB8" s="160">
        <v>3072.0</v>
      </c>
      <c r="BGC8" s="160">
        <v>3074.0</v>
      </c>
      <c r="BGD8" s="160">
        <v>3076.0</v>
      </c>
      <c r="BGE8" s="160">
        <v>3078.0</v>
      </c>
      <c r="BGF8" s="160">
        <v>3080.0</v>
      </c>
      <c r="BGG8" s="160">
        <v>3082.0</v>
      </c>
      <c r="BGH8" s="160">
        <v>3084.0</v>
      </c>
      <c r="BGI8" s="160">
        <v>3086.0</v>
      </c>
      <c r="BGJ8" s="160">
        <v>3088.0</v>
      </c>
      <c r="BGK8" s="160">
        <v>3090.0</v>
      </c>
      <c r="BGL8" s="160">
        <v>3092.0</v>
      </c>
      <c r="BGM8" s="160">
        <v>3094.0</v>
      </c>
      <c r="BGN8" s="160">
        <v>3096.0</v>
      </c>
      <c r="BGO8" s="160">
        <v>3098.0</v>
      </c>
      <c r="BGP8" s="160">
        <v>3100.0</v>
      </c>
      <c r="BGQ8" s="160">
        <v>3102.0</v>
      </c>
      <c r="BGR8" s="160">
        <v>3104.0</v>
      </c>
      <c r="BGS8" s="160">
        <v>3106.0</v>
      </c>
      <c r="BGT8" s="160">
        <v>3108.0</v>
      </c>
      <c r="BGU8" s="160">
        <v>3110.0</v>
      </c>
      <c r="BGV8" s="160">
        <v>3112.0</v>
      </c>
      <c r="BGW8" s="160">
        <v>3114.0</v>
      </c>
      <c r="BGX8" s="160">
        <v>3116.0</v>
      </c>
      <c r="BGY8" s="160">
        <v>3118.0</v>
      </c>
      <c r="BGZ8" s="160">
        <v>3120.0</v>
      </c>
      <c r="BHA8" s="160">
        <v>3122.0</v>
      </c>
      <c r="BHB8" s="160">
        <v>3124.0</v>
      </c>
      <c r="BHC8" s="160">
        <v>3126.0</v>
      </c>
      <c r="BHD8" s="160">
        <v>3128.0</v>
      </c>
      <c r="BHE8" s="160">
        <v>3130.0</v>
      </c>
      <c r="BHF8" s="160">
        <v>3132.0</v>
      </c>
      <c r="BHG8" s="160">
        <v>3134.0</v>
      </c>
      <c r="BHH8" s="160">
        <v>3136.0</v>
      </c>
      <c r="BHI8" s="160">
        <v>3138.0</v>
      </c>
      <c r="BHJ8" s="160">
        <v>3140.0</v>
      </c>
      <c r="BHK8" s="160">
        <v>3142.0</v>
      </c>
      <c r="BHL8" s="160">
        <v>3144.0</v>
      </c>
      <c r="BHM8" s="160">
        <v>3146.0</v>
      </c>
      <c r="BHN8" s="160">
        <v>3148.0</v>
      </c>
      <c r="BHO8" s="160">
        <v>3150.0</v>
      </c>
      <c r="BHP8" s="160">
        <v>3152.0</v>
      </c>
      <c r="BHQ8" s="160">
        <v>3154.0</v>
      </c>
      <c r="BHR8" s="160">
        <v>3156.0</v>
      </c>
      <c r="BHS8" s="160">
        <v>3158.0</v>
      </c>
      <c r="BHT8" s="160">
        <v>3160.0</v>
      </c>
      <c r="BHU8" s="160">
        <v>3162.0</v>
      </c>
      <c r="BHV8" s="160">
        <v>3164.0</v>
      </c>
      <c r="BHW8" s="160">
        <v>3166.0</v>
      </c>
      <c r="BHX8" s="160">
        <v>3168.0</v>
      </c>
      <c r="BHY8" s="160">
        <v>3170.0</v>
      </c>
      <c r="BHZ8" s="160">
        <v>3172.0</v>
      </c>
      <c r="BIA8" s="160">
        <v>3174.0</v>
      </c>
      <c r="BIB8" s="160">
        <v>3176.0</v>
      </c>
      <c r="BIC8" s="160">
        <v>3178.0</v>
      </c>
      <c r="BID8" s="160">
        <v>3180.0</v>
      </c>
      <c r="BIE8" s="160">
        <v>3182.0</v>
      </c>
      <c r="BIF8" s="160">
        <v>3184.0</v>
      </c>
      <c r="BIG8" s="160">
        <v>3186.0</v>
      </c>
      <c r="BIH8" s="160">
        <v>3188.0</v>
      </c>
      <c r="BII8" s="160">
        <v>3190.0</v>
      </c>
      <c r="BIJ8" s="160">
        <v>3192.0</v>
      </c>
      <c r="BIK8" s="160">
        <v>3194.0</v>
      </c>
      <c r="BIL8" s="160">
        <v>3196.0</v>
      </c>
      <c r="BIM8" s="160">
        <v>3198.0</v>
      </c>
      <c r="BIN8" s="160">
        <v>3200.0</v>
      </c>
      <c r="BIO8" s="160">
        <v>3202.0</v>
      </c>
      <c r="BIP8" s="160">
        <v>3204.0</v>
      </c>
      <c r="BIQ8" s="160">
        <v>3206.0</v>
      </c>
      <c r="BIR8" s="160">
        <v>3208.0</v>
      </c>
      <c r="BIS8" s="160">
        <v>3210.0</v>
      </c>
      <c r="BIT8" s="160">
        <v>3212.0</v>
      </c>
      <c r="BIU8" s="160">
        <v>3214.0</v>
      </c>
      <c r="BIV8" s="160">
        <v>3216.0</v>
      </c>
      <c r="BIW8" s="160">
        <v>3218.0</v>
      </c>
      <c r="BIX8" s="160">
        <v>3220.0</v>
      </c>
      <c r="BIY8" s="160">
        <v>3222.0</v>
      </c>
      <c r="BIZ8" s="160">
        <v>3224.0</v>
      </c>
      <c r="BJA8" s="160">
        <v>3226.0</v>
      </c>
      <c r="BJB8" s="160">
        <v>3228.0</v>
      </c>
      <c r="BJC8" s="160">
        <v>3230.0</v>
      </c>
      <c r="BJD8" s="160">
        <v>3232.0</v>
      </c>
      <c r="BJE8" s="160">
        <v>3234.0</v>
      </c>
      <c r="BJF8" s="160">
        <v>3236.0</v>
      </c>
      <c r="BJG8" s="160">
        <v>3238.0</v>
      </c>
      <c r="BJH8" s="160">
        <v>3240.0</v>
      </c>
      <c r="BJI8" s="160">
        <v>3242.0</v>
      </c>
      <c r="BJJ8" s="160">
        <v>3244.0</v>
      </c>
      <c r="BJK8" s="160">
        <v>3246.0</v>
      </c>
      <c r="BJL8" s="160">
        <v>3248.0</v>
      </c>
      <c r="BJM8" s="160">
        <v>3250.0</v>
      </c>
      <c r="BJN8" s="160">
        <v>3252.0</v>
      </c>
      <c r="BJO8" s="160">
        <v>3254.0</v>
      </c>
      <c r="BJP8" s="160">
        <v>3256.0</v>
      </c>
      <c r="BJQ8" s="160">
        <v>3258.0</v>
      </c>
      <c r="BJR8" s="160">
        <v>3260.0</v>
      </c>
      <c r="BJS8" s="160">
        <v>3262.0</v>
      </c>
      <c r="BJT8" s="160">
        <v>3264.0</v>
      </c>
      <c r="BJU8" s="160">
        <v>3266.0</v>
      </c>
      <c r="BJV8" s="160">
        <v>3268.0</v>
      </c>
      <c r="BJW8" s="160">
        <v>3270.0</v>
      </c>
      <c r="BJX8" s="160">
        <v>3272.0</v>
      </c>
      <c r="BJY8" s="160">
        <v>3274.0</v>
      </c>
      <c r="BJZ8" s="160">
        <v>3276.0</v>
      </c>
      <c r="BKA8" s="160">
        <v>3278.0</v>
      </c>
      <c r="BKB8" s="160">
        <v>3280.0</v>
      </c>
      <c r="BKC8" s="160">
        <v>3282.0</v>
      </c>
      <c r="BKD8" s="160">
        <v>3284.0</v>
      </c>
      <c r="BKE8" s="160">
        <v>3286.0</v>
      </c>
      <c r="BKF8" s="160">
        <v>3288.0</v>
      </c>
      <c r="BKG8" s="160">
        <v>3290.0</v>
      </c>
      <c r="BKH8" s="160">
        <v>3292.0</v>
      </c>
      <c r="BKI8" s="160">
        <v>3294.0</v>
      </c>
      <c r="BKJ8" s="160">
        <v>3296.0</v>
      </c>
      <c r="BKK8" s="160">
        <v>3298.0</v>
      </c>
      <c r="BKL8" s="160">
        <v>3300.0</v>
      </c>
      <c r="BKM8" s="160">
        <v>3302.0</v>
      </c>
      <c r="BKN8" s="160">
        <v>3304.0</v>
      </c>
      <c r="BKO8" s="160">
        <v>3306.0</v>
      </c>
      <c r="BKP8" s="160">
        <v>3308.0</v>
      </c>
      <c r="BKQ8" s="160">
        <v>3310.0</v>
      </c>
      <c r="BKR8" s="160">
        <v>3312.0</v>
      </c>
      <c r="BKS8" s="160">
        <v>3314.0</v>
      </c>
      <c r="BKT8" s="160">
        <v>3316.0</v>
      </c>
      <c r="BKU8" s="160">
        <v>3318.0</v>
      </c>
      <c r="BKV8" s="160">
        <v>3320.0</v>
      </c>
      <c r="BKW8" s="160">
        <v>3322.0</v>
      </c>
      <c r="BKX8" s="160">
        <v>3324.0</v>
      </c>
      <c r="BKY8" s="160">
        <v>3326.0</v>
      </c>
      <c r="BKZ8" s="160">
        <v>3328.0</v>
      </c>
      <c r="BLA8" s="160">
        <v>3330.0</v>
      </c>
      <c r="BLB8" s="160">
        <v>3332.0</v>
      </c>
      <c r="BLC8" s="160">
        <v>3334.0</v>
      </c>
      <c r="BLD8" s="160">
        <v>3336.0</v>
      </c>
      <c r="BLE8" s="160">
        <v>3338.0</v>
      </c>
      <c r="BLF8" s="160">
        <v>3340.0</v>
      </c>
      <c r="BLG8" s="160">
        <v>3342.0</v>
      </c>
      <c r="BLH8" s="160">
        <v>3344.0</v>
      </c>
      <c r="BLI8" s="160">
        <v>3346.0</v>
      </c>
      <c r="BLJ8" s="160">
        <v>3348.0</v>
      </c>
      <c r="BLK8" s="160">
        <v>3350.0</v>
      </c>
      <c r="BLL8" s="160">
        <v>3352.0</v>
      </c>
      <c r="BLM8" s="160">
        <v>3354.0</v>
      </c>
      <c r="BLN8" s="160">
        <v>3356.0</v>
      </c>
      <c r="BLO8" s="160">
        <v>3358.0</v>
      </c>
      <c r="BLP8" s="160">
        <v>3360.0</v>
      </c>
      <c r="BLQ8" s="160">
        <v>3362.0</v>
      </c>
      <c r="BLR8" s="160">
        <v>3364.0</v>
      </c>
      <c r="BLS8" s="160">
        <v>3366.0</v>
      </c>
      <c r="BLT8" s="160">
        <v>3368.0</v>
      </c>
      <c r="BLU8" s="160">
        <v>3370.0</v>
      </c>
      <c r="BLV8" s="160">
        <v>3372.0</v>
      </c>
      <c r="BLW8" s="160">
        <v>3374.0</v>
      </c>
      <c r="BLX8" s="160">
        <v>3376.0</v>
      </c>
      <c r="BLY8" s="160">
        <v>3378.0</v>
      </c>
      <c r="BLZ8" s="160">
        <v>3380.0</v>
      </c>
      <c r="BMA8" s="160">
        <v>3382.0</v>
      </c>
      <c r="BMB8" s="160">
        <v>3384.0</v>
      </c>
      <c r="BMC8" s="160">
        <v>3386.0</v>
      </c>
      <c r="BMD8" s="160">
        <v>3388.0</v>
      </c>
      <c r="BME8" s="160">
        <v>3390.0</v>
      </c>
      <c r="BMF8" s="160">
        <v>3392.0</v>
      </c>
      <c r="BMG8" s="160">
        <v>3394.0</v>
      </c>
      <c r="BMH8" s="160">
        <v>3396.0</v>
      </c>
      <c r="BMI8" s="160">
        <v>3398.0</v>
      </c>
      <c r="BMJ8" s="160">
        <v>3400.0</v>
      </c>
      <c r="BMK8" s="160">
        <v>3402.0</v>
      </c>
      <c r="BML8" s="160">
        <v>3404.0</v>
      </c>
      <c r="BMM8" s="160">
        <v>3406.0</v>
      </c>
      <c r="BMN8" s="160">
        <v>3408.0</v>
      </c>
      <c r="BMO8" s="160">
        <v>3410.0</v>
      </c>
      <c r="BMP8" s="160">
        <v>3412.0</v>
      </c>
      <c r="BMQ8" s="160">
        <v>3414.0</v>
      </c>
      <c r="BMR8" s="160">
        <v>3416.0</v>
      </c>
      <c r="BMS8" s="160">
        <v>3418.0</v>
      </c>
      <c r="BMT8" s="160">
        <v>3420.0</v>
      </c>
      <c r="BMU8" s="160">
        <v>3422.0</v>
      </c>
      <c r="BMV8" s="160">
        <v>3424.0</v>
      </c>
      <c r="BMW8" s="160">
        <v>3426.0</v>
      </c>
      <c r="BMX8" s="160">
        <v>3428.0</v>
      </c>
      <c r="BMY8" s="160">
        <v>3430.0</v>
      </c>
      <c r="BMZ8" s="160">
        <v>3432.0</v>
      </c>
      <c r="BNA8" s="160">
        <v>3434.0</v>
      </c>
      <c r="BNB8" s="160">
        <v>3436.0</v>
      </c>
      <c r="BNC8" s="160">
        <v>3438.0</v>
      </c>
      <c r="BND8" s="160">
        <v>3440.0</v>
      </c>
      <c r="BNE8" s="160">
        <v>3442.0</v>
      </c>
      <c r="BNF8" s="160">
        <v>3444.0</v>
      </c>
      <c r="BNG8" s="160">
        <v>3446.0</v>
      </c>
      <c r="BNH8" s="160">
        <v>3448.0</v>
      </c>
      <c r="BNI8" s="160">
        <v>3450.0</v>
      </c>
      <c r="BNJ8" s="160">
        <v>3452.0</v>
      </c>
      <c r="BNK8" s="160">
        <v>3454.0</v>
      </c>
      <c r="BNL8" s="160">
        <v>3456.0</v>
      </c>
      <c r="BNM8" s="160">
        <v>3458.0</v>
      </c>
      <c r="BNN8" s="160">
        <v>3460.0</v>
      </c>
      <c r="BNO8" s="160">
        <v>3462.0</v>
      </c>
      <c r="BNP8" s="160">
        <v>3464.0</v>
      </c>
      <c r="BNQ8" s="160">
        <v>3466.0</v>
      </c>
      <c r="BNR8" s="160">
        <v>3468.0</v>
      </c>
      <c r="BNS8" s="160">
        <v>3470.0</v>
      </c>
      <c r="BNT8" s="160">
        <v>3472.0</v>
      </c>
      <c r="BNU8" s="160">
        <v>3474.0</v>
      </c>
      <c r="BNV8" s="160">
        <v>3476.0</v>
      </c>
      <c r="BNW8" s="160">
        <v>3478.0</v>
      </c>
      <c r="BNX8" s="160">
        <v>3480.0</v>
      </c>
      <c r="BNY8" s="160">
        <v>3482.0</v>
      </c>
      <c r="BNZ8" s="160">
        <v>3484.0</v>
      </c>
      <c r="BOA8" s="160">
        <v>3486.0</v>
      </c>
      <c r="BOB8" s="160">
        <v>3488.0</v>
      </c>
      <c r="BOC8" s="160">
        <v>3490.0</v>
      </c>
      <c r="BOD8" s="160">
        <v>3492.0</v>
      </c>
      <c r="BOE8" s="160">
        <v>3494.0</v>
      </c>
      <c r="BOF8" s="160">
        <v>3496.0</v>
      </c>
      <c r="BOG8" s="160">
        <v>3498.0</v>
      </c>
      <c r="BOH8" s="160">
        <v>3500.0</v>
      </c>
      <c r="BOI8" s="160">
        <v>3502.0</v>
      </c>
      <c r="BOJ8" s="160">
        <v>3504.0</v>
      </c>
      <c r="BOK8" s="160">
        <v>3506.0</v>
      </c>
      <c r="BOL8" s="160">
        <v>3508.0</v>
      </c>
      <c r="BOM8" s="160">
        <v>3510.0</v>
      </c>
      <c r="BON8" s="160">
        <v>3512.0</v>
      </c>
      <c r="BOO8" s="160">
        <v>3514.0</v>
      </c>
      <c r="BOP8" s="160">
        <v>3516.0</v>
      </c>
      <c r="BOQ8" s="160">
        <v>3518.0</v>
      </c>
      <c r="BOR8" s="160">
        <v>3520.0</v>
      </c>
      <c r="BOS8" s="160">
        <v>3522.0</v>
      </c>
      <c r="BOT8" s="160">
        <v>3524.0</v>
      </c>
      <c r="BOU8" s="160">
        <v>3526.0</v>
      </c>
      <c r="BOV8" s="160">
        <v>3528.0</v>
      </c>
      <c r="BOW8" s="160">
        <v>3530.0</v>
      </c>
      <c r="BOX8" s="160">
        <v>3532.0</v>
      </c>
      <c r="BOY8" s="160">
        <v>3534.0</v>
      </c>
      <c r="BOZ8" s="160">
        <v>3536.0</v>
      </c>
      <c r="BPA8" s="160">
        <v>3538.0</v>
      </c>
      <c r="BPB8" s="160">
        <v>3540.0</v>
      </c>
      <c r="BPC8" s="160">
        <v>3542.0</v>
      </c>
      <c r="BPD8" s="160">
        <v>3544.0</v>
      </c>
      <c r="BPE8" s="160">
        <v>3546.0</v>
      </c>
      <c r="BPF8" s="160">
        <v>3548.0</v>
      </c>
      <c r="BPG8" s="160">
        <v>3550.0</v>
      </c>
      <c r="BPH8" s="160">
        <v>3552.0</v>
      </c>
      <c r="BPI8" s="160">
        <v>3554.0</v>
      </c>
      <c r="BPJ8" s="160">
        <v>3556.0</v>
      </c>
      <c r="BPK8" s="160">
        <v>3558.0</v>
      </c>
      <c r="BPL8" s="160">
        <v>3560.0</v>
      </c>
      <c r="BPM8" s="160">
        <v>3562.0</v>
      </c>
      <c r="BPN8" s="160">
        <v>3564.0</v>
      </c>
      <c r="BPO8" s="160">
        <v>3566.0</v>
      </c>
      <c r="BPP8" s="160">
        <v>3568.0</v>
      </c>
      <c r="BPQ8" s="160">
        <v>3570.0</v>
      </c>
      <c r="BPR8" s="160">
        <v>3572.0</v>
      </c>
      <c r="BPS8" s="160">
        <v>3574.0</v>
      </c>
      <c r="BPT8" s="160">
        <v>3576.0</v>
      </c>
      <c r="BPU8" s="160">
        <v>3578.0</v>
      </c>
      <c r="BPV8" s="160">
        <v>3580.0</v>
      </c>
      <c r="BPW8" s="160">
        <v>3582.0</v>
      </c>
      <c r="BPX8" s="160">
        <v>3584.0</v>
      </c>
      <c r="BPY8" s="160">
        <v>3586.0</v>
      </c>
      <c r="BPZ8" s="160">
        <v>3588.0</v>
      </c>
      <c r="BQA8" s="160">
        <v>3590.0</v>
      </c>
      <c r="BQB8" s="160">
        <v>3592.0</v>
      </c>
      <c r="BQC8" s="160">
        <v>3594.0</v>
      </c>
      <c r="BQD8" s="160">
        <v>3596.0</v>
      </c>
      <c r="BQE8" s="160">
        <v>3598.0</v>
      </c>
      <c r="BQF8" s="160">
        <v>3600.0</v>
      </c>
      <c r="BQG8" s="160">
        <v>3602.0</v>
      </c>
      <c r="BQH8" s="160">
        <v>3604.0</v>
      </c>
      <c r="BQI8" s="160">
        <v>3606.0</v>
      </c>
      <c r="BQJ8" s="160">
        <v>3608.0</v>
      </c>
      <c r="BQK8" s="160">
        <v>3610.0</v>
      </c>
      <c r="BQL8" s="160">
        <v>3612.0</v>
      </c>
      <c r="BQM8" s="160">
        <v>3614.0</v>
      </c>
      <c r="BQN8" s="160">
        <v>3616.0</v>
      </c>
      <c r="BQO8" s="160">
        <v>3618.0</v>
      </c>
      <c r="BQP8" s="160">
        <v>3620.0</v>
      </c>
      <c r="BQQ8" s="160">
        <v>3622.0</v>
      </c>
      <c r="BQR8" s="160">
        <v>3624.0</v>
      </c>
      <c r="BQS8" s="160">
        <v>3626.0</v>
      </c>
      <c r="BQT8" s="160">
        <v>3628.0</v>
      </c>
      <c r="BQU8" s="160">
        <v>3630.0</v>
      </c>
      <c r="BQV8" s="160">
        <v>3632.0</v>
      </c>
      <c r="BQW8" s="160">
        <v>3634.0</v>
      </c>
      <c r="BQX8" s="160">
        <v>3636.0</v>
      </c>
      <c r="BQY8" s="160">
        <v>3638.0</v>
      </c>
      <c r="BQZ8" s="160">
        <v>3640.0</v>
      </c>
      <c r="BRA8" s="160">
        <v>3642.0</v>
      </c>
      <c r="BRB8" s="160">
        <v>3644.0</v>
      </c>
      <c r="BRC8" s="160">
        <v>3646.0</v>
      </c>
      <c r="BRD8" s="160">
        <v>3648.0</v>
      </c>
      <c r="BRE8" s="160">
        <v>3650.0</v>
      </c>
      <c r="BRF8" s="160">
        <v>3652.0</v>
      </c>
      <c r="BRG8" s="160">
        <v>3654.0</v>
      </c>
      <c r="BRH8" s="160">
        <v>3656.0</v>
      </c>
      <c r="BRI8" s="160">
        <v>3658.0</v>
      </c>
      <c r="BRJ8" s="160">
        <v>3660.0</v>
      </c>
      <c r="BRK8" s="160">
        <v>3662.0</v>
      </c>
      <c r="BRL8" s="160">
        <v>3664.0</v>
      </c>
      <c r="BRM8" s="160">
        <v>3666.0</v>
      </c>
      <c r="BRN8" s="160">
        <v>3668.0</v>
      </c>
      <c r="BRO8" s="160">
        <v>3670.0</v>
      </c>
      <c r="BRP8" s="160">
        <v>3672.0</v>
      </c>
      <c r="BRQ8" s="160">
        <v>3674.0</v>
      </c>
      <c r="BRR8" s="160">
        <v>3676.0</v>
      </c>
      <c r="BRS8" s="160">
        <v>3678.0</v>
      </c>
      <c r="BRT8" s="160">
        <v>3680.0</v>
      </c>
      <c r="BRU8" s="160">
        <v>3682.0</v>
      </c>
      <c r="BRV8" s="160">
        <v>3684.0</v>
      </c>
      <c r="BRW8" s="160">
        <v>3686.0</v>
      </c>
      <c r="BRX8" s="160">
        <v>3688.0</v>
      </c>
      <c r="BRY8" s="160">
        <v>3690.0</v>
      </c>
      <c r="BRZ8" s="160">
        <v>3692.0</v>
      </c>
      <c r="BSA8" s="160">
        <v>3694.0</v>
      </c>
      <c r="BSB8" s="160">
        <v>3696.0</v>
      </c>
      <c r="BSC8" s="160">
        <v>3698.0</v>
      </c>
      <c r="BSD8" s="160">
        <v>3700.0</v>
      </c>
      <c r="BSE8" s="160">
        <v>3702.0</v>
      </c>
      <c r="BSF8" s="160">
        <v>3704.0</v>
      </c>
      <c r="BSG8" s="160">
        <v>3706.0</v>
      </c>
      <c r="BSH8" s="160">
        <v>3708.0</v>
      </c>
      <c r="BSI8" s="160">
        <v>3710.0</v>
      </c>
      <c r="BSJ8" s="160">
        <v>3712.0</v>
      </c>
      <c r="BSK8" s="160">
        <v>3714.0</v>
      </c>
      <c r="BSL8" s="160">
        <v>3716.0</v>
      </c>
      <c r="BSM8" s="160">
        <v>3718.0</v>
      </c>
      <c r="BSN8" s="160">
        <v>3720.0</v>
      </c>
      <c r="BSO8" s="160">
        <v>3722.0</v>
      </c>
      <c r="BSP8" s="160">
        <v>3724.0</v>
      </c>
      <c r="BSQ8" s="160">
        <v>3726.0</v>
      </c>
      <c r="BSR8" s="160">
        <v>3728.0</v>
      </c>
      <c r="BSS8" s="160">
        <v>3730.0</v>
      </c>
      <c r="BST8" s="160">
        <v>3732.0</v>
      </c>
      <c r="BSU8" s="160">
        <v>3734.0</v>
      </c>
      <c r="BSV8" s="160">
        <v>3736.0</v>
      </c>
      <c r="BSW8" s="160">
        <v>3738.0</v>
      </c>
      <c r="BSX8" s="160">
        <v>3740.0</v>
      </c>
      <c r="BSY8" s="160">
        <v>3742.0</v>
      </c>
      <c r="BSZ8" s="160">
        <v>3744.0</v>
      </c>
      <c r="BTA8" s="160">
        <v>3746.0</v>
      </c>
      <c r="BTB8" s="160">
        <v>3748.0</v>
      </c>
      <c r="BTC8" s="160">
        <v>3750.0</v>
      </c>
      <c r="BTD8" s="160">
        <v>3752.0</v>
      </c>
      <c r="BTE8" s="160">
        <v>3754.0</v>
      </c>
      <c r="BTF8" s="160">
        <v>3756.0</v>
      </c>
      <c r="BTG8" s="160">
        <v>3758.0</v>
      </c>
      <c r="BTH8" s="160">
        <v>3760.0</v>
      </c>
      <c r="BTI8" s="160">
        <v>3762.0</v>
      </c>
      <c r="BTJ8" s="160">
        <v>3764.0</v>
      </c>
      <c r="BTK8" s="160">
        <v>3766.0</v>
      </c>
      <c r="BTL8" s="160">
        <v>3768.0</v>
      </c>
      <c r="BTM8" s="160">
        <v>3770.0</v>
      </c>
      <c r="BTN8" s="160">
        <v>3772.0</v>
      </c>
      <c r="BTO8" s="160">
        <v>3774.0</v>
      </c>
      <c r="BTP8" s="160">
        <v>3776.0</v>
      </c>
      <c r="BTQ8" s="160">
        <v>3778.0</v>
      </c>
      <c r="BTR8" s="160">
        <v>3780.0</v>
      </c>
      <c r="BTS8" s="160">
        <v>3782.0</v>
      </c>
      <c r="BTT8" s="160">
        <v>3784.0</v>
      </c>
      <c r="BTU8" s="160">
        <v>3786.0</v>
      </c>
      <c r="BTV8" s="160">
        <v>3788.0</v>
      </c>
      <c r="BTW8" s="160">
        <v>3790.0</v>
      </c>
      <c r="BTX8" s="160">
        <v>3792.0</v>
      </c>
      <c r="BTY8" s="160">
        <v>3794.0</v>
      </c>
      <c r="BTZ8" s="160">
        <v>3796.0</v>
      </c>
      <c r="BUA8" s="160">
        <v>3798.0</v>
      </c>
      <c r="BUB8" s="160">
        <v>3800.0</v>
      </c>
      <c r="BUC8" s="160">
        <v>3802.0</v>
      </c>
      <c r="BUD8" s="160">
        <v>3804.0</v>
      </c>
      <c r="BUE8" s="160">
        <v>3806.0</v>
      </c>
      <c r="BUF8" s="160">
        <v>3808.0</v>
      </c>
      <c r="BUG8" s="160">
        <v>3810.0</v>
      </c>
      <c r="BUH8" s="160">
        <v>3812.0</v>
      </c>
      <c r="BUI8" s="160">
        <v>3814.0</v>
      </c>
      <c r="BUJ8" s="160">
        <v>3816.0</v>
      </c>
      <c r="BUK8" s="160">
        <v>3818.0</v>
      </c>
      <c r="BUL8" s="160">
        <v>3820.0</v>
      </c>
      <c r="BUM8" s="160">
        <v>3822.0</v>
      </c>
      <c r="BUN8" s="160">
        <v>3824.0</v>
      </c>
      <c r="BUO8" s="160">
        <v>3826.0</v>
      </c>
      <c r="BUP8" s="160">
        <v>3828.0</v>
      </c>
      <c r="BUQ8" s="160">
        <v>3830.0</v>
      </c>
      <c r="BUR8" s="160">
        <v>3832.0</v>
      </c>
      <c r="BUS8" s="160">
        <v>3834.0</v>
      </c>
      <c r="BUT8" s="160">
        <v>3836.0</v>
      </c>
      <c r="BUU8" s="160">
        <v>3838.0</v>
      </c>
      <c r="BUV8" s="160">
        <v>3840.0</v>
      </c>
      <c r="BUW8" s="160">
        <v>3842.0</v>
      </c>
      <c r="BUX8" s="160">
        <v>3844.0</v>
      </c>
      <c r="BUY8" s="160">
        <v>3846.0</v>
      </c>
      <c r="BUZ8" s="160">
        <v>3848.0</v>
      </c>
      <c r="BVA8" s="160">
        <v>3850.0</v>
      </c>
      <c r="BVB8" s="160">
        <v>3852.0</v>
      </c>
      <c r="BVC8" s="160">
        <v>3854.0</v>
      </c>
      <c r="BVD8" s="160">
        <v>3856.0</v>
      </c>
      <c r="BVE8" s="160">
        <v>3858.0</v>
      </c>
      <c r="BVF8" s="160">
        <v>3860.0</v>
      </c>
      <c r="BVG8" s="160">
        <v>3862.0</v>
      </c>
      <c r="BVH8" s="160">
        <v>3864.0</v>
      </c>
      <c r="BVI8" s="160">
        <v>3866.0</v>
      </c>
      <c r="BVJ8" s="160">
        <v>3868.0</v>
      </c>
      <c r="BVK8" s="160">
        <v>3870.0</v>
      </c>
      <c r="BVL8" s="160">
        <v>3872.0</v>
      </c>
      <c r="BVM8" s="160">
        <v>3874.0</v>
      </c>
      <c r="BVN8" s="160">
        <v>3876.0</v>
      </c>
      <c r="BVO8" s="160">
        <v>3878.0</v>
      </c>
      <c r="BVP8" s="160">
        <v>3880.0</v>
      </c>
      <c r="BVQ8" s="160">
        <v>3882.0</v>
      </c>
      <c r="BVR8" s="160">
        <v>3884.0</v>
      </c>
      <c r="BVS8" s="160">
        <v>3886.0</v>
      </c>
      <c r="BVT8" s="160">
        <v>3888.0</v>
      </c>
      <c r="BVU8" s="160">
        <v>3890.0</v>
      </c>
      <c r="BVV8" s="160">
        <v>3892.0</v>
      </c>
      <c r="BVW8" s="160">
        <v>3894.0</v>
      </c>
      <c r="BVX8" s="160">
        <v>3896.0</v>
      </c>
      <c r="BVY8" s="160">
        <v>3898.0</v>
      </c>
      <c r="BVZ8" s="160">
        <v>3900.0</v>
      </c>
      <c r="BWA8" s="160">
        <v>3902.0</v>
      </c>
      <c r="BWB8" s="160">
        <v>3904.0</v>
      </c>
      <c r="BWC8" s="160">
        <v>3906.0</v>
      </c>
      <c r="BWD8" s="160">
        <v>3908.0</v>
      </c>
      <c r="BWE8" s="160">
        <v>3910.0</v>
      </c>
      <c r="BWF8" s="160">
        <v>3912.0</v>
      </c>
      <c r="BWG8" s="160">
        <v>3914.0</v>
      </c>
      <c r="BWH8" s="160">
        <v>3916.0</v>
      </c>
      <c r="BWI8" s="160">
        <v>3918.0</v>
      </c>
      <c r="BWJ8" s="160">
        <v>3920.0</v>
      </c>
      <c r="BWK8" s="160">
        <v>3922.0</v>
      </c>
      <c r="BWL8" s="160">
        <v>3924.0</v>
      </c>
      <c r="BWM8" s="160">
        <v>3926.0</v>
      </c>
      <c r="BWN8" s="160">
        <v>3928.0</v>
      </c>
      <c r="BWO8" s="160">
        <v>3930.0</v>
      </c>
      <c r="BWP8" s="160">
        <v>3932.0</v>
      </c>
      <c r="BWQ8" s="160">
        <v>3934.0</v>
      </c>
      <c r="BWR8" s="160">
        <v>3936.0</v>
      </c>
      <c r="BWS8" s="160">
        <v>3938.0</v>
      </c>
      <c r="BWT8" s="160">
        <v>3940.0</v>
      </c>
      <c r="BWU8" s="160">
        <v>3942.0</v>
      </c>
      <c r="BWV8" s="160">
        <v>3944.0</v>
      </c>
      <c r="BWW8" s="160">
        <v>3946.0</v>
      </c>
      <c r="BWX8" s="160">
        <v>3948.0</v>
      </c>
      <c r="BWY8" s="160">
        <v>3950.0</v>
      </c>
      <c r="BWZ8" s="160">
        <v>3952.0</v>
      </c>
      <c r="BXA8" s="160">
        <v>3954.0</v>
      </c>
      <c r="BXB8" s="160">
        <v>3956.0</v>
      </c>
      <c r="BXC8" s="160">
        <v>3958.0</v>
      </c>
      <c r="BXD8" s="160">
        <v>3960.0</v>
      </c>
      <c r="BXE8" s="160">
        <v>3962.0</v>
      </c>
      <c r="BXF8" s="160">
        <v>3964.0</v>
      </c>
      <c r="BXG8" s="160">
        <v>3966.0</v>
      </c>
      <c r="BXH8" s="160">
        <v>3968.0</v>
      </c>
      <c r="BXI8" s="160">
        <v>3970.0</v>
      </c>
      <c r="BXJ8" s="160">
        <v>3972.0</v>
      </c>
      <c r="BXK8" s="160">
        <v>3974.0</v>
      </c>
      <c r="BXL8" s="160">
        <v>3976.0</v>
      </c>
      <c r="BXM8" s="160">
        <v>3978.0</v>
      </c>
      <c r="BXN8" s="160">
        <v>3980.0</v>
      </c>
      <c r="BXO8" s="160">
        <v>3982.0</v>
      </c>
      <c r="BXP8" s="160">
        <v>3984.0</v>
      </c>
      <c r="BXQ8" s="160">
        <v>3986.0</v>
      </c>
      <c r="BXR8" s="160">
        <v>3988.0</v>
      </c>
      <c r="BXS8" s="160">
        <v>3990.0</v>
      </c>
      <c r="BXT8" s="160">
        <v>3992.0</v>
      </c>
      <c r="BXU8" s="160">
        <v>3994.0</v>
      </c>
      <c r="BXV8" s="160">
        <v>3996.0</v>
      </c>
      <c r="BXW8" s="160">
        <v>3998.0</v>
      </c>
      <c r="BXX8" s="160">
        <v>4000.0</v>
      </c>
      <c r="BXY8" s="160">
        <v>4002.0</v>
      </c>
      <c r="BXZ8" s="160">
        <v>4004.0</v>
      </c>
      <c r="BYA8" s="160">
        <v>4006.0</v>
      </c>
      <c r="BYB8" s="160">
        <v>4008.0</v>
      </c>
      <c r="BYC8" s="160">
        <v>4010.0</v>
      </c>
      <c r="BYD8" s="160">
        <v>4012.0</v>
      </c>
      <c r="BYE8" s="160">
        <v>4014.0</v>
      </c>
      <c r="BYF8" s="160">
        <v>4016.0</v>
      </c>
      <c r="BYG8" s="160">
        <v>4018.0</v>
      </c>
      <c r="BYH8" s="160">
        <v>4020.0</v>
      </c>
      <c r="BYI8" s="160">
        <v>4022.0</v>
      </c>
      <c r="BYJ8" s="160">
        <v>4024.0</v>
      </c>
      <c r="BYK8" s="160">
        <v>4026.0</v>
      </c>
      <c r="BYL8" s="160">
        <v>4028.0</v>
      </c>
      <c r="BYM8" s="160">
        <v>4030.0</v>
      </c>
      <c r="BYN8" s="160">
        <v>4032.0</v>
      </c>
      <c r="BYO8" s="160">
        <v>4034.0</v>
      </c>
      <c r="BYP8" s="160">
        <v>4036.0</v>
      </c>
      <c r="BYQ8" s="160">
        <v>4038.0</v>
      </c>
      <c r="BYR8" s="160">
        <v>4040.0</v>
      </c>
      <c r="BYS8" s="160">
        <v>4042.0</v>
      </c>
      <c r="BYT8" s="160">
        <v>4044.0</v>
      </c>
      <c r="BYU8" s="160">
        <v>4046.0</v>
      </c>
      <c r="BYV8" s="160">
        <v>4048.0</v>
      </c>
      <c r="BYW8" s="160">
        <v>4050.0</v>
      </c>
      <c r="BYX8" s="160">
        <v>4052.0</v>
      </c>
      <c r="BYY8" s="160">
        <v>4054.0</v>
      </c>
      <c r="BYZ8" s="160">
        <v>4056.0</v>
      </c>
      <c r="BZA8" s="160">
        <v>4058.0</v>
      </c>
      <c r="BZB8" s="160">
        <v>4060.0</v>
      </c>
      <c r="BZC8" s="160">
        <v>4062.0</v>
      </c>
      <c r="BZD8" s="160">
        <v>4064.0</v>
      </c>
      <c r="BZE8" s="160">
        <v>4066.0</v>
      </c>
      <c r="BZF8" s="160">
        <v>4068.0</v>
      </c>
      <c r="BZG8" s="160">
        <v>4070.0</v>
      </c>
      <c r="BZH8" s="160">
        <v>4072.0</v>
      </c>
      <c r="BZI8" s="160">
        <v>4074.0</v>
      </c>
      <c r="BZJ8" s="160">
        <v>4076.0</v>
      </c>
      <c r="BZK8" s="160">
        <v>4078.0</v>
      </c>
      <c r="BZL8" s="160">
        <v>4080.0</v>
      </c>
      <c r="BZM8" s="160">
        <v>4082.0</v>
      </c>
      <c r="BZN8" s="160">
        <v>4084.0</v>
      </c>
      <c r="BZO8" s="160">
        <v>4086.0</v>
      </c>
      <c r="BZP8" s="160">
        <v>4088.0</v>
      </c>
      <c r="BZQ8" s="160">
        <v>4090.0</v>
      </c>
      <c r="BZR8" s="160">
        <v>4092.0</v>
      </c>
      <c r="BZS8" s="160">
        <v>4094.0</v>
      </c>
      <c r="BZT8" s="160">
        <v>4096.0</v>
      </c>
      <c r="BZU8" s="160">
        <v>4098.0</v>
      </c>
      <c r="BZV8" s="160">
        <v>4100.0</v>
      </c>
      <c r="BZW8" s="160">
        <v>4102.0</v>
      </c>
      <c r="BZX8" s="160">
        <v>4104.0</v>
      </c>
      <c r="BZY8" s="160">
        <v>4106.0</v>
      </c>
      <c r="BZZ8" s="160">
        <v>4108.0</v>
      </c>
      <c r="CAA8" s="160">
        <v>4110.0</v>
      </c>
      <c r="CAB8" s="160">
        <v>4112.0</v>
      </c>
      <c r="CAC8" s="160">
        <v>4114.0</v>
      </c>
      <c r="CAD8" s="160">
        <v>4116.0</v>
      </c>
      <c r="CAE8" s="160">
        <v>4118.0</v>
      </c>
      <c r="CAF8" s="160">
        <v>4120.0</v>
      </c>
      <c r="CAG8" s="160">
        <v>4122.0</v>
      </c>
      <c r="CAH8" s="160">
        <v>4124.0</v>
      </c>
      <c r="CAI8" s="160">
        <v>4126.0</v>
      </c>
      <c r="CAJ8" s="160">
        <v>4128.0</v>
      </c>
      <c r="CAK8" s="160">
        <v>4130.0</v>
      </c>
      <c r="CAL8" s="160">
        <v>4132.0</v>
      </c>
      <c r="CAM8" s="160">
        <v>4134.0</v>
      </c>
      <c r="CAN8" s="160">
        <v>4136.0</v>
      </c>
      <c r="CAO8" s="160">
        <v>4138.0</v>
      </c>
      <c r="CAP8" s="160">
        <v>4140.0</v>
      </c>
      <c r="CAQ8" s="160">
        <v>4142.0</v>
      </c>
      <c r="CAR8" s="160">
        <v>4144.0</v>
      </c>
      <c r="CAS8" s="160">
        <v>4146.0</v>
      </c>
      <c r="CAT8" s="160">
        <v>4148.0</v>
      </c>
      <c r="CAU8" s="160">
        <v>4150.0</v>
      </c>
      <c r="CAV8" s="160">
        <v>4152.0</v>
      </c>
      <c r="CAW8" s="160">
        <v>4154.0</v>
      </c>
      <c r="CAX8" s="160">
        <v>4156.0</v>
      </c>
      <c r="CAY8" s="160">
        <v>4158.0</v>
      </c>
      <c r="CAZ8" s="160">
        <v>4160.0</v>
      </c>
      <c r="CBA8" s="160">
        <v>4162.0</v>
      </c>
      <c r="CBB8" s="160">
        <v>4164.0</v>
      </c>
      <c r="CBC8" s="160">
        <v>4166.0</v>
      </c>
      <c r="CBD8" s="160">
        <v>4168.0</v>
      </c>
      <c r="CBE8" s="160">
        <v>4170.0</v>
      </c>
      <c r="CBF8" s="160">
        <v>4172.0</v>
      </c>
      <c r="CBG8" s="160">
        <v>4174.0</v>
      </c>
      <c r="CBH8" s="160">
        <v>4176.0</v>
      </c>
      <c r="CBI8" s="160">
        <v>4178.0</v>
      </c>
      <c r="CBJ8" s="160">
        <v>4180.0</v>
      </c>
      <c r="CBK8" s="160">
        <v>4182.0</v>
      </c>
      <c r="CBL8" s="160">
        <v>4184.0</v>
      </c>
      <c r="CBM8" s="160">
        <v>4186.0</v>
      </c>
      <c r="CBN8" s="160">
        <v>4188.0</v>
      </c>
      <c r="CBO8" s="160">
        <v>4190.0</v>
      </c>
      <c r="CBP8" s="160">
        <v>4192.0</v>
      </c>
      <c r="CBQ8" s="160">
        <v>4194.0</v>
      </c>
      <c r="CBR8" s="160">
        <v>4196.0</v>
      </c>
      <c r="CBS8" s="160">
        <v>4198.0</v>
      </c>
      <c r="CBT8" s="160">
        <v>4200.0</v>
      </c>
      <c r="CBU8" s="160">
        <v>4202.0</v>
      </c>
      <c r="CBV8" s="160">
        <v>4204.0</v>
      </c>
      <c r="CBW8" s="160">
        <v>4206.0</v>
      </c>
      <c r="CBX8" s="160">
        <v>4208.0</v>
      </c>
      <c r="CBY8" s="160">
        <v>4210.0</v>
      </c>
      <c r="CBZ8" s="160">
        <v>4212.0</v>
      </c>
      <c r="CCA8" s="160">
        <v>4214.0</v>
      </c>
      <c r="CCB8" s="160">
        <v>4216.0</v>
      </c>
      <c r="CCC8" s="160">
        <v>4218.0</v>
      </c>
      <c r="CCD8" s="160">
        <v>4220.0</v>
      </c>
      <c r="CCE8" s="160">
        <v>4222.0</v>
      </c>
      <c r="CCF8" s="160">
        <v>4224.0</v>
      </c>
      <c r="CCG8" s="160">
        <v>4226.0</v>
      </c>
      <c r="CCH8" s="160">
        <v>4228.0</v>
      </c>
      <c r="CCI8" s="160">
        <v>4230.0</v>
      </c>
      <c r="CCJ8" s="160">
        <v>4232.0</v>
      </c>
    </row>
  </sheetData>
  <conditionalFormatting sqref="A2:CCJ2">
    <cfRule type="expression" dxfId="2" priority="1">
      <formula>SUMPRODUCT((A$2&gt;=INDIRECT("صفحة الفرز!L$9:L"))*(A$2&lt;=INDIRECT("صفحة الفرز!M$9:M")))&gt;0</formula>
    </cfRule>
  </conditionalFormatting>
  <conditionalFormatting sqref="A1:CCJ1">
    <cfRule type="expression" dxfId="2" priority="2">
      <formula>SUMPRODUCT((A$1&gt;=INDIRECT("صفحة الفرز!H$9:H"))*(A$1&lt;=INDIRECT("صفحة الفرز!I$9:I")))&gt;0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62" t="s">
        <v>301</v>
      </c>
    </row>
    <row r="3">
      <c r="A3" s="163" t="str">
        <f t="array" ref="A3:A83">UNIQUE('Concrete Orders'!G7:G1001)
</f>
        <v>D34-1L</v>
      </c>
    </row>
    <row r="4">
      <c r="A4" s="163" t="s">
        <v>53</v>
      </c>
    </row>
    <row r="5">
      <c r="A5" s="163" t="s">
        <v>55</v>
      </c>
    </row>
    <row r="6">
      <c r="A6" s="163" t="s">
        <v>64</v>
      </c>
    </row>
    <row r="7">
      <c r="A7" s="163" t="s">
        <v>68</v>
      </c>
    </row>
    <row r="8">
      <c r="A8" s="163" t="s">
        <v>71</v>
      </c>
    </row>
    <row r="9">
      <c r="A9" s="163" t="s">
        <v>76</v>
      </c>
    </row>
    <row r="10">
      <c r="A10" s="163" t="s">
        <v>80</v>
      </c>
    </row>
    <row r="11">
      <c r="A11" s="163" t="s">
        <v>83</v>
      </c>
    </row>
    <row r="12">
      <c r="A12" s="163" t="s">
        <v>86</v>
      </c>
    </row>
    <row r="13">
      <c r="A13" s="163" t="s">
        <v>88</v>
      </c>
    </row>
    <row r="14">
      <c r="A14" s="163" t="s">
        <v>89</v>
      </c>
    </row>
    <row r="15">
      <c r="A15" s="163" t="s">
        <v>91</v>
      </c>
    </row>
    <row r="16">
      <c r="A16" s="163" t="s">
        <v>93</v>
      </c>
    </row>
    <row r="17">
      <c r="A17" s="163" t="s">
        <v>95</v>
      </c>
    </row>
    <row r="18">
      <c r="A18" s="163" t="s">
        <v>96</v>
      </c>
    </row>
    <row r="19">
      <c r="A19" s="163" t="s">
        <v>97</v>
      </c>
    </row>
    <row r="20">
      <c r="A20" s="163" t="s">
        <v>98</v>
      </c>
    </row>
    <row r="21">
      <c r="A21" s="163" t="s">
        <v>99</v>
      </c>
    </row>
    <row r="22">
      <c r="A22" s="163" t="s">
        <v>101</v>
      </c>
    </row>
    <row r="23">
      <c r="A23" s="163" t="s">
        <v>102</v>
      </c>
    </row>
    <row r="24">
      <c r="A24" s="163" t="s">
        <v>110</v>
      </c>
    </row>
    <row r="25">
      <c r="A25" s="163" t="s">
        <v>111</v>
      </c>
    </row>
    <row r="26">
      <c r="A26" s="163" t="s">
        <v>8</v>
      </c>
    </row>
    <row r="27">
      <c r="A27" s="163" t="s">
        <v>114</v>
      </c>
    </row>
    <row r="28">
      <c r="A28" s="163" t="s">
        <v>14</v>
      </c>
    </row>
    <row r="29">
      <c r="A29" s="163" t="s">
        <v>16</v>
      </c>
    </row>
    <row r="30">
      <c r="A30" s="163" t="s">
        <v>12</v>
      </c>
    </row>
    <row r="31">
      <c r="A31" s="163" t="s">
        <v>126</v>
      </c>
    </row>
    <row r="32">
      <c r="A32" s="163" t="s">
        <v>9</v>
      </c>
    </row>
    <row r="33">
      <c r="A33" s="163" t="s">
        <v>127</v>
      </c>
    </row>
    <row r="34">
      <c r="A34" s="163" t="s">
        <v>128</v>
      </c>
    </row>
    <row r="35">
      <c r="A35" s="163" t="s">
        <v>11</v>
      </c>
    </row>
    <row r="36">
      <c r="A36" s="163" t="s">
        <v>129</v>
      </c>
    </row>
    <row r="37">
      <c r="A37" s="163" t="s">
        <v>131</v>
      </c>
    </row>
    <row r="38">
      <c r="A38" s="163" t="s">
        <v>135</v>
      </c>
    </row>
    <row r="39">
      <c r="A39" s="163" t="s">
        <v>137</v>
      </c>
    </row>
    <row r="40">
      <c r="A40" s="163" t="s">
        <v>140</v>
      </c>
    </row>
    <row r="41">
      <c r="A41" s="163" t="s">
        <v>141</v>
      </c>
    </row>
    <row r="42">
      <c r="A42" s="163" t="s">
        <v>142</v>
      </c>
    </row>
    <row r="43">
      <c r="A43" s="163" t="s">
        <v>144</v>
      </c>
    </row>
    <row r="44">
      <c r="A44" s="163" t="s">
        <v>15</v>
      </c>
    </row>
    <row r="45">
      <c r="A45" s="163" t="s">
        <v>145</v>
      </c>
    </row>
    <row r="46">
      <c r="A46" s="163" t="s">
        <v>148</v>
      </c>
    </row>
    <row r="47">
      <c r="A47" s="131" t="s">
        <v>154</v>
      </c>
    </row>
    <row r="48">
      <c r="A48" s="131" t="s">
        <v>156</v>
      </c>
    </row>
    <row r="49">
      <c r="A49" s="146" t="s">
        <v>157</v>
      </c>
    </row>
    <row r="50">
      <c r="A50" s="131" t="s">
        <v>165</v>
      </c>
    </row>
    <row r="51">
      <c r="A51" s="131" t="s">
        <v>174</v>
      </c>
    </row>
    <row r="52">
      <c r="A52" s="96" t="s">
        <v>177</v>
      </c>
    </row>
    <row r="53">
      <c r="A53" s="96" t="s">
        <v>181</v>
      </c>
    </row>
    <row r="54">
      <c r="A54" s="96" t="s">
        <v>191</v>
      </c>
    </row>
    <row r="55">
      <c r="A55" s="131" t="s">
        <v>196</v>
      </c>
    </row>
    <row r="56">
      <c r="A56" s="164" t="s">
        <v>200</v>
      </c>
    </row>
    <row r="57">
      <c r="A57" s="131" t="s">
        <v>204</v>
      </c>
    </row>
    <row r="58">
      <c r="A58" s="131" t="s">
        <v>207</v>
      </c>
    </row>
    <row r="59">
      <c r="A59" s="131" t="s">
        <v>210</v>
      </c>
    </row>
    <row r="60">
      <c r="A60" s="131" t="s">
        <v>212</v>
      </c>
    </row>
    <row r="61">
      <c r="A61" s="131" t="s">
        <v>215</v>
      </c>
    </row>
    <row r="62">
      <c r="A62" s="131" t="s">
        <v>217</v>
      </c>
    </row>
    <row r="63">
      <c r="A63" s="131" t="s">
        <v>222</v>
      </c>
    </row>
    <row r="64">
      <c r="A64" s="131" t="s">
        <v>10</v>
      </c>
    </row>
    <row r="65">
      <c r="A65" s="131" t="s">
        <v>233</v>
      </c>
    </row>
    <row r="66">
      <c r="A66" s="131" t="s">
        <v>245</v>
      </c>
    </row>
    <row r="67">
      <c r="A67" s="131" t="s">
        <v>256</v>
      </c>
    </row>
    <row r="68">
      <c r="A68" s="131" t="s">
        <v>265</v>
      </c>
    </row>
    <row r="69">
      <c r="A69" s="131" t="s">
        <v>272</v>
      </c>
    </row>
    <row r="70">
      <c r="A70" s="131" t="s">
        <v>278</v>
      </c>
    </row>
    <row r="71">
      <c r="A71" s="131" t="s">
        <v>282</v>
      </c>
    </row>
    <row r="72">
      <c r="A72" s="131" t="s">
        <v>284</v>
      </c>
    </row>
    <row r="73">
      <c r="A73" s="131" t="s">
        <v>285</v>
      </c>
    </row>
    <row r="74">
      <c r="A74" s="131"/>
    </row>
    <row r="75">
      <c r="A75" s="131" t="s">
        <v>288</v>
      </c>
    </row>
    <row r="76">
      <c r="A76" s="131" t="s">
        <v>289</v>
      </c>
    </row>
    <row r="77">
      <c r="A77" s="131" t="s">
        <v>290</v>
      </c>
    </row>
    <row r="78">
      <c r="A78" s="131" t="s">
        <v>292</v>
      </c>
    </row>
    <row r="79">
      <c r="A79" s="131" t="s">
        <v>293</v>
      </c>
    </row>
    <row r="80">
      <c r="A80" s="131" t="s">
        <v>294</v>
      </c>
    </row>
    <row r="81">
      <c r="A81" s="131" t="s">
        <v>295</v>
      </c>
    </row>
    <row r="82">
      <c r="A82" s="131" t="s">
        <v>296</v>
      </c>
    </row>
    <row r="83">
      <c r="A83" s="131" t="s">
        <v>297</v>
      </c>
    </row>
    <row r="84">
      <c r="A84" s="132" t="s">
        <v>357</v>
      </c>
    </row>
  </sheetData>
  <drawing r:id="rId1"/>
</worksheet>
</file>