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2858d4ae7b2249/Documents/Oxford/Research/Molnar/SnackerTracker/Manuscript/Extended Data/"/>
    </mc:Choice>
  </mc:AlternateContent>
  <xr:revisionPtr revIDLastSave="86" documentId="13_ncr:1_{B65CDE4C-F9AE-4041-8C6A-4E6031FDFFC9}" xr6:coauthVersionLast="47" xr6:coauthVersionMax="47" xr10:uidLastSave="{BE059B7A-F826-46B9-8F54-DD1D1DC6E024}"/>
  <bookViews>
    <workbookView xWindow="-108" yWindow="-108" windowWidth="23256" windowHeight="13896" activeTab="1" xr2:uid="{9232BC92-1041-431D-BACC-71241C5B3BF6}"/>
  </bookViews>
  <sheets>
    <sheet name="All Details" sheetId="1" r:id="rId1"/>
    <sheet name="Conden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K2" i="2" s="1"/>
  <c r="K3" i="2"/>
  <c r="G3" i="2"/>
  <c r="G24" i="2"/>
  <c r="K24" i="2" s="1"/>
  <c r="K38" i="2"/>
  <c r="K59" i="2"/>
  <c r="K58" i="2"/>
  <c r="K57" i="2"/>
  <c r="K56" i="2"/>
  <c r="K55" i="2"/>
  <c r="K54" i="2"/>
  <c r="K53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7" i="2"/>
  <c r="G36" i="2"/>
  <c r="K36" i="2" s="1"/>
  <c r="K35" i="2"/>
  <c r="G34" i="2"/>
  <c r="K34" i="2" s="1"/>
  <c r="G33" i="2"/>
  <c r="K33" i="2" s="1"/>
  <c r="G32" i="2"/>
  <c r="K32" i="2" s="1"/>
  <c r="G31" i="2"/>
  <c r="K31" i="2" s="1"/>
  <c r="G30" i="2"/>
  <c r="K30" i="2" s="1"/>
  <c r="G29" i="2"/>
  <c r="K29" i="2" s="1"/>
  <c r="G28" i="2"/>
  <c r="K28" i="2" s="1"/>
  <c r="G27" i="2"/>
  <c r="K27" i="2" s="1"/>
  <c r="G26" i="2"/>
  <c r="K26" i="2" s="1"/>
  <c r="H25" i="2"/>
  <c r="K25" i="2" s="1"/>
  <c r="G23" i="2"/>
  <c r="K23" i="2" s="1"/>
  <c r="G21" i="2"/>
  <c r="K21" i="2" s="1"/>
  <c r="G20" i="2"/>
  <c r="K20" i="2" s="1"/>
  <c r="G19" i="2"/>
  <c r="K19" i="2" s="1"/>
  <c r="G18" i="2"/>
  <c r="K18" i="2" s="1"/>
  <c r="K17" i="2"/>
  <c r="G16" i="2"/>
  <c r="K16" i="2" s="1"/>
  <c r="G15" i="2"/>
  <c r="K15" i="2" s="1"/>
  <c r="K14" i="2"/>
  <c r="K13" i="2"/>
  <c r="K12" i="2"/>
  <c r="G11" i="2"/>
  <c r="K11" i="2" s="1"/>
  <c r="K10" i="2"/>
  <c r="K9" i="2"/>
  <c r="K8" i="2"/>
  <c r="K7" i="2"/>
  <c r="G6" i="2"/>
  <c r="K6" i="2" s="1"/>
  <c r="K5" i="2"/>
  <c r="K4" i="2"/>
  <c r="I57" i="1"/>
  <c r="Q57" i="1"/>
  <c r="I56" i="1"/>
  <c r="Q56" i="1"/>
  <c r="I55" i="1"/>
  <c r="Q55" i="1"/>
  <c r="I54" i="1"/>
  <c r="Q54" i="1"/>
  <c r="Q51" i="1"/>
  <c r="I51" i="1"/>
  <c r="I7" i="1"/>
  <c r="Q7" i="1"/>
  <c r="Q6" i="1"/>
  <c r="I6" i="1"/>
  <c r="I38" i="1"/>
  <c r="Q38" i="1"/>
  <c r="Q8" i="1"/>
  <c r="I3" i="1"/>
  <c r="I4" i="1"/>
  <c r="I5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40" i="1"/>
  <c r="I41" i="1"/>
  <c r="I42" i="1"/>
  <c r="I43" i="1"/>
  <c r="I44" i="1"/>
  <c r="I45" i="1"/>
  <c r="I46" i="1"/>
  <c r="I47" i="1"/>
  <c r="I48" i="1"/>
  <c r="I49" i="1"/>
  <c r="I50" i="1"/>
  <c r="I52" i="1"/>
  <c r="I53" i="1"/>
  <c r="I2" i="1"/>
  <c r="Q52" i="1"/>
  <c r="Q53" i="1"/>
  <c r="Q49" i="1"/>
  <c r="Q46" i="1"/>
  <c r="Q45" i="1"/>
  <c r="Q44" i="1"/>
  <c r="Q43" i="1"/>
  <c r="Q42" i="1"/>
  <c r="Q41" i="1"/>
  <c r="Q39" i="1"/>
  <c r="B60" i="2" l="1"/>
  <c r="Q37" i="1"/>
  <c r="M30" i="1"/>
  <c r="Q30" i="1" s="1"/>
  <c r="M29" i="1"/>
  <c r="Q29" i="1" s="1"/>
  <c r="M28" i="1"/>
  <c r="Q28" i="1" s="1"/>
  <c r="Q48" i="1"/>
  <c r="M27" i="1"/>
  <c r="Q27" i="1" s="1"/>
  <c r="M25" i="1"/>
  <c r="Q25" i="1" s="1"/>
  <c r="M26" i="1"/>
  <c r="Q26" i="1" s="1"/>
  <c r="N24" i="1"/>
  <c r="M17" i="1"/>
  <c r="Q17" i="1" s="1"/>
  <c r="M20" i="1"/>
  <c r="Q20" i="1" s="1"/>
  <c r="Q16" i="1"/>
  <c r="M33" i="1"/>
  <c r="Q33" i="1" s="1"/>
  <c r="M19" i="1"/>
  <c r="Q19" i="1" s="1"/>
  <c r="Q40" i="1"/>
  <c r="M10" i="1"/>
  <c r="Q10" i="1" s="1"/>
  <c r="Q9" i="1"/>
  <c r="M5" i="1"/>
  <c r="Q5" i="1" s="1"/>
  <c r="Q12" i="1"/>
  <c r="Q11" i="1"/>
  <c r="Q13" i="1"/>
  <c r="Q4" i="1"/>
  <c r="Q3" i="1"/>
  <c r="M35" i="1"/>
  <c r="Q35" i="1" s="1"/>
  <c r="Q34" i="1"/>
  <c r="M23" i="1"/>
  <c r="Q23" i="1" s="1"/>
  <c r="M22" i="1"/>
  <c r="Q22" i="1" s="1"/>
  <c r="M32" i="1"/>
  <c r="Q32" i="1" s="1"/>
  <c r="Q47" i="1"/>
  <c r="M14" i="1"/>
  <c r="Q14" i="1" s="1"/>
  <c r="M31" i="1"/>
  <c r="Q31" i="1" s="1"/>
  <c r="M18" i="1"/>
  <c r="Q18" i="1" s="1"/>
  <c r="M15" i="1"/>
  <c r="Q15" i="1" s="1"/>
  <c r="M2" i="1"/>
  <c r="Q2" i="1" s="1"/>
  <c r="Q36" i="1"/>
  <c r="Q24" i="1" l="1"/>
  <c r="B58" i="1" s="1"/>
  <c r="I24" i="1"/>
  <c r="D58" i="1" s="1"/>
</calcChain>
</file>

<file path=xl/sharedStrings.xml><?xml version="1.0" encoding="utf-8"?>
<sst xmlns="http://schemas.openxmlformats.org/spreadsheetml/2006/main" count="976" uniqueCount="310">
  <si>
    <t>Company Part Name</t>
  </si>
  <si>
    <t>Shorthand Name</t>
  </si>
  <si>
    <t>Manufacturer</t>
  </si>
  <si>
    <t>Manufacturer Part #</t>
  </si>
  <si>
    <t>Currency</t>
  </si>
  <si>
    <t>Link to Manufacturer Webpage</t>
  </si>
  <si>
    <t>GBP</t>
  </si>
  <si>
    <t>USB Cable</t>
  </si>
  <si>
    <t>RS PRO</t>
  </si>
  <si>
    <t>Arduino MKR WiFi 1010</t>
  </si>
  <si>
    <t>ABX00023</t>
  </si>
  <si>
    <t>EUR</t>
  </si>
  <si>
    <t>Arduino MKR MEM Shield</t>
  </si>
  <si>
    <t>ASX00008</t>
  </si>
  <si>
    <t>INMSDX64G10-90U1</t>
  </si>
  <si>
    <t>https://cpc.farnell.com/integral/inmsdx64g10-90u1/64gb-ultimapro-microsd-c10-90/dp/MD00799</t>
  </si>
  <si>
    <t>Rocker Switch, SPST, Black</t>
  </si>
  <si>
    <t>Toggle Switches</t>
  </si>
  <si>
    <t>RA1113112R</t>
  </si>
  <si>
    <t>https://uk.farnell.com/e-switch/ra1113112r/rocker-switch-spst-black-panel/dp/2830709?gclid=CjwKCAiAv9ucBhBXEiwA6N8nYIH3jP5cV0Jt3GV_Izf0TcOJrfF0iFLuON0JmVTK1x8pazD7WQBReBoCw_8QAvD_BwE&amp;mckv=_dc|pcrid||plid||kword||match||slid||product|2830709|pgrid||ptaid||&amp;CMP=KNC-GUK-GEN-SHOPPING-PMAX-US-DirectShip-Test990&amp;gross_price=true</t>
  </si>
  <si>
    <t>M2.5 Nylon Standoff Packs (Pack of 10, 10 mm)</t>
  </si>
  <si>
    <t>The Pi Hut</t>
  </si>
  <si>
    <t>https://thepihut.com/products/m2-5-nylon-standoff-packs?variant=41056882327747&amp;currency=GBP&amp;utm_medium=product_sync&amp;utm_source=google&amp;utm_content=sag_organic&amp;utm_campaign=sag_organic&amp;gclid=CjwKCAiAv9ucBhBXEiwA6N8nYMALsTAdnJaEfqRm8rlGHIkw8k_-wddpUlsjskTBw0Nt-zeI4IdqRBoC2hEQAvD_BwE</t>
  </si>
  <si>
    <t>Lithium Polymer Rechargeable Battery 3.7 V</t>
  </si>
  <si>
    <t>144-9405</t>
  </si>
  <si>
    <t>https://uk.rs-online.com/web/p/speciality-size-rechargeable-batteries/1449405?cm_mmc=UK-PLA-DS3A-_-google-_-CSS_UK_EN_Batteries_%26_Chargers_Whoop-_-Speciality+Size+Rechargeable+Batteries_Whoop-_-1449405&amp;matchtype=&amp;pla-333331382340&amp;cq_src=google_ads&amp;cq_cmp=9771206617&amp;cq_term=&amp;cq_plac=&amp;cq_net=g&amp;cq_plt=gp&amp;gclid=Cj0KCQiAsdKbBhDHARIsANJ6-jf3nMgkCwvYTzl2j2WtkJIAQyilDJtsAUqV8st_BAal3MbOIhjSvBQaAp6hEALw_wcB&amp;gclsrc=aw.ds</t>
  </si>
  <si>
    <t>Component Category</t>
  </si>
  <si>
    <t>Chassis</t>
  </si>
  <si>
    <t>Fasteners</t>
  </si>
  <si>
    <t>Accessories</t>
  </si>
  <si>
    <t>Wires</t>
  </si>
  <si>
    <t>Electronics Agents</t>
  </si>
  <si>
    <t>https://uk.farnell.com/tr-fastenings/trnse-1207-m2-5-10/set-screw-slotted-cheese-m2-5/dp/2472698</t>
  </si>
  <si>
    <t>TRNSE-1207-M2.5-10</t>
  </si>
  <si>
    <t>Screws - Food Mount Plate</t>
  </si>
  <si>
    <t>Load Cell and Amplifier</t>
  </si>
  <si>
    <t>Solder Wire</t>
  </si>
  <si>
    <t>Wire Cutter</t>
  </si>
  <si>
    <t>Solder Station</t>
  </si>
  <si>
    <t>3D Printer</t>
  </si>
  <si>
    <t>Heat Gun</t>
  </si>
  <si>
    <t>Heat Shrink Wrap</t>
  </si>
  <si>
    <t>LDR</t>
  </si>
  <si>
    <t>Hex Nut - Microchip Mount</t>
  </si>
  <si>
    <t>Wire Connector Housing - JST PH Housing for Battery</t>
  </si>
  <si>
    <t>Wire Crimp - Crimp Connector for Battery</t>
  </si>
  <si>
    <t>3D Printing Material - ABS Black</t>
  </si>
  <si>
    <t>Ultimaker</t>
  </si>
  <si>
    <t>Distributer</t>
  </si>
  <si>
    <t>Farnell</t>
  </si>
  <si>
    <t># of Units Needed Per Device</t>
  </si>
  <si>
    <t>3D Printer Filament, 2.85mm Dia, Black, ABS, 225 to 245°C, 750 g</t>
  </si>
  <si>
    <t>https://uk.farnell.com/ultimaker/1621/filament-abs-black-750g/dp/2992638</t>
  </si>
  <si>
    <t>Chassis Care - Acetone</t>
  </si>
  <si>
    <t>Wire Crimp - Crimp Push Connector for Switches</t>
  </si>
  <si>
    <t>RS PRO Red Insulated Female Spade Connector, Receptacle, 6.3 x 0.8mm Tab Size, 0.5mm² to 1.5mm²</t>
  </si>
  <si>
    <t>534-351</t>
  </si>
  <si>
    <t>https://uk.rs-online.com/web/p/spade-connectors/0534351</t>
  </si>
  <si>
    <t>Data Sheet?</t>
  </si>
  <si>
    <t>Website Printout?</t>
  </si>
  <si>
    <t>RS PRO Heat Shrink Tubing, Black 3mm Sleeve Dia. x 10m Length 3:1 Ratio</t>
  </si>
  <si>
    <t>700-4532</t>
  </si>
  <si>
    <t>https://uk.rs-online.com/web/p/heat-shrink-tubing/7004532</t>
  </si>
  <si>
    <t>890-4168 - RS PRO Black Hook Loop Tape 20mm x 5m</t>
  </si>
  <si>
    <t>Velcro - Hook Tape for Battery Mount</t>
  </si>
  <si>
    <t>M20-7821146 - RS PRO Black Hook Tape 20mm x 5m</t>
  </si>
  <si>
    <t>Velcro - Loop Tape for Battery Mount</t>
  </si>
  <si>
    <t>RS Pro</t>
  </si>
  <si>
    <t>890-4168</t>
  </si>
  <si>
    <t>https://uk.rs-online.com/web/p/hook-loop-tapes/8904168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3839302D34313638267365617263685F6B6579776F72645F6170703D3839303431363826</t>
  </si>
  <si>
    <t>Current Count</t>
  </si>
  <si>
    <t>Order?</t>
  </si>
  <si>
    <t>YES</t>
  </si>
  <si>
    <t>NO</t>
  </si>
  <si>
    <t>https://uk.rs-online.com/web/p/hook-up-wire/1964211</t>
  </si>
  <si>
    <t>196-4211</t>
  </si>
  <si>
    <t>~0.5</t>
  </si>
  <si>
    <t>RS PRO Black 0.2 mm² Hook Up Wire, 24 AWG, 7/0.2 mm, 100m, PVC Insulation</t>
  </si>
  <si>
    <t>Solder Wire, Lead Free, 0.7mm Diameter, 227°C, 250g, Alloy 99.3, 0.7 Sn, Cu</t>
  </si>
  <si>
    <t>~0.75</t>
  </si>
  <si>
    <t>MULTICOMP</t>
  </si>
  <si>
    <t xml:space="preserve">	509-0600</t>
  </si>
  <si>
    <t>https://uk.farnell.com/multicomp/509-0600/solder-wire-lead-free-0-7mm-250g/dp/5090600?gclid=Cj0KCQjwuNemBhCBARIsADp74QTKHAyONH4ENK0TT287sz2X34L-WArqMhSZiHLZBd6YtuyafI60T78aAiKcEALw_wcB&amp;mckv=_dc|pcrid||plid||kword||match||slid||product|5090600|pgrid||ptaid||&amp;CMP=KNC-GUK-GEN-SHOPPING-PMAX-PrivateLabel-Test990&amp;gross_price=true</t>
  </si>
  <si>
    <t>Screw Driver</t>
  </si>
  <si>
    <t>3D Printing Glass Care - Glue</t>
  </si>
  <si>
    <t>Multimeter</t>
  </si>
  <si>
    <t>Construction and Testing</t>
  </si>
  <si>
    <t>Scale</t>
  </si>
  <si>
    <t>Super Glue</t>
  </si>
  <si>
    <t>890-4161</t>
  </si>
  <si>
    <t>https://uk.rs-online.com/web/p/hook-loop-tapes/8904161</t>
  </si>
  <si>
    <t>~70</t>
  </si>
  <si>
    <t>Arduino SRL</t>
  </si>
  <si>
    <t>RS Components</t>
  </si>
  <si>
    <t>Microchip PCB Solder Wire Kit</t>
  </si>
  <si>
    <t>Pin Headers M-F</t>
  </si>
  <si>
    <t>Pin Headers M-M</t>
  </si>
  <si>
    <t>Screws - Load Cell Interior</t>
  </si>
  <si>
    <t>Hex Standoff M-F - Microchip Mount</t>
  </si>
  <si>
    <t>Hex Standoff F-F - LDR Mount</t>
  </si>
  <si>
    <t>Peripheral Connector Wires Brown-Black</t>
  </si>
  <si>
    <t>LiPo Battery</t>
  </si>
  <si>
    <t>~30</t>
  </si>
  <si>
    <t>Glass Cover Slides</t>
  </si>
  <si>
    <t>Screws - LDR Mount</t>
  </si>
  <si>
    <t>Hex Nut - Food Mount Plate</t>
  </si>
  <si>
    <t>Hex Nut - Load Cell Interior</t>
  </si>
  <si>
    <t>~40</t>
  </si>
  <si>
    <t>Wire Stripper</t>
  </si>
  <si>
    <t>USB Flash Drive</t>
  </si>
  <si>
    <t>Grommet - Cable Retention</t>
  </si>
  <si>
    <t>Essentra Components</t>
  </si>
  <si>
    <t>Onecall</t>
  </si>
  <si>
    <t>PGSD-2</t>
  </si>
  <si>
    <t>https://onecall.farnell.com/essentra-components/pgsd-2/grommet-nylon-6-6-15-9mm-black/dp/3823522?ICID=I-RP-STM7REC-0</t>
  </si>
  <si>
    <t>GROMMET, NYLON 6.6, 15.9MM, BLACK</t>
  </si>
  <si>
    <t>Protoboard - LDR Mount</t>
  </si>
  <si>
    <t>SparkFun</t>
  </si>
  <si>
    <t>Mouser</t>
  </si>
  <si>
    <t>https://www.mouser.co.uk/ProductDetail/SparkFun/PRT-08808?qs=WyAARYrbSnYE9naQ%252BrkzGQ%3D%3D</t>
  </si>
  <si>
    <t>PRT-08808</t>
  </si>
  <si>
    <t>SparkFun Accessories ProtoBoard - Square 1in. Single Sided</t>
  </si>
  <si>
    <t>Grommet - Closed</t>
  </si>
  <si>
    <t>https://uk.farnell.com/pro-power/pv507-grommet-pk-100/grommet-blanking-15-9mm-pk100/dp/1189051?gclid=Cj0KCQjwuNemBhCBARIsADp74QRtvQVVMk3K20f9od2A2BarcoxkRzQSayw4B3Aq1RgiYpCHfsp2c38aAv6yEALw_wcB&amp;mckv=_dc|pcrid||plid||kword||match||slid||product|1189051|pgrid||ptaid||&amp;CMP=KNC-GUK-GEN-SHOPPING-PMAX-PrivateLabel-Test990&amp;gross_price=true</t>
  </si>
  <si>
    <t>Grommet, Closed / Holeplug, PVC (Polyvinylchloride), 15.9 mm, 1.6 mm</t>
  </si>
  <si>
    <t>PV507</t>
  </si>
  <si>
    <t>GBP Exchange</t>
  </si>
  <si>
    <t>Order Count?</t>
  </si>
  <si>
    <t>N/A</t>
  </si>
  <si>
    <t>Integral</t>
  </si>
  <si>
    <t>UltimaPro X Class 10 U3 MicroSDXC Memory Card with SD Adaptor 95MB/s Read 90MB/s Write, -  INMSDX64G10-90U1</t>
  </si>
  <si>
    <t>E-SWITCH</t>
  </si>
  <si>
    <t>Resistor</t>
  </si>
  <si>
    <t>LPRS</t>
  </si>
  <si>
    <t>LDR, CdS, 5 Mohm, 50 mW, 100 V</t>
  </si>
  <si>
    <t>https://uk.farnell.com/lprs/n5ac501085/light-dependent-resistor-5mohm/dp/7482280?st=light%20dependent%20resistor%20100%20mw</t>
  </si>
  <si>
    <t>N5AC501085</t>
  </si>
  <si>
    <t>707-8300</t>
  </si>
  <si>
    <t>https://uk.rs-online.com/web/p/through-hole-resistors/7078300?gb=b</t>
  </si>
  <si>
    <t>RS PRO 10kΩ Carbon Film Resistor 0.5W ±5%</t>
  </si>
  <si>
    <t>Total Cost Per Device</t>
  </si>
  <si>
    <t>Price Per Unit (INC. VAT)</t>
  </si>
  <si>
    <t>https://www.viking-direct.co.uk/en/uhu-glue-stick-40-g-p-3583323?customerType=consumer&amp;utm_source=google&amp;utm_medium=organic&amp;utm_campaign=surface_google&amp;cm_mmc=Google-_--_--_-3583323&amp;gclsrc=aw.ds&amp;gclid=CjwKCAjw29ymBhAKEiwAHJbJ8uTgx7kKxn6nbHusQiRFdakibM5nQ46gGbbzKmTG5DiIC01LaVmLUBoCaWcQAvD_BwE</t>
  </si>
  <si>
    <t>Viking</t>
  </si>
  <si>
    <t>UHU</t>
  </si>
  <si>
    <t>UHU Glue Stick 40 g</t>
  </si>
  <si>
    <t>https://uk.rs-online.com/web/p/wire-housings-plugs/8201466</t>
  </si>
  <si>
    <t>820-1466</t>
  </si>
  <si>
    <t>JST</t>
  </si>
  <si>
    <t>JST, PHR Female Connector Housing, 2mm Pitch, 2 Way, 1 Row</t>
  </si>
  <si>
    <t>https://www.scientificlabs.co.uk/product/MIC2162</t>
  </si>
  <si>
    <t>MIC2162</t>
  </si>
  <si>
    <t>SLS</t>
  </si>
  <si>
    <t>Microscope Cover Slips No. 1 18x18mm</t>
  </si>
  <si>
    <t>Harwin</t>
  </si>
  <si>
    <t>M20-7821146</t>
  </si>
  <si>
    <t>https://www.mouser.co.uk/ProductDetail/Harwin/M20-7821146?qs=ulE8k0yEMYbQu%2FkhQ6%2FqUg%3D%3D</t>
  </si>
  <si>
    <t>Headers &amp; Wire Housings 11 PIN SIL VERTICAL SOCKET TIN</t>
  </si>
  <si>
    <t>https://uk.rs-online.com/web/p/crimp-contacts/8201456</t>
  </si>
  <si>
    <t>~80</t>
  </si>
  <si>
    <t>820-1456</t>
  </si>
  <si>
    <t>JST, PH Female Crimp Terminal 24AWG BPH-002T-P0.5S</t>
  </si>
  <si>
    <t>Molex</t>
  </si>
  <si>
    <t>90120-0761</t>
  </si>
  <si>
    <t>https://uk.rs-online.com/web/p/pcb-headers/6705073</t>
  </si>
  <si>
    <t>Molex, C-Grid III, 90120, 1 Way, 1 Row, Straight Pin Header</t>
  </si>
  <si>
    <t>https://uk.rs-online.com/web/p/standoffs/1026429</t>
  </si>
  <si>
    <t>Richco Nylon Hex Threaded Standoff, Female/Female HTSN-M4-6-8-1, 6mm, M4</t>
  </si>
  <si>
    <t>Richio</t>
  </si>
  <si>
    <t>102-6429</t>
  </si>
  <si>
    <t>TR Fastenings</t>
  </si>
  <si>
    <t>https://uk.rs-online.com/web/p/standoffs/5006621</t>
  </si>
  <si>
    <t>Mac 8 Brass, POM Round Standoff, Male/Female 2MQ-10, 10mm, M2 x M2</t>
  </si>
  <si>
    <t>Mac 8</t>
  </si>
  <si>
    <t>500-6621</t>
  </si>
  <si>
    <t>182-8872</t>
  </si>
  <si>
    <t>https://uk.rs-online.com/web/p/usb-cables/1828872</t>
  </si>
  <si>
    <t>RS PRO USB 2.0 (480 Mbit/s) Cable, Male USB A to Male Micro USB B Cable, 1.8m</t>
  </si>
  <si>
    <t>https://uk.rs-online.com/web/p/hex-nuts/4830316</t>
  </si>
  <si>
    <t>483-0316</t>
  </si>
  <si>
    <t>RS PRO, Nickel Plated Brass Hex Nut, DIN 439B, M2</t>
  </si>
  <si>
    <t>Screw, Set, Cheese Head Slotted, M2.5, Nylon 6.6, 10 mm Length</t>
  </si>
  <si>
    <t>https://cpc.farnell.com/pro-signal/psg08689/breadboardjumper-wire-kit/dp/PC02123?mckv=s_dc|pcrid|605262956797|kword||match||plid||slid||product|PC02123|pgrid|138313687335|ptaid|pla-896874292925|&amp;CMP=KNC-GUK-CPC-SHOPPING-9262013734-138313687335-PC02123&amp;s_kwcid=AL!5616!3!605262956797!!!network}!896874292925!&amp;gclid=CjwKCAjw29ymBhAKEiwAHJbJ8txP9Q5wu9l1HUDGhwMNW5W38aDGbTYxBqTfcpcPAsm--kc0pFjlzxoCqDgQAvD_BwE</t>
  </si>
  <si>
    <t xml:space="preserve">	PSG08689</t>
  </si>
  <si>
    <t>PRO SIGNAL</t>
  </si>
  <si>
    <t>Breadboard and Microchip PCB Solder Wire Kit</t>
  </si>
  <si>
    <t>830 Point Solderless Breadboard with 140 Jumper Wires</t>
  </si>
  <si>
    <t>https://thepihut.com/products/u-shape-jumper-wires-box?variant=27740782353&amp;currency=GBP&amp;utm_medium=product_sync&amp;utm_source=google&amp;utm_content=sag_organic&amp;utm_campaign=sag_organic&amp;gclid=CjwKCAjw29ymBhAKEiwAHJbJ8hk9khkutfURx2oyj5Px1zCxHWfQV-vHsQe22xYs5rl9MD5t0eVUPRoCXGgQAvD_BwE</t>
  </si>
  <si>
    <t>FIT0122</t>
  </si>
  <si>
    <t>3M</t>
  </si>
  <si>
    <t>U-Shape Jumper Wires (Box)</t>
  </si>
  <si>
    <t>232-6976</t>
  </si>
  <si>
    <t>RS PRO, Plain Nylon Hex Nut, DIN 934, M5</t>
  </si>
  <si>
    <t>https://uk.rs-online.com/web/p/hex-nuts/2326976?gb=b</t>
  </si>
  <si>
    <t>232-6959</t>
  </si>
  <si>
    <t>Washers - Load Cell Interior</t>
  </si>
  <si>
    <t>https://uk.rs-online.com/web/p/washers/2326959?gb=s</t>
  </si>
  <si>
    <t>Nylon Washers, M5</t>
  </si>
  <si>
    <t>https://uk.farnell.com/multicomp-pro/mp008089/screw-cheese-head-slotted-m5-20mm/dp/3804805</t>
  </si>
  <si>
    <t>MULTICOMP PRO</t>
  </si>
  <si>
    <t>MP008089</t>
  </si>
  <si>
    <t>Screw, Cheese Head Slotted, M5, Nylon (Polyamide), 20 mm Length</t>
  </si>
  <si>
    <t>Micro SD Card and Adapter</t>
  </si>
  <si>
    <t>Micro SD Card Reader</t>
  </si>
  <si>
    <t>USB-C MEMORY CARD READER, SD/MICRO SD</t>
  </si>
  <si>
    <t>EATON TRIPP LITE</t>
  </si>
  <si>
    <t>U452-000-SD-A</t>
  </si>
  <si>
    <t>https://uk.farnell.com/tripp-lite/u452-000-sd-a/usb-c-memory-card-reader-sd-micro/dp/3493850?cjevent=12c595d8391811ee804701780a18ba72&amp;cjdata=MXxZfDB8WXww&amp;CMP=AFC-CJ-UK-8989328&amp;gross_price=true&amp;source=CJ</t>
  </si>
  <si>
    <t>https://uk.rs-online.com/web/p/3d-printers/1925469</t>
  </si>
  <si>
    <t>192-5469</t>
  </si>
  <si>
    <t>Ultimaker S3 3D Printer</t>
  </si>
  <si>
    <t>244-4594</t>
  </si>
  <si>
    <t>Verbatim</t>
  </si>
  <si>
    <t>Verbatim 32 GB USB 2.0 USB Stick</t>
  </si>
  <si>
    <t>https://uk.rs-online.com/web/p/usb-sticks/2444594?gb=b</t>
  </si>
  <si>
    <t>Thermo Scientific</t>
  </si>
  <si>
    <t>Fisher Scientific</t>
  </si>
  <si>
    <t>https://www.fishersci.co.uk/shop/products/acetone-99-spectroscopy-thermo-scientific/10666182#</t>
  </si>
  <si>
    <t>Acetone, 99+%, for spectroscopy, Thermo Scientific Chemicals 2.5 L</t>
  </si>
  <si>
    <t>473-461</t>
  </si>
  <si>
    <t>https://uk.rs-online.com/web/p/glues/0473461?cm_mmc=UK-PLA-DS3A-_-google-_-CSS_UK_EN_Adhesives_%26_Sealants_%26_Tapes_Whoop-_-Glues_Whoop+(2)-_-473461&amp;matchtype=&amp;pla-303528991439&amp;gclid=CjwKCAjw_uGmBhBREiwAeOfsd297_F9xYgSO5MgBDpwNa0UkyoCh6nTju7DDNqcA7ivu4tSqJRSPpxoCsRUQAvD_BwE&amp;gclsrc=aw.ds</t>
  </si>
  <si>
    <t>Cyanoacrylate 20 g</t>
  </si>
  <si>
    <t>https://uk.farnell.com/wera/05118014001/slotted-screwdriver-tip-4mm-80mm/dp/2832409</t>
  </si>
  <si>
    <t>WERA</t>
  </si>
  <si>
    <t>Screwdriver, Slotted, 4 mm Tip, 80 mm Blade, 177 mm Overall</t>
  </si>
  <si>
    <t>https://uk.farnell.com/duratool/9p057r/cutter-diagonal-110mm/dp/3125397?st=wire+cutter</t>
  </si>
  <si>
    <t>DURATOOL</t>
  </si>
  <si>
    <t>9P057R</t>
  </si>
  <si>
    <t>Cutter, Diagonal, 110 mm, Diagonal</t>
  </si>
  <si>
    <t>https://cpc.farnell.com/duratool/d03004/wire-stripperscutters/dp/TL08616?mckv=s_dc|pcrid|426684131426|kword||match||plid||slid||product|TL08616|pgrid|100371162878|ptaid|pla-1867161087970|&amp;CMP=KNC-GUK-CPC-SHOPPING-9262013734-100371162878-TL08616&amp;s_kwcid=AL!5616!3!426684131426!!!network}!1867161087970!&amp;gclid=CjwKCAjw_uGmBhBREiwAeOfsd9dU-1Oq3VU70wnUQfKzgimPjxnL0sp8WtnVtKjdJjavnWhZVQfeKRoCh_gQAvD_BwE</t>
  </si>
  <si>
    <t>TL08616</t>
  </si>
  <si>
    <t>0.5mm - 4mm Wire Stripper &amp; Cutter -  D03004</t>
  </si>
  <si>
    <t>https://cpc.farnell.com/weller/wt-1010/soldering-station-95w-230vac/dp/SD02180?mckv=s_dc|pcrid|605262956863|kword||match||plid||slid||product|SD02180|pgrid|138313689055|ptaid|pla-1826712731675|&amp;CMP=KNC-GUK-CPC-SHOPPING-9262013734-138313689055-SD02180&amp;s_kwcid=AL!5616!3!605262956863!!!network}!1826712731675!&amp;gclid=CjwKCAjw_uGmBhBREiwAeOfsd_wEVLMPdXtYx9t4TTOUCHC5B7WBkS-DdywOdoh2nDYnqryrOu5mUxoCFGkQAvD_BwE</t>
  </si>
  <si>
    <t>WELLER</t>
  </si>
  <si>
    <t>WT 1010</t>
  </si>
  <si>
    <t>95W Soldering Station, 100 - 450°C Temp. Range -  WT 1010</t>
  </si>
  <si>
    <t>1600W Heat Gun 230V -  HL1620</t>
  </si>
  <si>
    <t>STEINEL</t>
  </si>
  <si>
    <t>HL1620</t>
  </si>
  <si>
    <t>https://cpc.farnell.com/steinel/hl1620/heat-gun-hot-air-gun-1600w/dp/TL18121?st=steinel%20heat%20gun</t>
  </si>
  <si>
    <t>Crimper - JST</t>
  </si>
  <si>
    <t>https://cpc.farnell.com/multicomp/ht-225d/crimp-tool-ratchet-30-18awg/dp/CN16614?st=crimper</t>
  </si>
  <si>
    <t>HT-225D</t>
  </si>
  <si>
    <t>Ratchet Crimping Tool with 30AWG to 18AWG Wire Size -  HT-225D</t>
  </si>
  <si>
    <t>Crimper - 4-in-1 for Push Plugs</t>
  </si>
  <si>
    <t>CK TOOLS</t>
  </si>
  <si>
    <t>UNBRANDED</t>
  </si>
  <si>
    <t>https://cpc.farnell.com/duratool/d03047/multimeter-digital/dp/IN07221</t>
  </si>
  <si>
    <t>D03047</t>
  </si>
  <si>
    <t>500V AC/DC Manual Ranging Digital Multimeter -  D03047</t>
  </si>
  <si>
    <t>Current Order Cost:</t>
  </si>
  <si>
    <t>Order Cost</t>
  </si>
  <si>
    <t>https://www.fruugo.co.uk/digital-load-cell-weight-sensor-4-sets-1kg-load-cell-hx711-ad-weighit-amplifier-module-pressure-sen/p-158471165-336116188?language=en&amp;ac=croud&amp;asc=pmax&amp;gclid=CjwKCAjw_uGmBhBREiwAeOfsd2Tte1J7DV2BnS36Kg06w9KA5tCizeWKm5fCU2_G8qSP8UY_3eaP3RoC95IQAvD_BwE</t>
  </si>
  <si>
    <t>158471165-336116188</t>
  </si>
  <si>
    <t>Fruugo</t>
  </si>
  <si>
    <t>Digital Load Cell Weight Sensor-4 Sets 1kg Load Cell Hx711 Ad Weigh it Amplifier Module Pressure Sensor</t>
  </si>
  <si>
    <t>External Hard Drive</t>
  </si>
  <si>
    <t>Seagate EXPANSION PORTABLE HDD External Installation 4 TB External Portable Hard Drive</t>
  </si>
  <si>
    <t>Seagate</t>
  </si>
  <si>
    <t>256-6086</t>
  </si>
  <si>
    <t>https://uk.rs-online.com/web/p/hard-drives/2566086?gb=b</t>
  </si>
  <si>
    <t>Load Cell</t>
  </si>
  <si>
    <t>HX711 Amplifier</t>
  </si>
  <si>
    <t>https://www.digikey.co.uk/en/products/detail/adafruit-industries-llc/4540/12323569?utm_adgroup=&amp;utm_source=google&amp;utm_medium=cpc&amp;utm_campaign=PMAX%20Shopping_Product_Higher%20Performing&amp;utm_term=&amp;productid=12323569&amp;gclid=Cj0KCQjwoeemBhCfARIsADR2QCvjQtq8xGB7zNIjsWEW115X1vtfFKRMJCEBZncin5CkRDHvQ6EQkaQaAmG1EALw_wcB</t>
  </si>
  <si>
    <t>DigiKey</t>
  </si>
  <si>
    <t>Adafruit</t>
  </si>
  <si>
    <t>STRAIN GAUGE LOAD CELL - 4 WIRES</t>
  </si>
  <si>
    <t>https://www.radwell.co.uk/Shop?source=GoogleShopping&amp;IgnoreRedirect=true&amp;ItemSingleId=126663068&amp;gad=1&amp;gclid=Cj0KCQjwoeemBhCfARIsADR2QCuKDzuiaM1iKrTecpj8N4HGdJV4Tma0wJoQnfWdpZ-vHplmi3T-cDcaAo65EALw_wcB</t>
  </si>
  <si>
    <t>Radwell</t>
  </si>
  <si>
    <t>HX711</t>
  </si>
  <si>
    <t>https://uk.farnell.com/ck-tools/430024/crimping-plier-250mm/dp/1283220</t>
  </si>
  <si>
    <t>Crimp Tool, Hand, 8-4AWG Insulated/Non-insulated Terminals</t>
  </si>
  <si>
    <t>D03409</t>
  </si>
  <si>
    <t>https://uk.farnell.com/duratool/d03409/weighing-scale-compact-0-01g-500g/dp/3573556?gclid=CjwKCAjwxOymBhAFEiwAnodBLDdi6rUJ0KjttFhMKsMkw4ZxcYMkRQvy5e4TKvMsL7GNv1-HlGXrmxoCBSEQAvD_BwE&amp;mckv=_dc|pcrid||plid||kword||match||slid||product|3573556|pgrid||ptaid||&amp;CMP=KNC-GUK-GEN-SHOPPING-PMAX-PrivateLabel-Test990&amp;gross_price=true</t>
  </si>
  <si>
    <t>Weighing Scale, Compact, 500 g, 0.1 g</t>
  </si>
  <si>
    <t>USB Hub, Bus Powered, USB 3.0, 10 Ports</t>
  </si>
  <si>
    <t>10-Port USB Hub</t>
  </si>
  <si>
    <t>https://uk.farnell.com/pro-signal/u3-10hub/usb-3-0-hub-10-port/dp/2843448?gclid=Cj0KCQjwrfymBhCTARIsADXTabnUyyCA0Q7m03It5AoFMssxCoh6nXXbdo9R3ZKoI-JBPAR5ywICiBgaAoUjEALw_wcB&amp;mckv=_dc|pcrid||plid||kword||match||slid||product|2843448|pgrid||ptaid||&amp;CMP=KNC-GUK-GEN-SHOPPING-PMAX-PrivateLabel-Test990&amp;gross_price=true</t>
  </si>
  <si>
    <t>HAMA</t>
  </si>
  <si>
    <t>AC/DC Power Supply, 2 Output, 12 W, 5 V, 5 V</t>
  </si>
  <si>
    <t>USB-UK Adapter</t>
  </si>
  <si>
    <t>https://uk.farnell.com/hama/73014150/power-supply-ac-dc-2o-p-12w-5v/dp/4132862?cjevent=04bd5a8b3e9111ee83deff920a18ba72&amp;cjdata=MXxZfDB8WXww&amp;CMP=AFC-CJ-UK-7947610&amp;gross_price=true&amp;source=CJ</t>
  </si>
  <si>
    <t>Delivered</t>
  </si>
  <si>
    <t>230-4402</t>
  </si>
  <si>
    <t>Lexar</t>
  </si>
  <si>
    <t>Lexar JumpDrive 128 GB USB 3.1 USB Flash Drive</t>
  </si>
  <si>
    <t>https://uk.rs-online.com/web/p/usb-sticks/2304402?gb=b</t>
  </si>
  <si>
    <t>TR FASTENINGS</t>
  </si>
  <si>
    <t>TRNSE-1207-M4-10</t>
  </si>
  <si>
    <t>https://uk.farnell.com/tr-fastenings/trnse-1207-m4-10/set-screw-slotted-cheese-m4-x/dp/2472717</t>
  </si>
  <si>
    <t>Screw, Set, Cheese Head Slotted, M4, Nylon 6.6, 10 mm Length</t>
  </si>
  <si>
    <t>https://www.mouser.co.uk/ProductDetail/Arduino/ABX00023?qs=%252BEew9%252B0nqrAwxv2YQYWyPw%3D%3D&amp;_gl=1*r1zmcw*_ga*MTkzODk4Nzg3MS4xNjkxNzg4MzU3*_ga_15W4STQT4T*MTY5NDQwMDIwNi42LjEuMTY5NDQwMDIxNi4wLjAuMA..*_ga_1KQLCYKRX3*MTY5NDQwMDIwNi42LjEuMTY5NDQwMDIxNi41MC4wLjA.</t>
  </si>
  <si>
    <t>https://www.mouser.co.uk/ProductDetail/Arduino/ASX00008?qs=%252BEew9%252B0nqrB6JgKBlp7dtg%3D%3D</t>
  </si>
  <si>
    <t>Part #</t>
  </si>
  <si>
    <t>Price Per Unit (Exc. VAT)</t>
  </si>
  <si>
    <t># of Units Per Device</t>
  </si>
  <si>
    <t>Micro SD Card and Reader</t>
  </si>
  <si>
    <t>LiPo JST Charge Adapter</t>
  </si>
  <si>
    <t>LiPo Charger, Type C Board, Arduino Board</t>
  </si>
  <si>
    <t>DFROBOT</t>
  </si>
  <si>
    <t xml:space="preserve">	DFR0668</t>
  </si>
  <si>
    <t>https://uk.farnell.com/dfrobot/dfr0668/lipo-charger-type-c-board-arduino/dp/3879658?gclid=CjwKCAjwjaWoBhAmEiwAXz8DBXI0e5TJcyaFSBkKk_fuOoZK49yE3yIa8k_mLAieQcC4ELENnK70IhoCfIEQAvD_BwE&amp;mckv=_dc|pcrid||plid||kword||match||slid||product|3879658|pgrid||ptaid|&amp;CMP=KNC-GUK-GEN-SHOPPING-PMAX-Medium_ROAS-Test990&amp;gross_price=true</t>
  </si>
  <si>
    <t xml:space="preserve"> </t>
  </si>
  <si>
    <t>Wire Crimp Connector for Switches</t>
  </si>
  <si>
    <t>Wire Connector JST PH Housing for Battery</t>
  </si>
  <si>
    <t>Wire Crimp Connector for Battery</t>
  </si>
  <si>
    <t>Cost Per Device</t>
  </si>
  <si>
    <t>3D Printer Filament, 2.85mm Dia, Natural, PVA, 190 to 210°C, 750 g</t>
  </si>
  <si>
    <t>3D Printing Material - PVA</t>
  </si>
  <si>
    <t>https://uk.farnell.com/ultimaker/9731/filament-pva-natural-750g/dp/2992617?srsltid=AfmBOopzLMo_njkAwQUm0xoXFvDKSgXCuITphvucWZFTmOwovV1n5Fkn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</si>
</sst>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2" fontId="0" fillId="5" borderId="1" xfId="0" applyNumberForma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2" fontId="1" fillId="9" borderId="1" xfId="0" applyNumberFormat="1" applyFont="1" applyFill="1" applyBorder="1" applyAlignment="1">
      <alignment horizontal="left" vertical="center"/>
    </xf>
    <xf numFmtId="2" fontId="1" fillId="3" borderId="8" xfId="0" applyNumberFormat="1" applyFont="1" applyFill="1" applyBorder="1" applyAlignment="1">
      <alignment horizontal="left" vertical="center"/>
    </xf>
    <xf numFmtId="2" fontId="1" fillId="3" borderId="9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rs-online.com/web/p/usb-sticks/2304402?gb=b" TargetMode="External"/><Relationship Id="rId3" Type="http://schemas.openxmlformats.org/officeDocument/2006/relationships/hyperlink" Target="https://www.radwell.co.uk/Shop?source=GoogleShopping&amp;IgnoreRedirect=true&amp;ItemSingleId=126663068&amp;gad=1&amp;gclid=Cj0KCQjwoeemBhCfARIsADR2QCuKDzuiaM1iKrTecpj8N4HGdJV4Tma0wJoQnfWdpZ-vHplmi3T-cDcaAo65EALw_wcB" TargetMode="External"/><Relationship Id="rId7" Type="http://schemas.openxmlformats.org/officeDocument/2006/relationships/hyperlink" Target="https://uk.farnell.com/hama/73014150/power-supply-ac-dc-2o-p-12w-5v/dp/4132862?cjevent=04bd5a8b3e9111ee83deff920a18ba72&amp;cjdata=MXxZfDB8WXww&amp;CMP=AFC-CJ-UK-7947610&amp;gross_price=true&amp;source=CJ" TargetMode="External"/><Relationship Id="rId2" Type="http://schemas.openxmlformats.org/officeDocument/2006/relationships/hyperlink" Target="https://www.digikey.co.uk/en/products/detail/adafruit-industries-llc/4540/12323569?utm_adgroup=&amp;utm_source=google&amp;utm_medium=cpc&amp;utm_campaign=PMAX%20Shopping_Product_Higher%20Performing&amp;utm_term=&amp;productid=12323569&amp;gclid=Cj0KCQjwoeemBhCfARIsADR2QCvjQtq8xGB7zNIjsWEW115X1vtfFKRMJCEBZncin5CkRDHvQ6EQkaQaAmG1EALw_wcB" TargetMode="External"/><Relationship Id="rId1" Type="http://schemas.openxmlformats.org/officeDocument/2006/relationships/hyperlink" Target="https://www.fruugo.co.uk/digital-load-cell-weight-sensor-4-sets-1kg-load-cell-hx711-ad-weighit-amplifier-module-pressure-sen/p-158471165-336116188?language=en&amp;ac=croud&amp;asc=pmax&amp;gclid=CjwKCAjw_uGmBhBREiwAeOfsd2Tte1J7DV2BnS36Kg06w9KA5tCizeWKm5fCU2_G8qSP8UY_3eaP3RoC95IQAvD_BwE" TargetMode="External"/><Relationship Id="rId6" Type="http://schemas.openxmlformats.org/officeDocument/2006/relationships/hyperlink" Target="https://uk.farnell.com/pro-signal/u3-10hub/usb-3-0-hub-10-port/dp/2843448?gclid=Cj0KCQjwrfymBhCTARIsADXTabnUyyCA0Q7m03It5AoFMssxCoh6nXXbdo9R3ZKoI-JBPAR5ywICiBgaAoUjEALw_wcB&amp;mckv=_dc|pcrid||plid||kword||match||slid||product|2843448|pgrid||ptaid||&amp;CMP=KNC-GUK-GEN-SHOPPING-PMAX-PrivateLabel-Test990&amp;gross_price=true" TargetMode="External"/><Relationship Id="rId5" Type="http://schemas.openxmlformats.org/officeDocument/2006/relationships/hyperlink" Target="https://uk.farnell.com/duratool/d03409/weighing-scale-compact-0-01g-500g/dp/3573556?gclid=CjwKCAjwxOymBhAFEiwAnodBLDdi6rUJ0KjttFhMKsMkw4ZxcYMkRQvy5e4TKvMsL7GNv1-HlGXrmxoCBSEQAvD_BwE&amp;mckv=_dc|pcrid||plid||kword||match||slid||product|3573556|pgrid||ptaid||&amp;CMP=KNC-GUK-GEN-SHOPPING-PMAX-PrivateLabel-Test990&amp;gross_price=tru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uk.farnell.com/ck-tools/430024/crimping-plier-250mm/dp/1283220" TargetMode="External"/><Relationship Id="rId9" Type="http://schemas.openxmlformats.org/officeDocument/2006/relationships/hyperlink" Target="https://uk.farnell.com/tr-fastenings/trnse-1207-m4-10/set-screw-slotted-cheese-m4-x/dp/247271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k.rs-online.com/web/p/hook-up-wire/1964211" TargetMode="External"/><Relationship Id="rId18" Type="http://schemas.openxmlformats.org/officeDocument/2006/relationships/hyperlink" Target="https://uk.rs-online.com/web/p/crimp-contacts/8201456" TargetMode="External"/><Relationship Id="rId26" Type="http://schemas.openxmlformats.org/officeDocument/2006/relationships/hyperlink" Target="https://uk.rs-online.com/web/p/washers/2326959?gb=s" TargetMode="External"/><Relationship Id="rId3" Type="http://schemas.openxmlformats.org/officeDocument/2006/relationships/hyperlink" Target="https://www.radwell.co.uk/Shop?source=GoogleShopping&amp;IgnoreRedirect=true&amp;ItemSingleId=126663068&amp;gad=1&amp;gclid=Cj0KCQjwoeemBhCfARIsADR2QCuKDzuiaM1iKrTecpj8N4HGdJV4Tma0wJoQnfWdpZ-vHplmi3T-cDcaAo65EALw_wcB" TargetMode="External"/><Relationship Id="rId21" Type="http://schemas.openxmlformats.org/officeDocument/2006/relationships/hyperlink" Target="https://thepihut.com/products/m2-5-nylon-standoff-packs?variant=41056882327747&amp;currency=GBP&amp;utm_medium=product_sync&amp;utm_source=google&amp;utm_content=sag_organic&amp;utm_campaign=sag_organic&amp;gclid=CjwKCAiAv9ucBhBXEiwA6N8nYMALsTAdnJaEfqRm8rlGHIkw8k_-wddpUlsjskTBw0Nt-zeI4IdqRBoC2hEQAvD_BwE" TargetMode="External"/><Relationship Id="rId34" Type="http://schemas.openxmlformats.org/officeDocument/2006/relationships/hyperlink" Target="https://www.viking-direct.co.uk/en/uhu-glue-stick-40-g-p-3583323?customerType=consumer&amp;utm_source=google&amp;utm_medium=organic&amp;utm_campaign=surface_google&amp;cm_mmc=Google-_--_--_-3583323&amp;gclsrc=aw.ds&amp;gclid=CjwKCAjw29ymBhAKEiwAHJbJ8uTgx7kKxn6nbHusQiRFdakibM5nQ46gGbbzKmTG5DiIC01LaVmLUBoCaWcQAvD_BwE" TargetMode="External"/><Relationship Id="rId7" Type="http://schemas.openxmlformats.org/officeDocument/2006/relationships/hyperlink" Target="https://uk.farnell.com/hama/73014150/power-supply-ac-dc-2o-p-12w-5v/dp/4132862?cjevent=04bd5a8b3e9111ee83deff920a18ba72&amp;cjdata=MXxZfDB8WXww&amp;CMP=AFC-CJ-UK-7947610&amp;gross_price=true&amp;source=CJ" TargetMode="External"/><Relationship Id="rId12" Type="http://schemas.openxmlformats.org/officeDocument/2006/relationships/hyperlink" Target="https://www.mouser.co.uk/ProductDetail/Harwin/M20-7821146?qs=ulE8k0yEMYbQu%2FkhQ6%2FqUg%3D%3D" TargetMode="External"/><Relationship Id="rId17" Type="http://schemas.openxmlformats.org/officeDocument/2006/relationships/hyperlink" Target="https://www.mouser.co.uk/ProductDetail/SparkFun/PRT-08808?qs=WyAARYrbSnYE9naQ%252BrkzGQ%3D%3D" TargetMode="External"/><Relationship Id="rId25" Type="http://schemas.openxmlformats.org/officeDocument/2006/relationships/hyperlink" Target="https://uk.farnell.com/multicomp-pro/mp008089/screw-cheese-head-slotted-m5-20mm/dp/3804805" TargetMode="External"/><Relationship Id="rId33" Type="http://schemas.openxmlformats.org/officeDocument/2006/relationships/hyperlink" Target="https://uk.farnell.com/ultimaker/1621/filament-abs-black-750g/dp/2992638" TargetMode="External"/><Relationship Id="rId2" Type="http://schemas.openxmlformats.org/officeDocument/2006/relationships/hyperlink" Target="https://www.digikey.co.uk/en/products/detail/adafruit-industries-llc/4540/12323569?utm_adgroup=&amp;utm_source=google&amp;utm_medium=cpc&amp;utm_campaign=PMAX%20Shopping_Product_Higher%20Performing&amp;utm_term=&amp;productid=12323569&amp;gclid=Cj0KCQjwoeemBhCfARIsADR2QCvjQtq8xGB7zNIjsWEW115X1vtfFKRMJCEBZncin5CkRDHvQ6EQkaQaAmG1EALw_wcB" TargetMode="External"/><Relationship Id="rId16" Type="http://schemas.openxmlformats.org/officeDocument/2006/relationships/hyperlink" Target="https://uk.rs-online.com/web/p/heat-shrink-tubing/7004532" TargetMode="External"/><Relationship Id="rId20" Type="http://schemas.openxmlformats.org/officeDocument/2006/relationships/hyperlink" Target="https://uk.rs-online.com/web/p/standoffs/5006621" TargetMode="External"/><Relationship Id="rId29" Type="http://schemas.openxmlformats.org/officeDocument/2006/relationships/hyperlink" Target="https://onecall.farnell.com/essentra-components/pgsd-2/grommet-nylon-6-6-15-9mm-black/dp/3823522?ICID=I-RP-STM7REC-0" TargetMode="External"/><Relationship Id="rId1" Type="http://schemas.openxmlformats.org/officeDocument/2006/relationships/hyperlink" Target="https://www.fruugo.co.uk/digital-load-cell-weight-sensor-4-sets-1kg-load-cell-hx711-ad-weighit-amplifier-module-pressure-sen/p-158471165-336116188?language=en&amp;ac=croud&amp;asc=pmax&amp;gclid=CjwKCAjw_uGmBhBREiwAeOfsd2Tte1J7DV2BnS36Kg06w9KA5tCizeWKm5fCU2_G8qSP8UY_3eaP3RoC95IQAvD_BwE" TargetMode="External"/><Relationship Id="rId6" Type="http://schemas.openxmlformats.org/officeDocument/2006/relationships/hyperlink" Target="https://uk.farnell.com/pro-signal/u3-10hub/usb-3-0-hub-10-port/dp/2843448?gclid=Cj0KCQjwrfymBhCTARIsADXTabnUyyCA0Q7m03It5AoFMssxCoh6nXXbdo9R3ZKoI-JBPAR5ywICiBgaAoUjEALw_wcB&amp;mckv=_dc|pcrid||plid||kword||match||slid||product|2843448|pgrid||ptaid||&amp;CMP=KNC-GUK-GEN-SHOPPING-PMAX-PrivateLabel-Test990&amp;gross_price=true" TargetMode="External"/><Relationship Id="rId11" Type="http://schemas.openxmlformats.org/officeDocument/2006/relationships/hyperlink" Target="https://uk.rs-online.com/web/p/pcb-headers/6705073" TargetMode="External"/><Relationship Id="rId24" Type="http://schemas.openxmlformats.org/officeDocument/2006/relationships/hyperlink" Target="https://uk.rs-online.com/web/p/hex-nuts/4830316" TargetMode="External"/><Relationship Id="rId32" Type="http://schemas.openxmlformats.org/officeDocument/2006/relationships/hyperlink" Target="https://uk.rs-online.com/web/p/3d-printers/1925469" TargetMode="External"/><Relationship Id="rId5" Type="http://schemas.openxmlformats.org/officeDocument/2006/relationships/hyperlink" Target="https://uk.farnell.com/duratool/d03409/weighing-scale-compact-0-01g-500g/dp/3573556?gclid=CjwKCAjwxOymBhAFEiwAnodBLDdi6rUJ0KjttFhMKsMkw4ZxcYMkRQvy5e4TKvMsL7GNv1-HlGXrmxoCBSEQAvD_BwE&amp;mckv=_dc|pcrid||plid||kword||match||slid||product|3573556|pgrid||ptaid||&amp;CMP=KNC-GUK-GEN-SHOPPING-PMAX-PrivateLabel-Test990&amp;gross_price=true" TargetMode="External"/><Relationship Id="rId15" Type="http://schemas.openxmlformats.org/officeDocument/2006/relationships/hyperlink" Target="https://uk.farnell.com/e-switch/ra1113112r/rocker-switch-spst-black-panel/dp/2830709?gclid=CjwKCAiAv9ucBhBXEiwA6N8nYIH3jP5cV0Jt3GV_Izf0TcOJrfF0iFLuON0JmVTK1x8pazD7WQBReBoCw_8QAvD_BwE&amp;mckv=_dc|pcrid||plid||kword||match||slid||product|2830709|pgrid||ptaid||&amp;CMP=KNC-GUK-GEN-SHOPPING-PMAX-US-DirectShip-Test990&amp;gross_price=true" TargetMode="External"/><Relationship Id="rId23" Type="http://schemas.openxmlformats.org/officeDocument/2006/relationships/hyperlink" Target="https://uk.rs-online.com/web/p/standoffs/1026429" TargetMode="External"/><Relationship Id="rId28" Type="http://schemas.openxmlformats.org/officeDocument/2006/relationships/hyperlink" Target="https://uk.farnell.com/tr-fastenings/trnse-1207-m2-5-10/set-screw-slotted-cheese-m2-5/dp/2472698" TargetMode="External"/><Relationship Id="rId10" Type="http://schemas.openxmlformats.org/officeDocument/2006/relationships/hyperlink" Target="https://uk.farnell.com/dfrobot/dfr0668/lipo-charger-type-c-board-arduino/dp/3879658?gclid=CjwKCAjwjaWoBhAmEiwAXz8DBXI0e5TJcyaFSBkKk_fuOoZK49yE3yIa8k_mLAieQcC4ELENnK70IhoCfIEQAvD_BwE&amp;mckv=_dc|pcrid||plid||kword||match||slid||product|3879658|pgrid||ptaid|&amp;CMP=KNC-GUK-GEN-SHOPPING-PMAX-Medium_ROAS-Test990&amp;gross_price=true" TargetMode="External"/><Relationship Id="rId19" Type="http://schemas.openxmlformats.org/officeDocument/2006/relationships/hyperlink" Target="https://uk.rs-online.com/web/p/wire-housings-plugs/8201466" TargetMode="External"/><Relationship Id="rId31" Type="http://schemas.openxmlformats.org/officeDocument/2006/relationships/hyperlink" Target="https://cpc.farnell.com/integral/inmsdx64g10-90u1/64gb-ultimapro-microsd-c10-90/dp/MD00799" TargetMode="External"/><Relationship Id="rId4" Type="http://schemas.openxmlformats.org/officeDocument/2006/relationships/hyperlink" Target="https://uk.farnell.com/ck-tools/430024/crimping-plier-250mm/dp/1283220" TargetMode="External"/><Relationship Id="rId9" Type="http://schemas.openxmlformats.org/officeDocument/2006/relationships/hyperlink" Target="https://uk.farnell.com/tr-fastenings/trnse-1207-m4-10/set-screw-slotted-cheese-m4-x/dp/2472717" TargetMode="External"/><Relationship Id="rId14" Type="http://schemas.openxmlformats.org/officeDocument/2006/relationships/hyperlink" Target="https://uk.rs-online.com/web/p/spade-connectors/0534351" TargetMode="External"/><Relationship Id="rId22" Type="http://schemas.openxmlformats.org/officeDocument/2006/relationships/hyperlink" Target="https://uk.rs-online.com/web/p/hex-nuts/2326976?gb=b" TargetMode="External"/><Relationship Id="rId27" Type="http://schemas.openxmlformats.org/officeDocument/2006/relationships/hyperlink" Target="https://www.scientificlabs.co.uk/product/MIC2162" TargetMode="External"/><Relationship Id="rId30" Type="http://schemas.openxmlformats.org/officeDocument/2006/relationships/hyperlink" Target="https://uk.farnell.com/tripp-lite/u452-000-sd-a/usb-c-memory-card-reader-sd-micro/dp/3493850?cjevent=12c595d8391811ee804701780a18ba72&amp;cjdata=MXxZfDB8WXww&amp;CMP=AFC-CJ-UK-8989328&amp;gross_price=true&amp;source=CJ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https://uk.rs-online.com/web/p/usb-sticks/2304402?gb=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B178-A28A-4E7B-BE7B-EE9E70F1F96A}">
  <dimension ref="A1:R58"/>
  <sheetViews>
    <sheetView workbookViewId="0">
      <pane ySplit="1" topLeftCell="A2" activePane="bottomLeft" state="frozen"/>
      <selection pane="bottomLeft" activeCell="E6" sqref="E6"/>
    </sheetView>
  </sheetViews>
  <sheetFormatPr defaultColWidth="8.77734375" defaultRowHeight="14.4" x14ac:dyDescent="0.3"/>
  <cols>
    <col min="1" max="1" width="22.33203125" style="4" customWidth="1"/>
    <col min="2" max="2" width="39.44140625" style="7" customWidth="1"/>
    <col min="3" max="3" width="27.21875" style="7" customWidth="1"/>
    <col min="4" max="4" width="11.5546875" style="4" customWidth="1"/>
    <col min="5" max="9" width="16.6640625" style="4" customWidth="1"/>
    <col min="10" max="10" width="19.77734375" style="4" customWidth="1"/>
    <col min="11" max="11" width="18.33203125" style="4" customWidth="1"/>
    <col min="12" max="12" width="21.21875" style="4" customWidth="1"/>
    <col min="13" max="13" width="27.109375" style="4" customWidth="1"/>
    <col min="14" max="14" width="22.33203125" style="4" customWidth="1"/>
    <col min="15" max="15" width="8.77734375" style="4"/>
    <col min="16" max="16" width="13.44140625" style="4" customWidth="1"/>
    <col min="17" max="17" width="18.88671875" style="4" customWidth="1"/>
    <col min="18" max="18" width="28" style="4" customWidth="1"/>
    <col min="19" max="16384" width="8.77734375" style="4"/>
  </cols>
  <sheetData>
    <row r="1" spans="1:18" x14ac:dyDescent="0.3">
      <c r="A1" s="1" t="s">
        <v>26</v>
      </c>
      <c r="B1" s="2" t="s">
        <v>0</v>
      </c>
      <c r="C1" s="2" t="s">
        <v>1</v>
      </c>
      <c r="D1" s="1" t="s">
        <v>58</v>
      </c>
      <c r="E1" s="1" t="s">
        <v>59</v>
      </c>
      <c r="F1" s="1" t="s">
        <v>70</v>
      </c>
      <c r="G1" s="1" t="s">
        <v>71</v>
      </c>
      <c r="H1" s="1" t="s">
        <v>127</v>
      </c>
      <c r="I1" s="1" t="s">
        <v>251</v>
      </c>
      <c r="J1" s="1" t="s">
        <v>2</v>
      </c>
      <c r="K1" s="1" t="s">
        <v>48</v>
      </c>
      <c r="L1" s="1" t="s">
        <v>3</v>
      </c>
      <c r="M1" s="1" t="s">
        <v>50</v>
      </c>
      <c r="N1" s="1" t="s">
        <v>141</v>
      </c>
      <c r="O1" s="1" t="s">
        <v>4</v>
      </c>
      <c r="P1" s="1" t="s">
        <v>126</v>
      </c>
      <c r="Q1" s="1" t="s">
        <v>140</v>
      </c>
      <c r="R1" s="3" t="s">
        <v>5</v>
      </c>
    </row>
    <row r="2" spans="1:18" ht="28.8" x14ac:dyDescent="0.3">
      <c r="A2" s="5" t="s">
        <v>27</v>
      </c>
      <c r="B2" s="6" t="s">
        <v>51</v>
      </c>
      <c r="C2" s="7" t="s">
        <v>46</v>
      </c>
      <c r="D2" s="6"/>
      <c r="E2" s="6"/>
      <c r="F2" s="7">
        <v>1.5</v>
      </c>
      <c r="G2" s="28" t="s">
        <v>282</v>
      </c>
      <c r="H2" s="7">
        <v>5</v>
      </c>
      <c r="I2" s="20">
        <f>IF(G2="YES",H2*N2,0)</f>
        <v>0</v>
      </c>
      <c r="J2" s="4" t="s">
        <v>47</v>
      </c>
      <c r="K2" s="4" t="s">
        <v>49</v>
      </c>
      <c r="L2" s="4">
        <v>1621</v>
      </c>
      <c r="M2" s="4">
        <f>222/750</f>
        <v>0.29599999999999999</v>
      </c>
      <c r="N2" s="8">
        <v>44.47</v>
      </c>
      <c r="O2" s="4" t="s">
        <v>6</v>
      </c>
      <c r="P2" s="8">
        <v>1</v>
      </c>
      <c r="Q2" s="8">
        <f t="shared" ref="Q2:Q20" si="0">M2*N2*P2</f>
        <v>13.163119999999999</v>
      </c>
      <c r="R2" s="9" t="s">
        <v>52</v>
      </c>
    </row>
    <row r="3" spans="1:18" x14ac:dyDescent="0.3">
      <c r="A3" s="42" t="s">
        <v>31</v>
      </c>
      <c r="B3" s="10" t="s">
        <v>9</v>
      </c>
      <c r="C3" s="7" t="s">
        <v>9</v>
      </c>
      <c r="D3" s="10"/>
      <c r="E3" s="10"/>
      <c r="F3" s="4">
        <v>4</v>
      </c>
      <c r="G3" s="21" t="s">
        <v>72</v>
      </c>
      <c r="H3" s="7">
        <v>10</v>
      </c>
      <c r="I3" s="20">
        <f t="shared" ref="I3:I57" si="1">IF(G3="YES",H3*N3,0)</f>
        <v>297.7</v>
      </c>
      <c r="J3" s="4" t="s">
        <v>92</v>
      </c>
      <c r="K3" s="4" t="s">
        <v>118</v>
      </c>
      <c r="L3" s="4" t="s">
        <v>10</v>
      </c>
      <c r="M3" s="4">
        <v>1</v>
      </c>
      <c r="N3" s="8">
        <v>29.77</v>
      </c>
      <c r="O3" s="4" t="s">
        <v>11</v>
      </c>
      <c r="P3" s="8">
        <v>0.86</v>
      </c>
      <c r="Q3" s="8">
        <f t="shared" si="0"/>
        <v>25.6022</v>
      </c>
      <c r="R3" s="9" t="s">
        <v>291</v>
      </c>
    </row>
    <row r="4" spans="1:18" x14ac:dyDescent="0.3">
      <c r="A4" s="42"/>
      <c r="B4" s="10" t="s">
        <v>12</v>
      </c>
      <c r="C4" s="7" t="s">
        <v>12</v>
      </c>
      <c r="D4" s="10"/>
      <c r="E4" s="10"/>
      <c r="F4" s="4">
        <v>4</v>
      </c>
      <c r="G4" s="21" t="s">
        <v>72</v>
      </c>
      <c r="H4" s="7">
        <v>10</v>
      </c>
      <c r="I4" s="20">
        <f t="shared" si="1"/>
        <v>180.5</v>
      </c>
      <c r="J4" s="4" t="s">
        <v>92</v>
      </c>
      <c r="K4" s="4" t="s">
        <v>118</v>
      </c>
      <c r="L4" s="4" t="s">
        <v>13</v>
      </c>
      <c r="M4" s="4">
        <v>1</v>
      </c>
      <c r="N4" s="8">
        <v>18.05</v>
      </c>
      <c r="O4" s="4" t="s">
        <v>11</v>
      </c>
      <c r="P4" s="8">
        <v>0.86</v>
      </c>
      <c r="Q4" s="8">
        <f t="shared" si="0"/>
        <v>15.523</v>
      </c>
      <c r="R4" s="9" t="s">
        <v>292</v>
      </c>
    </row>
    <row r="5" spans="1:18" ht="43.2" x14ac:dyDescent="0.3">
      <c r="A5" s="42"/>
      <c r="B5" s="10" t="s">
        <v>255</v>
      </c>
      <c r="C5" s="7" t="s">
        <v>35</v>
      </c>
      <c r="D5" s="10"/>
      <c r="E5" s="10"/>
      <c r="F5" s="4">
        <v>2</v>
      </c>
      <c r="G5" s="21" t="s">
        <v>72</v>
      </c>
      <c r="H5" s="7">
        <v>5</v>
      </c>
      <c r="I5" s="20">
        <f t="shared" si="1"/>
        <v>59.75</v>
      </c>
      <c r="J5" s="4" t="s">
        <v>246</v>
      </c>
      <c r="K5" s="4" t="s">
        <v>254</v>
      </c>
      <c r="L5" s="4" t="s">
        <v>253</v>
      </c>
      <c r="M5" s="4">
        <f>1/4</f>
        <v>0.25</v>
      </c>
      <c r="N5" s="8">
        <v>11.95</v>
      </c>
      <c r="O5" s="4" t="s">
        <v>6</v>
      </c>
      <c r="P5" s="8">
        <v>1</v>
      </c>
      <c r="Q5" s="8">
        <f>M5*N5*P5</f>
        <v>2.9874999999999998</v>
      </c>
      <c r="R5" s="22" t="s">
        <v>252</v>
      </c>
    </row>
    <row r="6" spans="1:18" x14ac:dyDescent="0.3">
      <c r="A6" s="42"/>
      <c r="B6" s="10" t="s">
        <v>266</v>
      </c>
      <c r="C6" s="7" t="s">
        <v>261</v>
      </c>
      <c r="D6" s="10"/>
      <c r="E6" s="10"/>
      <c r="F6" s="4">
        <v>2</v>
      </c>
      <c r="G6" s="21" t="s">
        <v>72</v>
      </c>
      <c r="H6" s="7">
        <v>16</v>
      </c>
      <c r="I6" s="20">
        <f t="shared" si="1"/>
        <v>48.96</v>
      </c>
      <c r="J6" s="4" t="s">
        <v>265</v>
      </c>
      <c r="K6" s="4" t="s">
        <v>264</v>
      </c>
      <c r="L6" s="4">
        <v>4540</v>
      </c>
      <c r="M6" s="4">
        <v>1</v>
      </c>
      <c r="N6" s="8">
        <v>3.06</v>
      </c>
      <c r="O6" s="4" t="s">
        <v>6</v>
      </c>
      <c r="P6" s="8">
        <v>1</v>
      </c>
      <c r="Q6" s="8">
        <f>M6*N6*P6</f>
        <v>3.06</v>
      </c>
      <c r="R6" s="23" t="s">
        <v>263</v>
      </c>
    </row>
    <row r="7" spans="1:18" x14ac:dyDescent="0.3">
      <c r="A7" s="42"/>
      <c r="B7" s="10" t="s">
        <v>269</v>
      </c>
      <c r="C7" s="7" t="s">
        <v>262</v>
      </c>
      <c r="D7" s="10"/>
      <c r="E7" s="10"/>
      <c r="F7" s="4">
        <v>2</v>
      </c>
      <c r="G7" s="21" t="s">
        <v>72</v>
      </c>
      <c r="H7" s="7">
        <v>16</v>
      </c>
      <c r="I7" s="20">
        <f t="shared" si="1"/>
        <v>81.12</v>
      </c>
      <c r="J7" s="4" t="s">
        <v>268</v>
      </c>
      <c r="K7" s="4" t="s">
        <v>268</v>
      </c>
      <c r="L7" s="4">
        <v>126663068</v>
      </c>
      <c r="M7" s="4">
        <v>1</v>
      </c>
      <c r="N7" s="8">
        <v>5.07</v>
      </c>
      <c r="O7" s="4" t="s">
        <v>6</v>
      </c>
      <c r="P7" s="8">
        <v>1</v>
      </c>
      <c r="Q7" s="8">
        <f>M7*N7*P7</f>
        <v>5.07</v>
      </c>
      <c r="R7" s="23" t="s">
        <v>267</v>
      </c>
    </row>
    <row r="8" spans="1:18" ht="28.8" x14ac:dyDescent="0.3">
      <c r="A8" s="42"/>
      <c r="B8" s="10" t="s">
        <v>121</v>
      </c>
      <c r="C8" s="4" t="s">
        <v>116</v>
      </c>
      <c r="D8" s="11"/>
      <c r="E8" s="11"/>
      <c r="F8" s="4">
        <v>30</v>
      </c>
      <c r="G8" s="12" t="s">
        <v>73</v>
      </c>
      <c r="H8" s="4" t="s">
        <v>128</v>
      </c>
      <c r="I8" s="20">
        <f t="shared" si="1"/>
        <v>0</v>
      </c>
      <c r="J8" s="4" t="s">
        <v>117</v>
      </c>
      <c r="K8" s="4" t="s">
        <v>118</v>
      </c>
      <c r="L8" s="7" t="s">
        <v>120</v>
      </c>
      <c r="M8" s="4">
        <v>1</v>
      </c>
      <c r="N8" s="8">
        <v>1.45</v>
      </c>
      <c r="O8" s="4" t="s">
        <v>6</v>
      </c>
      <c r="P8" s="8">
        <v>1</v>
      </c>
      <c r="Q8" s="8">
        <f>M8*N8*P8</f>
        <v>1.45</v>
      </c>
      <c r="R8" s="9" t="s">
        <v>119</v>
      </c>
    </row>
    <row r="9" spans="1:18" x14ac:dyDescent="0.3">
      <c r="A9" s="42"/>
      <c r="B9" s="10" t="s">
        <v>134</v>
      </c>
      <c r="C9" s="7" t="s">
        <v>42</v>
      </c>
      <c r="D9" s="10"/>
      <c r="E9" s="10"/>
      <c r="F9" s="4">
        <v>0</v>
      </c>
      <c r="G9" s="21" t="s">
        <v>72</v>
      </c>
      <c r="H9" s="7">
        <v>16</v>
      </c>
      <c r="I9" s="20">
        <f t="shared" si="1"/>
        <v>26.24</v>
      </c>
      <c r="J9" s="4" t="s">
        <v>133</v>
      </c>
      <c r="K9" s="4" t="s">
        <v>49</v>
      </c>
      <c r="L9" s="4" t="s">
        <v>136</v>
      </c>
      <c r="M9" s="4">
        <v>1</v>
      </c>
      <c r="N9" s="8">
        <v>1.64</v>
      </c>
      <c r="O9" s="4" t="s">
        <v>6</v>
      </c>
      <c r="P9" s="8">
        <v>1</v>
      </c>
      <c r="Q9" s="8">
        <f t="shared" si="0"/>
        <v>1.64</v>
      </c>
      <c r="R9" s="9" t="s">
        <v>135</v>
      </c>
    </row>
    <row r="10" spans="1:18" x14ac:dyDescent="0.3">
      <c r="A10" s="42"/>
      <c r="B10" s="10" t="s">
        <v>139</v>
      </c>
      <c r="C10" s="7" t="s">
        <v>132</v>
      </c>
      <c r="D10" s="11"/>
      <c r="E10" s="11"/>
      <c r="F10" s="4">
        <v>9</v>
      </c>
      <c r="G10" s="28" t="s">
        <v>282</v>
      </c>
      <c r="H10" s="4">
        <v>2</v>
      </c>
      <c r="I10" s="20">
        <f t="shared" si="1"/>
        <v>0</v>
      </c>
      <c r="J10" s="4" t="s">
        <v>8</v>
      </c>
      <c r="K10" s="4" t="s">
        <v>93</v>
      </c>
      <c r="L10" s="4" t="s">
        <v>137</v>
      </c>
      <c r="M10" s="4">
        <f>1/20</f>
        <v>0.05</v>
      </c>
      <c r="N10" s="8">
        <v>1.4</v>
      </c>
      <c r="O10" s="4" t="s">
        <v>6</v>
      </c>
      <c r="P10" s="8">
        <v>1</v>
      </c>
      <c r="Q10" s="8">
        <f t="shared" si="0"/>
        <v>6.9999999999999993E-2</v>
      </c>
      <c r="R10" s="9" t="s">
        <v>138</v>
      </c>
    </row>
    <row r="11" spans="1:18" x14ac:dyDescent="0.3">
      <c r="A11" s="42"/>
      <c r="B11" s="10" t="s">
        <v>16</v>
      </c>
      <c r="C11" s="7" t="s">
        <v>17</v>
      </c>
      <c r="D11" s="10"/>
      <c r="E11" s="10"/>
      <c r="F11" s="4">
        <v>1</v>
      </c>
      <c r="G11" s="28" t="s">
        <v>282</v>
      </c>
      <c r="H11" s="7">
        <v>30</v>
      </c>
      <c r="I11" s="20">
        <f t="shared" si="1"/>
        <v>0</v>
      </c>
      <c r="J11" s="4" t="s">
        <v>131</v>
      </c>
      <c r="K11" s="4" t="s">
        <v>49</v>
      </c>
      <c r="L11" s="4" t="s">
        <v>18</v>
      </c>
      <c r="M11" s="4">
        <v>2</v>
      </c>
      <c r="N11" s="8">
        <v>0.62</v>
      </c>
      <c r="O11" s="4" t="s">
        <v>6</v>
      </c>
      <c r="P11" s="8">
        <v>1</v>
      </c>
      <c r="Q11" s="8">
        <f t="shared" si="0"/>
        <v>1.24</v>
      </c>
      <c r="R11" s="9" t="s">
        <v>19</v>
      </c>
    </row>
    <row r="12" spans="1:18" x14ac:dyDescent="0.3">
      <c r="A12" s="42"/>
      <c r="B12" s="10" t="s">
        <v>23</v>
      </c>
      <c r="C12" s="7" t="s">
        <v>101</v>
      </c>
      <c r="D12" s="10"/>
      <c r="E12" s="10"/>
      <c r="F12" s="4">
        <v>2</v>
      </c>
      <c r="G12" s="28" t="s">
        <v>282</v>
      </c>
      <c r="H12" s="7">
        <v>12</v>
      </c>
      <c r="I12" s="20">
        <f t="shared" si="1"/>
        <v>0</v>
      </c>
      <c r="J12" s="4" t="s">
        <v>8</v>
      </c>
      <c r="K12" s="4" t="s">
        <v>93</v>
      </c>
      <c r="L12" s="4" t="s">
        <v>24</v>
      </c>
      <c r="M12" s="4">
        <v>1</v>
      </c>
      <c r="N12" s="8">
        <v>10.55</v>
      </c>
      <c r="O12" s="4" t="s">
        <v>6</v>
      </c>
      <c r="P12" s="8">
        <v>1</v>
      </c>
      <c r="Q12" s="8">
        <f t="shared" si="0"/>
        <v>10.55</v>
      </c>
      <c r="R12" s="9" t="s">
        <v>25</v>
      </c>
    </row>
    <row r="13" spans="1:18" ht="43.2" x14ac:dyDescent="0.3">
      <c r="A13" s="42"/>
      <c r="B13" s="10" t="s">
        <v>130</v>
      </c>
      <c r="C13" s="7" t="s">
        <v>202</v>
      </c>
      <c r="D13" s="10"/>
      <c r="E13" s="10"/>
      <c r="F13" s="4">
        <v>4</v>
      </c>
      <c r="G13" s="21" t="s">
        <v>72</v>
      </c>
      <c r="H13" s="7">
        <v>10</v>
      </c>
      <c r="I13" s="20">
        <f t="shared" si="1"/>
        <v>92.2</v>
      </c>
      <c r="J13" s="4" t="s">
        <v>129</v>
      </c>
      <c r="K13" s="4" t="s">
        <v>49</v>
      </c>
      <c r="L13" s="4" t="s">
        <v>14</v>
      </c>
      <c r="M13" s="4">
        <v>1</v>
      </c>
      <c r="N13" s="8">
        <v>9.2200000000000006</v>
      </c>
      <c r="O13" s="4" t="s">
        <v>6</v>
      </c>
      <c r="P13" s="8">
        <v>1</v>
      </c>
      <c r="Q13" s="8">
        <f t="shared" si="0"/>
        <v>9.2200000000000006</v>
      </c>
      <c r="R13" s="9" t="s">
        <v>15</v>
      </c>
    </row>
    <row r="14" spans="1:18" ht="28.8" x14ac:dyDescent="0.3">
      <c r="A14" s="43" t="s">
        <v>30</v>
      </c>
      <c r="B14" s="6" t="s">
        <v>77</v>
      </c>
      <c r="C14" s="7" t="s">
        <v>100</v>
      </c>
      <c r="D14" s="13"/>
      <c r="E14" s="13"/>
      <c r="F14" s="4" t="s">
        <v>76</v>
      </c>
      <c r="G14" s="12" t="s">
        <v>73</v>
      </c>
      <c r="H14" s="4" t="s">
        <v>128</v>
      </c>
      <c r="I14" s="20">
        <f t="shared" si="1"/>
        <v>0</v>
      </c>
      <c r="J14" s="4" t="s">
        <v>8</v>
      </c>
      <c r="K14" s="4" t="s">
        <v>93</v>
      </c>
      <c r="L14" s="4" t="s">
        <v>75</v>
      </c>
      <c r="M14" s="4">
        <f>10/(100*100)</f>
        <v>1E-3</v>
      </c>
      <c r="N14" s="8">
        <v>14.66</v>
      </c>
      <c r="O14" s="4" t="s">
        <v>6</v>
      </c>
      <c r="P14" s="8">
        <v>1</v>
      </c>
      <c r="Q14" s="8">
        <f t="shared" si="0"/>
        <v>1.4660000000000001E-2</v>
      </c>
      <c r="R14" s="14" t="s">
        <v>74</v>
      </c>
    </row>
    <row r="15" spans="1:18" ht="43.2" x14ac:dyDescent="0.3">
      <c r="A15" s="43"/>
      <c r="B15" s="6" t="s">
        <v>55</v>
      </c>
      <c r="C15" s="7" t="s">
        <v>54</v>
      </c>
      <c r="D15" s="13"/>
      <c r="E15" s="13"/>
      <c r="F15" s="4" t="s">
        <v>91</v>
      </c>
      <c r="G15" s="12" t="s">
        <v>73</v>
      </c>
      <c r="H15" s="4" t="s">
        <v>128</v>
      </c>
      <c r="I15" s="20">
        <f t="shared" si="1"/>
        <v>0</v>
      </c>
      <c r="J15" s="4" t="s">
        <v>8</v>
      </c>
      <c r="K15" s="4" t="s">
        <v>93</v>
      </c>
      <c r="L15" s="4" t="s">
        <v>56</v>
      </c>
      <c r="M15" s="4">
        <f>4/100</f>
        <v>0.04</v>
      </c>
      <c r="N15" s="8">
        <v>20.399999999999999</v>
      </c>
      <c r="O15" s="4" t="s">
        <v>6</v>
      </c>
      <c r="P15" s="8">
        <v>1</v>
      </c>
      <c r="Q15" s="8">
        <f t="shared" si="0"/>
        <v>0.81599999999999995</v>
      </c>
      <c r="R15" s="9" t="s">
        <v>57</v>
      </c>
    </row>
    <row r="16" spans="1:18" ht="28.8" x14ac:dyDescent="0.3">
      <c r="A16" s="43"/>
      <c r="B16" s="6" t="s">
        <v>157</v>
      </c>
      <c r="C16" s="4" t="s">
        <v>95</v>
      </c>
      <c r="D16" s="13"/>
      <c r="E16" s="13"/>
      <c r="F16" s="4">
        <v>30</v>
      </c>
      <c r="G16" s="28" t="s">
        <v>282</v>
      </c>
      <c r="H16" s="4">
        <v>10</v>
      </c>
      <c r="I16" s="20">
        <f t="shared" si="1"/>
        <v>0</v>
      </c>
      <c r="J16" s="4" t="s">
        <v>154</v>
      </c>
      <c r="K16" s="4" t="s">
        <v>118</v>
      </c>
      <c r="L16" s="4" t="s">
        <v>155</v>
      </c>
      <c r="M16" s="4">
        <v>1</v>
      </c>
      <c r="N16" s="8">
        <v>0.9</v>
      </c>
      <c r="O16" s="4" t="s">
        <v>6</v>
      </c>
      <c r="P16" s="8">
        <v>1</v>
      </c>
      <c r="Q16" s="8">
        <f t="shared" si="0"/>
        <v>0.9</v>
      </c>
      <c r="R16" s="14" t="s">
        <v>156</v>
      </c>
    </row>
    <row r="17" spans="1:18" ht="28.8" x14ac:dyDescent="0.3">
      <c r="A17" s="43"/>
      <c r="B17" s="6" t="s">
        <v>165</v>
      </c>
      <c r="C17" s="4" t="s">
        <v>96</v>
      </c>
      <c r="D17" s="13"/>
      <c r="E17" s="13"/>
      <c r="F17" s="4">
        <v>25</v>
      </c>
      <c r="G17" s="21" t="s">
        <v>72</v>
      </c>
      <c r="H17" s="7">
        <v>15</v>
      </c>
      <c r="I17" s="20">
        <f t="shared" si="1"/>
        <v>10.185</v>
      </c>
      <c r="J17" s="4" t="s">
        <v>162</v>
      </c>
      <c r="K17" s="4" t="s">
        <v>93</v>
      </c>
      <c r="L17" s="4" t="s">
        <v>163</v>
      </c>
      <c r="M17" s="4">
        <f>8/10</f>
        <v>0.8</v>
      </c>
      <c r="N17" s="8">
        <v>0.67900000000000005</v>
      </c>
      <c r="O17" s="4" t="s">
        <v>6</v>
      </c>
      <c r="P17" s="8">
        <v>1</v>
      </c>
      <c r="Q17" s="8">
        <f t="shared" si="0"/>
        <v>0.54320000000000002</v>
      </c>
      <c r="R17" s="9" t="s">
        <v>164</v>
      </c>
    </row>
    <row r="18" spans="1:18" ht="28.8" x14ac:dyDescent="0.3">
      <c r="A18" s="43"/>
      <c r="B18" s="6" t="s">
        <v>60</v>
      </c>
      <c r="C18" s="7" t="s">
        <v>41</v>
      </c>
      <c r="D18" s="13"/>
      <c r="E18" s="13"/>
      <c r="F18" s="4">
        <v>1</v>
      </c>
      <c r="G18" s="12" t="s">
        <v>73</v>
      </c>
      <c r="H18" s="4" t="s">
        <v>128</v>
      </c>
      <c r="I18" s="20">
        <f t="shared" si="1"/>
        <v>0</v>
      </c>
      <c r="J18" s="4" t="s">
        <v>8</v>
      </c>
      <c r="K18" s="4" t="s">
        <v>93</v>
      </c>
      <c r="L18" s="4" t="s">
        <v>61</v>
      </c>
      <c r="M18" s="4">
        <f>1/(10*100)</f>
        <v>1E-3</v>
      </c>
      <c r="N18" s="8">
        <v>1.583</v>
      </c>
      <c r="O18" s="4" t="s">
        <v>6</v>
      </c>
      <c r="P18" s="8">
        <v>1</v>
      </c>
      <c r="Q18" s="8">
        <f t="shared" si="0"/>
        <v>1.583E-3</v>
      </c>
      <c r="R18" s="14" t="s">
        <v>62</v>
      </c>
    </row>
    <row r="19" spans="1:18" ht="28.8" x14ac:dyDescent="0.3">
      <c r="A19" s="43"/>
      <c r="B19" s="6" t="s">
        <v>149</v>
      </c>
      <c r="C19" s="7" t="s">
        <v>44</v>
      </c>
      <c r="D19" s="13"/>
      <c r="E19" s="13"/>
      <c r="F19" s="4" t="s">
        <v>102</v>
      </c>
      <c r="G19" s="12" t="s">
        <v>73</v>
      </c>
      <c r="H19" s="4" t="s">
        <v>128</v>
      </c>
      <c r="I19" s="20">
        <f t="shared" si="1"/>
        <v>0</v>
      </c>
      <c r="J19" s="4" t="s">
        <v>148</v>
      </c>
      <c r="K19" s="4" t="s">
        <v>93</v>
      </c>
      <c r="L19" s="4" t="s">
        <v>147</v>
      </c>
      <c r="M19" s="4">
        <f>1/10</f>
        <v>0.1</v>
      </c>
      <c r="N19" s="8">
        <v>0.52</v>
      </c>
      <c r="O19" s="4" t="s">
        <v>6</v>
      </c>
      <c r="P19" s="8">
        <v>1</v>
      </c>
      <c r="Q19" s="8">
        <f t="shared" si="0"/>
        <v>5.2000000000000005E-2</v>
      </c>
      <c r="R19" s="9" t="s">
        <v>146</v>
      </c>
    </row>
    <row r="20" spans="1:18" ht="28.8" x14ac:dyDescent="0.3">
      <c r="A20" s="43"/>
      <c r="B20" s="6" t="s">
        <v>161</v>
      </c>
      <c r="C20" s="7" t="s">
        <v>45</v>
      </c>
      <c r="D20" s="13"/>
      <c r="E20" s="13"/>
      <c r="F20" s="4" t="s">
        <v>159</v>
      </c>
      <c r="G20" s="12" t="s">
        <v>73</v>
      </c>
      <c r="H20" s="4" t="s">
        <v>128</v>
      </c>
      <c r="I20" s="20">
        <f t="shared" si="1"/>
        <v>0</v>
      </c>
      <c r="J20" s="4" t="s">
        <v>148</v>
      </c>
      <c r="K20" s="4" t="s">
        <v>93</v>
      </c>
      <c r="L20" s="4" t="s">
        <v>160</v>
      </c>
      <c r="M20" s="4">
        <f>1/100</f>
        <v>0.01</v>
      </c>
      <c r="N20" s="8">
        <v>2.9</v>
      </c>
      <c r="O20" s="4" t="s">
        <v>6</v>
      </c>
      <c r="P20" s="8">
        <v>1</v>
      </c>
      <c r="Q20" s="8">
        <f t="shared" si="0"/>
        <v>2.8999999999999998E-2</v>
      </c>
      <c r="R20" s="9" t="s">
        <v>158</v>
      </c>
    </row>
    <row r="21" spans="1:18" x14ac:dyDescent="0.3">
      <c r="A21" s="43"/>
      <c r="B21" s="6" t="s">
        <v>190</v>
      </c>
      <c r="C21" s="7" t="s">
        <v>94</v>
      </c>
      <c r="D21" s="13"/>
      <c r="E21" s="13"/>
      <c r="F21" s="4">
        <v>1.5</v>
      </c>
      <c r="G21" s="12" t="s">
        <v>73</v>
      </c>
      <c r="H21" s="7" t="s">
        <v>128</v>
      </c>
      <c r="I21" s="20">
        <f t="shared" si="1"/>
        <v>0</v>
      </c>
      <c r="J21" s="4" t="s">
        <v>189</v>
      </c>
      <c r="K21" s="4" t="s">
        <v>21</v>
      </c>
      <c r="L21" s="4" t="s">
        <v>188</v>
      </c>
      <c r="M21" s="4">
        <v>0.05</v>
      </c>
      <c r="N21" s="8">
        <v>6.2</v>
      </c>
      <c r="O21" s="4" t="s">
        <v>6</v>
      </c>
      <c r="P21" s="8">
        <v>1</v>
      </c>
      <c r="Q21" s="8"/>
      <c r="R21" s="9" t="s">
        <v>187</v>
      </c>
    </row>
    <row r="22" spans="1:18" ht="28.8" x14ac:dyDescent="0.3">
      <c r="A22" s="42" t="s">
        <v>28</v>
      </c>
      <c r="B22" s="10" t="s">
        <v>20</v>
      </c>
      <c r="C22" s="7" t="s">
        <v>99</v>
      </c>
      <c r="D22" s="11"/>
      <c r="E22" s="11"/>
      <c r="F22" s="4">
        <v>70</v>
      </c>
      <c r="G22" s="12" t="s">
        <v>73</v>
      </c>
      <c r="H22" s="4" t="s">
        <v>128</v>
      </c>
      <c r="I22" s="20">
        <f t="shared" si="1"/>
        <v>0</v>
      </c>
      <c r="J22" s="4" t="s">
        <v>21</v>
      </c>
      <c r="K22" s="4" t="s">
        <v>21</v>
      </c>
      <c r="L22" s="4">
        <v>104329</v>
      </c>
      <c r="M22" s="4">
        <f>1/10</f>
        <v>0.1</v>
      </c>
      <c r="N22" s="8">
        <v>0.5</v>
      </c>
      <c r="O22" s="4" t="s">
        <v>6</v>
      </c>
      <c r="P22" s="8">
        <v>1</v>
      </c>
      <c r="Q22" s="8">
        <f t="shared" ref="Q22:Q30" si="2">M22*N22*P22</f>
        <v>0.05</v>
      </c>
      <c r="R22" s="9" t="s">
        <v>22</v>
      </c>
    </row>
    <row r="23" spans="1:18" ht="28.8" x14ac:dyDescent="0.3">
      <c r="A23" s="42"/>
      <c r="B23" s="10" t="s">
        <v>181</v>
      </c>
      <c r="C23" s="4" t="s">
        <v>104</v>
      </c>
      <c r="D23" s="11"/>
      <c r="E23" s="11"/>
      <c r="F23" s="4">
        <v>80</v>
      </c>
      <c r="G23" s="12" t="s">
        <v>73</v>
      </c>
      <c r="H23" s="4" t="s">
        <v>128</v>
      </c>
      <c r="I23" s="20">
        <f t="shared" si="1"/>
        <v>0</v>
      </c>
      <c r="J23" s="4" t="s">
        <v>170</v>
      </c>
      <c r="K23" s="4" t="s">
        <v>49</v>
      </c>
      <c r="L23" s="4" t="s">
        <v>33</v>
      </c>
      <c r="M23" s="4">
        <f>1/100</f>
        <v>0.01</v>
      </c>
      <c r="N23" s="8">
        <v>13.15</v>
      </c>
      <c r="O23" s="4" t="s">
        <v>6</v>
      </c>
      <c r="P23" s="8">
        <v>1</v>
      </c>
      <c r="Q23" s="8">
        <f t="shared" si="2"/>
        <v>0.13150000000000001</v>
      </c>
      <c r="R23" s="9" t="s">
        <v>32</v>
      </c>
    </row>
    <row r="24" spans="1:18" ht="28.8" x14ac:dyDescent="0.3">
      <c r="A24" s="42"/>
      <c r="B24" s="10" t="s">
        <v>167</v>
      </c>
      <c r="C24" s="7" t="s">
        <v>105</v>
      </c>
      <c r="D24" s="11"/>
      <c r="E24" s="11"/>
      <c r="F24" s="4">
        <v>20</v>
      </c>
      <c r="G24" s="21" t="s">
        <v>72</v>
      </c>
      <c r="H24" s="7">
        <v>100</v>
      </c>
      <c r="I24" s="20">
        <f t="shared" si="1"/>
        <v>46.699999999999996</v>
      </c>
      <c r="J24" s="4" t="s">
        <v>168</v>
      </c>
      <c r="K24" s="4" t="s">
        <v>93</v>
      </c>
      <c r="L24" s="4" t="s">
        <v>169</v>
      </c>
      <c r="M24" s="4">
        <v>6</v>
      </c>
      <c r="N24" s="8">
        <f>4.67/10</f>
        <v>0.46699999999999997</v>
      </c>
      <c r="O24" s="4" t="s">
        <v>6</v>
      </c>
      <c r="P24" s="8">
        <v>1</v>
      </c>
      <c r="Q24" s="8">
        <f t="shared" si="2"/>
        <v>2.8019999999999996</v>
      </c>
      <c r="R24" s="9" t="s">
        <v>166</v>
      </c>
    </row>
    <row r="25" spans="1:18" ht="28.8" x14ac:dyDescent="0.3">
      <c r="A25" s="42"/>
      <c r="B25" s="10" t="s">
        <v>290</v>
      </c>
      <c r="C25" s="7" t="s">
        <v>34</v>
      </c>
      <c r="D25" s="11"/>
      <c r="E25" s="11"/>
      <c r="F25" s="4" t="s">
        <v>107</v>
      </c>
      <c r="G25" s="28" t="s">
        <v>282</v>
      </c>
      <c r="H25" s="7">
        <v>1</v>
      </c>
      <c r="I25" s="20">
        <f t="shared" si="1"/>
        <v>0</v>
      </c>
      <c r="J25" s="4" t="s">
        <v>287</v>
      </c>
      <c r="K25" s="4" t="s">
        <v>49</v>
      </c>
      <c r="L25" s="4" t="s">
        <v>288</v>
      </c>
      <c r="M25" s="4">
        <f>6/100</f>
        <v>0.06</v>
      </c>
      <c r="N25" s="8">
        <v>13.72</v>
      </c>
      <c r="O25" s="4" t="s">
        <v>6</v>
      </c>
      <c r="P25" s="8">
        <v>1</v>
      </c>
      <c r="Q25" s="8">
        <f t="shared" si="2"/>
        <v>0.82320000000000004</v>
      </c>
      <c r="R25" s="22" t="s">
        <v>289</v>
      </c>
    </row>
    <row r="26" spans="1:18" ht="28.8" x14ac:dyDescent="0.3">
      <c r="A26" s="42"/>
      <c r="B26" s="10" t="s">
        <v>172</v>
      </c>
      <c r="C26" s="7" t="s">
        <v>98</v>
      </c>
      <c r="D26" s="11"/>
      <c r="E26" s="11"/>
      <c r="F26" s="4" t="s">
        <v>91</v>
      </c>
      <c r="G26" s="12" t="s">
        <v>73</v>
      </c>
      <c r="H26" s="4" t="s">
        <v>128</v>
      </c>
      <c r="I26" s="20">
        <f t="shared" si="1"/>
        <v>0</v>
      </c>
      <c r="J26" s="4" t="s">
        <v>173</v>
      </c>
      <c r="K26" s="4" t="s">
        <v>93</v>
      </c>
      <c r="L26" s="4" t="s">
        <v>174</v>
      </c>
      <c r="M26" s="4">
        <f>4/100</f>
        <v>0.04</v>
      </c>
      <c r="N26" s="8">
        <v>98</v>
      </c>
      <c r="O26" s="4" t="s">
        <v>6</v>
      </c>
      <c r="P26" s="8">
        <v>1</v>
      </c>
      <c r="Q26" s="8">
        <f t="shared" si="2"/>
        <v>3.92</v>
      </c>
      <c r="R26" s="14" t="s">
        <v>171</v>
      </c>
    </row>
    <row r="27" spans="1:18" ht="28.8" x14ac:dyDescent="0.3">
      <c r="A27" s="42"/>
      <c r="B27" s="10" t="s">
        <v>180</v>
      </c>
      <c r="C27" s="7" t="s">
        <v>43</v>
      </c>
      <c r="D27" s="11"/>
      <c r="E27" s="11"/>
      <c r="F27" s="4">
        <v>60</v>
      </c>
      <c r="G27" s="12" t="s">
        <v>73</v>
      </c>
      <c r="H27" s="4" t="s">
        <v>128</v>
      </c>
      <c r="I27" s="20">
        <f t="shared" si="1"/>
        <v>0</v>
      </c>
      <c r="J27" s="4" t="s">
        <v>8</v>
      </c>
      <c r="K27" s="4" t="s">
        <v>93</v>
      </c>
      <c r="L27" s="7" t="s">
        <v>179</v>
      </c>
      <c r="M27" s="4">
        <f>4/250</f>
        <v>1.6E-2</v>
      </c>
      <c r="N27" s="8">
        <v>6.84</v>
      </c>
      <c r="O27" s="4" t="s">
        <v>6</v>
      </c>
      <c r="P27" s="8">
        <v>1</v>
      </c>
      <c r="Q27" s="8">
        <f t="shared" si="2"/>
        <v>0.10944</v>
      </c>
      <c r="R27" s="14" t="s">
        <v>178</v>
      </c>
    </row>
    <row r="28" spans="1:18" x14ac:dyDescent="0.3">
      <c r="A28" s="42"/>
      <c r="B28" s="10" t="s">
        <v>192</v>
      </c>
      <c r="C28" s="4" t="s">
        <v>106</v>
      </c>
      <c r="D28" s="11"/>
      <c r="E28" s="11"/>
      <c r="F28" s="4">
        <v>22</v>
      </c>
      <c r="G28" s="12" t="s">
        <v>73</v>
      </c>
      <c r="H28" s="4" t="s">
        <v>128</v>
      </c>
      <c r="I28" s="20">
        <f t="shared" si="1"/>
        <v>0</v>
      </c>
      <c r="J28" s="4" t="s">
        <v>8</v>
      </c>
      <c r="K28" s="4" t="s">
        <v>93</v>
      </c>
      <c r="L28" s="4" t="s">
        <v>191</v>
      </c>
      <c r="M28" s="4">
        <f>2/50</f>
        <v>0.04</v>
      </c>
      <c r="N28" s="8">
        <v>7.64</v>
      </c>
      <c r="O28" s="4" t="s">
        <v>6</v>
      </c>
      <c r="P28" s="8">
        <v>1</v>
      </c>
      <c r="Q28" s="8">
        <f t="shared" si="2"/>
        <v>0.30559999999999998</v>
      </c>
      <c r="R28" s="9" t="s">
        <v>193</v>
      </c>
    </row>
    <row r="29" spans="1:18" x14ac:dyDescent="0.3">
      <c r="A29" s="42"/>
      <c r="B29" s="10" t="s">
        <v>197</v>
      </c>
      <c r="C29" s="4" t="s">
        <v>195</v>
      </c>
      <c r="D29" s="11"/>
      <c r="E29" s="11"/>
      <c r="F29" s="4">
        <v>8</v>
      </c>
      <c r="G29" s="28" t="s">
        <v>282</v>
      </c>
      <c r="H29" s="7">
        <v>1</v>
      </c>
      <c r="I29" s="20">
        <f t="shared" si="1"/>
        <v>0</v>
      </c>
      <c r="J29" s="4" t="s">
        <v>8</v>
      </c>
      <c r="K29" s="4" t="s">
        <v>93</v>
      </c>
      <c r="L29" s="7" t="s">
        <v>194</v>
      </c>
      <c r="M29" s="4">
        <f>2/50</f>
        <v>0.04</v>
      </c>
      <c r="N29" s="8">
        <v>5.0599999999999996</v>
      </c>
      <c r="O29" s="4" t="s">
        <v>6</v>
      </c>
      <c r="P29" s="8">
        <v>1</v>
      </c>
      <c r="Q29" s="8">
        <f t="shared" si="2"/>
        <v>0.2024</v>
      </c>
      <c r="R29" s="14" t="s">
        <v>196</v>
      </c>
    </row>
    <row r="30" spans="1:18" ht="28.8" x14ac:dyDescent="0.3">
      <c r="A30" s="42"/>
      <c r="B30" s="10" t="s">
        <v>201</v>
      </c>
      <c r="C30" s="7" t="s">
        <v>97</v>
      </c>
      <c r="D30" s="11"/>
      <c r="E30" s="11"/>
      <c r="F30" s="4">
        <v>8</v>
      </c>
      <c r="G30" s="21" t="s">
        <v>72</v>
      </c>
      <c r="H30" s="7">
        <v>1</v>
      </c>
      <c r="I30" s="20">
        <f t="shared" si="1"/>
        <v>10.63</v>
      </c>
      <c r="J30" s="4" t="s">
        <v>199</v>
      </c>
      <c r="K30" s="4" t="s">
        <v>49</v>
      </c>
      <c r="L30" s="4" t="s">
        <v>200</v>
      </c>
      <c r="M30" s="4">
        <f>2/200</f>
        <v>0.01</v>
      </c>
      <c r="N30" s="8">
        <v>10.63</v>
      </c>
      <c r="O30" s="4" t="s">
        <v>6</v>
      </c>
      <c r="P30" s="8">
        <v>1</v>
      </c>
      <c r="Q30" s="8">
        <f t="shared" si="2"/>
        <v>0.10630000000000001</v>
      </c>
      <c r="R30" s="14" t="s">
        <v>198</v>
      </c>
    </row>
    <row r="31" spans="1:18" ht="28.8" x14ac:dyDescent="0.3">
      <c r="A31" s="42"/>
      <c r="B31" s="10" t="s">
        <v>63</v>
      </c>
      <c r="C31" s="7" t="s">
        <v>66</v>
      </c>
      <c r="D31" s="11"/>
      <c r="E31" s="11"/>
      <c r="F31" s="4">
        <v>1</v>
      </c>
      <c r="G31" s="12" t="s">
        <v>73</v>
      </c>
      <c r="H31" s="4" t="s">
        <v>128</v>
      </c>
      <c r="I31" s="20">
        <f t="shared" si="1"/>
        <v>0</v>
      </c>
      <c r="J31" s="4" t="s">
        <v>67</v>
      </c>
      <c r="K31" s="4" t="s">
        <v>93</v>
      </c>
      <c r="L31" s="4" t="s">
        <v>68</v>
      </c>
      <c r="M31" s="4">
        <f>3/(5*100)</f>
        <v>6.0000000000000001E-3</v>
      </c>
      <c r="N31" s="8">
        <v>3.46</v>
      </c>
      <c r="O31" s="4" t="s">
        <v>6</v>
      </c>
      <c r="P31" s="8">
        <v>1</v>
      </c>
      <c r="Q31" s="8">
        <f t="shared" ref="Q31:Q39" si="3">M31*N31</f>
        <v>2.0760000000000001E-2</v>
      </c>
      <c r="R31" s="14" t="s">
        <v>69</v>
      </c>
    </row>
    <row r="32" spans="1:18" ht="28.8" x14ac:dyDescent="0.3">
      <c r="A32" s="42"/>
      <c r="B32" s="10" t="s">
        <v>65</v>
      </c>
      <c r="C32" s="7" t="s">
        <v>64</v>
      </c>
      <c r="D32" s="11"/>
      <c r="E32" s="11"/>
      <c r="F32" s="4">
        <v>1</v>
      </c>
      <c r="G32" s="12" t="s">
        <v>73</v>
      </c>
      <c r="H32" s="4" t="s">
        <v>128</v>
      </c>
      <c r="I32" s="20">
        <f t="shared" si="1"/>
        <v>0</v>
      </c>
      <c r="J32" s="4" t="s">
        <v>67</v>
      </c>
      <c r="K32" s="4" t="s">
        <v>93</v>
      </c>
      <c r="L32" s="7" t="s">
        <v>89</v>
      </c>
      <c r="M32" s="4">
        <f>3/(5*100)</f>
        <v>6.0000000000000001E-3</v>
      </c>
      <c r="N32" s="8">
        <v>4.79</v>
      </c>
      <c r="O32" s="4" t="s">
        <v>6</v>
      </c>
      <c r="P32" s="8">
        <v>1</v>
      </c>
      <c r="Q32" s="8">
        <f t="shared" si="3"/>
        <v>2.8740000000000002E-2</v>
      </c>
      <c r="R32" s="9" t="s">
        <v>90</v>
      </c>
    </row>
    <row r="33" spans="1:18" x14ac:dyDescent="0.3">
      <c r="A33" s="43" t="s">
        <v>29</v>
      </c>
      <c r="B33" s="6" t="s">
        <v>153</v>
      </c>
      <c r="C33" s="7" t="s">
        <v>103</v>
      </c>
      <c r="D33" s="13"/>
      <c r="E33" s="13"/>
      <c r="F33" s="4">
        <v>1</v>
      </c>
      <c r="G33" s="12" t="s">
        <v>73</v>
      </c>
      <c r="H33" s="4" t="s">
        <v>128</v>
      </c>
      <c r="I33" s="20">
        <f t="shared" si="1"/>
        <v>0</v>
      </c>
      <c r="J33" s="4" t="s">
        <v>152</v>
      </c>
      <c r="K33" s="4" t="s">
        <v>152</v>
      </c>
      <c r="L33" s="4" t="s">
        <v>151</v>
      </c>
      <c r="M33" s="4">
        <f>1/100</f>
        <v>0.01</v>
      </c>
      <c r="N33" s="8">
        <v>2</v>
      </c>
      <c r="O33" s="4" t="s">
        <v>6</v>
      </c>
      <c r="P33" s="8">
        <v>1</v>
      </c>
      <c r="Q33" s="8">
        <f t="shared" si="3"/>
        <v>0.02</v>
      </c>
      <c r="R33" s="9" t="s">
        <v>150</v>
      </c>
    </row>
    <row r="34" spans="1:18" x14ac:dyDescent="0.3">
      <c r="A34" s="43"/>
      <c r="B34" s="6" t="s">
        <v>115</v>
      </c>
      <c r="C34" s="7" t="s">
        <v>110</v>
      </c>
      <c r="D34" s="13"/>
      <c r="E34" s="13"/>
      <c r="F34" s="4">
        <v>30</v>
      </c>
      <c r="G34" s="12" t="s">
        <v>73</v>
      </c>
      <c r="H34" s="4" t="s">
        <v>128</v>
      </c>
      <c r="I34" s="20">
        <f t="shared" si="1"/>
        <v>0</v>
      </c>
      <c r="J34" s="4" t="s">
        <v>111</v>
      </c>
      <c r="K34" s="4" t="s">
        <v>112</v>
      </c>
      <c r="L34" s="4" t="s">
        <v>113</v>
      </c>
      <c r="M34" s="4">
        <v>2</v>
      </c>
      <c r="N34" s="8">
        <v>0.14799999999999999</v>
      </c>
      <c r="O34" s="4" t="s">
        <v>6</v>
      </c>
      <c r="P34" s="8">
        <v>1</v>
      </c>
      <c r="Q34" s="8">
        <f t="shared" si="3"/>
        <v>0.29599999999999999</v>
      </c>
      <c r="R34" s="9" t="s">
        <v>114</v>
      </c>
    </row>
    <row r="35" spans="1:18" ht="28.8" x14ac:dyDescent="0.3">
      <c r="A35" s="43"/>
      <c r="B35" s="6" t="s">
        <v>124</v>
      </c>
      <c r="C35" s="7" t="s">
        <v>122</v>
      </c>
      <c r="D35" s="13"/>
      <c r="E35" s="13"/>
      <c r="F35" s="4">
        <v>90</v>
      </c>
      <c r="G35" s="12" t="s">
        <v>73</v>
      </c>
      <c r="H35" s="4" t="s">
        <v>128</v>
      </c>
      <c r="I35" s="20">
        <f t="shared" si="1"/>
        <v>0</v>
      </c>
      <c r="J35" s="4" t="s">
        <v>80</v>
      </c>
      <c r="K35" s="4" t="s">
        <v>49</v>
      </c>
      <c r="L35" s="4" t="s">
        <v>125</v>
      </c>
      <c r="M35" s="4">
        <f>2/100</f>
        <v>0.02</v>
      </c>
      <c r="N35" s="8">
        <v>21</v>
      </c>
      <c r="O35" s="4" t="s">
        <v>6</v>
      </c>
      <c r="P35" s="8">
        <v>1</v>
      </c>
      <c r="Q35" s="8">
        <f t="shared" si="3"/>
        <v>0.42</v>
      </c>
      <c r="R35" s="15" t="s">
        <v>123</v>
      </c>
    </row>
    <row r="36" spans="1:18" ht="28.8" x14ac:dyDescent="0.3">
      <c r="A36" s="43"/>
      <c r="B36" s="6" t="s">
        <v>177</v>
      </c>
      <c r="C36" s="7" t="s">
        <v>7</v>
      </c>
      <c r="D36" s="13"/>
      <c r="E36" s="13"/>
      <c r="F36" s="4">
        <v>8</v>
      </c>
      <c r="G36" s="28" t="s">
        <v>282</v>
      </c>
      <c r="H36" s="7">
        <v>10</v>
      </c>
      <c r="I36" s="20">
        <f t="shared" si="1"/>
        <v>0</v>
      </c>
      <c r="J36" s="4" t="s">
        <v>8</v>
      </c>
      <c r="K36" s="4" t="s">
        <v>93</v>
      </c>
      <c r="L36" s="4" t="s">
        <v>175</v>
      </c>
      <c r="M36" s="4">
        <v>1</v>
      </c>
      <c r="N36" s="8">
        <v>3.6</v>
      </c>
      <c r="O36" s="4" t="s">
        <v>6</v>
      </c>
      <c r="P36" s="8">
        <v>1</v>
      </c>
      <c r="Q36" s="8">
        <f t="shared" si="3"/>
        <v>3.6</v>
      </c>
      <c r="R36" s="14" t="s">
        <v>176</v>
      </c>
    </row>
    <row r="37" spans="1:18" x14ac:dyDescent="0.3">
      <c r="A37" s="43"/>
      <c r="B37" s="6" t="s">
        <v>204</v>
      </c>
      <c r="C37" s="7" t="s">
        <v>203</v>
      </c>
      <c r="D37" s="13"/>
      <c r="E37" s="13"/>
      <c r="F37" s="4">
        <v>1</v>
      </c>
      <c r="G37" s="12" t="s">
        <v>73</v>
      </c>
      <c r="H37" s="4" t="s">
        <v>128</v>
      </c>
      <c r="I37" s="20">
        <f>IF(G37="YES",H37*N37,0)</f>
        <v>0</v>
      </c>
      <c r="J37" s="4" t="s">
        <v>205</v>
      </c>
      <c r="K37" s="4" t="s">
        <v>49</v>
      </c>
      <c r="L37" s="4" t="s">
        <v>206</v>
      </c>
      <c r="M37" s="4">
        <v>0</v>
      </c>
      <c r="N37" s="8">
        <v>29.38</v>
      </c>
      <c r="O37" s="4" t="s">
        <v>6</v>
      </c>
      <c r="P37" s="8">
        <v>1</v>
      </c>
      <c r="Q37" s="8">
        <f>M37*N37</f>
        <v>0</v>
      </c>
      <c r="R37" s="9" t="s">
        <v>207</v>
      </c>
    </row>
    <row r="38" spans="1:18" ht="28.8" x14ac:dyDescent="0.3">
      <c r="A38" s="43"/>
      <c r="B38" s="6" t="s">
        <v>257</v>
      </c>
      <c r="C38" s="4" t="s">
        <v>256</v>
      </c>
      <c r="D38" s="13"/>
      <c r="E38" s="13"/>
      <c r="F38" s="4">
        <v>0</v>
      </c>
      <c r="G38" s="21" t="s">
        <v>72</v>
      </c>
      <c r="H38" s="4">
        <v>1</v>
      </c>
      <c r="I38" s="20">
        <f>IF(G38="YES",H38*N38,0)</f>
        <v>193.15</v>
      </c>
      <c r="J38" s="4" t="s">
        <v>258</v>
      </c>
      <c r="K38" s="4" t="s">
        <v>93</v>
      </c>
      <c r="L38" s="4" t="s">
        <v>259</v>
      </c>
      <c r="M38" s="4">
        <v>0</v>
      </c>
      <c r="N38" s="4">
        <v>193.15</v>
      </c>
      <c r="O38" s="4" t="s">
        <v>6</v>
      </c>
      <c r="P38" s="8">
        <v>1</v>
      </c>
      <c r="Q38" s="8">
        <f>M38*N38</f>
        <v>0</v>
      </c>
      <c r="R38" s="4" t="s">
        <v>260</v>
      </c>
    </row>
    <row r="39" spans="1:18" x14ac:dyDescent="0.3">
      <c r="A39" s="44" t="s">
        <v>86</v>
      </c>
      <c r="B39" s="10" t="s">
        <v>210</v>
      </c>
      <c r="C39" s="7" t="s">
        <v>39</v>
      </c>
      <c r="D39" s="11"/>
      <c r="E39" s="11"/>
      <c r="F39" s="4">
        <v>1</v>
      </c>
      <c r="G39" s="12" t="s">
        <v>73</v>
      </c>
      <c r="H39" s="4" t="s">
        <v>128</v>
      </c>
      <c r="I39" s="20">
        <f t="shared" si="1"/>
        <v>0</v>
      </c>
      <c r="J39" s="4" t="s">
        <v>47</v>
      </c>
      <c r="K39" s="4" t="s">
        <v>93</v>
      </c>
      <c r="L39" s="4" t="s">
        <v>209</v>
      </c>
      <c r="M39" s="4">
        <v>0</v>
      </c>
      <c r="N39" s="8">
        <v>4650</v>
      </c>
      <c r="O39" s="4" t="s">
        <v>6</v>
      </c>
      <c r="P39" s="8">
        <v>1</v>
      </c>
      <c r="Q39" s="8">
        <f t="shared" si="3"/>
        <v>0</v>
      </c>
      <c r="R39" s="9" t="s">
        <v>208</v>
      </c>
    </row>
    <row r="40" spans="1:18" x14ac:dyDescent="0.3">
      <c r="A40" s="45"/>
      <c r="B40" s="10" t="s">
        <v>145</v>
      </c>
      <c r="C40" s="4" t="s">
        <v>84</v>
      </c>
      <c r="D40" s="11"/>
      <c r="E40" s="11"/>
      <c r="F40" s="4">
        <v>1</v>
      </c>
      <c r="G40" s="12" t="s">
        <v>73</v>
      </c>
      <c r="H40" s="4" t="s">
        <v>128</v>
      </c>
      <c r="I40" s="20">
        <f t="shared" si="1"/>
        <v>0</v>
      </c>
      <c r="J40" s="4" t="s">
        <v>144</v>
      </c>
      <c r="K40" s="4" t="s">
        <v>143</v>
      </c>
      <c r="L40" s="4">
        <v>3583323</v>
      </c>
      <c r="M40" s="4">
        <v>0</v>
      </c>
      <c r="N40" s="8">
        <v>3.23</v>
      </c>
      <c r="O40" s="4" t="s">
        <v>6</v>
      </c>
      <c r="P40" s="8">
        <v>1</v>
      </c>
      <c r="Q40" s="8">
        <f t="shared" ref="Q40:Q49" si="4">M40*N40</f>
        <v>0</v>
      </c>
      <c r="R40" s="9" t="s">
        <v>142</v>
      </c>
    </row>
    <row r="41" spans="1:18" x14ac:dyDescent="0.3">
      <c r="A41" s="45"/>
      <c r="B41" s="10" t="s">
        <v>213</v>
      </c>
      <c r="C41" s="7" t="s">
        <v>109</v>
      </c>
      <c r="D41" s="11"/>
      <c r="E41" s="11"/>
      <c r="F41" s="4">
        <v>1</v>
      </c>
      <c r="G41" s="12" t="s">
        <v>73</v>
      </c>
      <c r="H41" s="4" t="s">
        <v>128</v>
      </c>
      <c r="I41" s="20">
        <f t="shared" si="1"/>
        <v>0</v>
      </c>
      <c r="J41" s="4" t="s">
        <v>212</v>
      </c>
      <c r="K41" s="4" t="s">
        <v>93</v>
      </c>
      <c r="L41" s="4" t="s">
        <v>211</v>
      </c>
      <c r="M41" s="4">
        <v>0</v>
      </c>
      <c r="N41" s="8">
        <v>4.76</v>
      </c>
      <c r="O41" s="4" t="s">
        <v>6</v>
      </c>
      <c r="P41" s="8">
        <v>1</v>
      </c>
      <c r="Q41" s="8">
        <f t="shared" si="4"/>
        <v>0</v>
      </c>
      <c r="R41" s="9" t="s">
        <v>214</v>
      </c>
    </row>
    <row r="42" spans="1:18" ht="28.8" x14ac:dyDescent="0.3">
      <c r="A42" s="45"/>
      <c r="B42" s="10" t="s">
        <v>218</v>
      </c>
      <c r="C42" s="7" t="s">
        <v>53</v>
      </c>
      <c r="D42" s="11"/>
      <c r="E42" s="11"/>
      <c r="F42" s="4">
        <v>1</v>
      </c>
      <c r="G42" s="12" t="s">
        <v>73</v>
      </c>
      <c r="H42" s="4" t="s">
        <v>128</v>
      </c>
      <c r="I42" s="20">
        <f t="shared" si="1"/>
        <v>0</v>
      </c>
      <c r="J42" s="4" t="s">
        <v>215</v>
      </c>
      <c r="K42" s="4" t="s">
        <v>216</v>
      </c>
      <c r="L42" s="4">
        <v>10666182</v>
      </c>
      <c r="M42" s="4">
        <v>0</v>
      </c>
      <c r="N42" s="8">
        <v>68.5</v>
      </c>
      <c r="O42" s="4" t="s">
        <v>6</v>
      </c>
      <c r="P42" s="8">
        <v>1</v>
      </c>
      <c r="Q42" s="8">
        <f t="shared" si="4"/>
        <v>0</v>
      </c>
      <c r="R42" s="14" t="s">
        <v>217</v>
      </c>
    </row>
    <row r="43" spans="1:18" x14ac:dyDescent="0.3">
      <c r="A43" s="45"/>
      <c r="B43" s="10" t="s">
        <v>221</v>
      </c>
      <c r="C43" s="7" t="s">
        <v>88</v>
      </c>
      <c r="D43" s="11"/>
      <c r="E43" s="11"/>
      <c r="F43" s="4">
        <v>1</v>
      </c>
      <c r="G43" s="28" t="s">
        <v>282</v>
      </c>
      <c r="H43" s="7">
        <v>1</v>
      </c>
      <c r="I43" s="20">
        <f t="shared" si="1"/>
        <v>0</v>
      </c>
      <c r="J43" s="4" t="s">
        <v>8</v>
      </c>
      <c r="K43" s="4" t="s">
        <v>93</v>
      </c>
      <c r="L43" s="4" t="s">
        <v>219</v>
      </c>
      <c r="M43" s="4">
        <v>0</v>
      </c>
      <c r="N43" s="8">
        <v>15.49</v>
      </c>
      <c r="O43" s="4" t="s">
        <v>6</v>
      </c>
      <c r="P43" s="8">
        <v>1</v>
      </c>
      <c r="Q43" s="8">
        <f t="shared" si="4"/>
        <v>0</v>
      </c>
      <c r="R43" s="14" t="s">
        <v>220</v>
      </c>
    </row>
    <row r="44" spans="1:18" ht="28.8" x14ac:dyDescent="0.3">
      <c r="A44" s="45"/>
      <c r="B44" s="10" t="s">
        <v>224</v>
      </c>
      <c r="C44" s="7" t="s">
        <v>83</v>
      </c>
      <c r="D44" s="11"/>
      <c r="E44" s="11"/>
      <c r="F44" s="4">
        <v>2</v>
      </c>
      <c r="G44" s="12" t="s">
        <v>73</v>
      </c>
      <c r="H44" s="4" t="s">
        <v>128</v>
      </c>
      <c r="I44" s="20">
        <f t="shared" si="1"/>
        <v>0</v>
      </c>
      <c r="J44" s="4" t="s">
        <v>223</v>
      </c>
      <c r="K44" s="4" t="s">
        <v>49</v>
      </c>
      <c r="L44" s="4">
        <v>5118014001</v>
      </c>
      <c r="M44" s="4">
        <v>0</v>
      </c>
      <c r="N44" s="8">
        <v>4.8</v>
      </c>
      <c r="O44" s="4" t="s">
        <v>6</v>
      </c>
      <c r="P44" s="8">
        <v>1</v>
      </c>
      <c r="Q44" s="8">
        <f t="shared" si="4"/>
        <v>0</v>
      </c>
      <c r="R44" s="9" t="s">
        <v>222</v>
      </c>
    </row>
    <row r="45" spans="1:18" x14ac:dyDescent="0.3">
      <c r="A45" s="45"/>
      <c r="B45" s="10" t="s">
        <v>228</v>
      </c>
      <c r="C45" s="7" t="s">
        <v>37</v>
      </c>
      <c r="D45" s="11"/>
      <c r="E45" s="11"/>
      <c r="F45" s="4">
        <v>2</v>
      </c>
      <c r="G45" s="12" t="s">
        <v>73</v>
      </c>
      <c r="H45" s="4" t="s">
        <v>128</v>
      </c>
      <c r="I45" s="20">
        <f t="shared" si="1"/>
        <v>0</v>
      </c>
      <c r="J45" s="4" t="s">
        <v>226</v>
      </c>
      <c r="K45" s="4" t="s">
        <v>49</v>
      </c>
      <c r="L45" s="4" t="s">
        <v>227</v>
      </c>
      <c r="M45" s="4">
        <v>0</v>
      </c>
      <c r="N45" s="8">
        <v>5.6</v>
      </c>
      <c r="O45" s="4" t="s">
        <v>6</v>
      </c>
      <c r="P45" s="8">
        <v>1</v>
      </c>
      <c r="Q45" s="8">
        <f t="shared" si="4"/>
        <v>0</v>
      </c>
      <c r="R45" s="9" t="s">
        <v>225</v>
      </c>
    </row>
    <row r="46" spans="1:18" ht="28.8" x14ac:dyDescent="0.3">
      <c r="A46" s="45"/>
      <c r="B46" s="10" t="s">
        <v>231</v>
      </c>
      <c r="C46" s="7" t="s">
        <v>108</v>
      </c>
      <c r="D46" s="11"/>
      <c r="E46" s="11"/>
      <c r="F46" s="4">
        <v>1</v>
      </c>
      <c r="G46" s="12" t="s">
        <v>73</v>
      </c>
      <c r="H46" s="4" t="s">
        <v>128</v>
      </c>
      <c r="I46" s="20">
        <f t="shared" si="1"/>
        <v>0</v>
      </c>
      <c r="J46" s="4" t="s">
        <v>226</v>
      </c>
      <c r="K46" s="4" t="s">
        <v>49</v>
      </c>
      <c r="L46" s="4" t="s">
        <v>230</v>
      </c>
      <c r="M46" s="4">
        <v>0</v>
      </c>
      <c r="N46" s="8">
        <v>2.58</v>
      </c>
      <c r="O46" s="4" t="s">
        <v>6</v>
      </c>
      <c r="P46" s="8">
        <v>1</v>
      </c>
      <c r="Q46" s="8">
        <f t="shared" si="4"/>
        <v>0</v>
      </c>
      <c r="R46" s="9" t="s">
        <v>229</v>
      </c>
    </row>
    <row r="47" spans="1:18" ht="28.8" x14ac:dyDescent="0.3">
      <c r="A47" s="45"/>
      <c r="B47" s="10" t="s">
        <v>78</v>
      </c>
      <c r="C47" s="7" t="s">
        <v>36</v>
      </c>
      <c r="D47" s="11"/>
      <c r="E47" s="11"/>
      <c r="F47" s="4" t="s">
        <v>79</v>
      </c>
      <c r="G47" s="12" t="s">
        <v>73</v>
      </c>
      <c r="H47" s="4" t="s">
        <v>128</v>
      </c>
      <c r="I47" s="20">
        <f t="shared" si="1"/>
        <v>0</v>
      </c>
      <c r="J47" s="4" t="s">
        <v>80</v>
      </c>
      <c r="K47" s="4" t="s">
        <v>49</v>
      </c>
      <c r="L47" s="4" t="s">
        <v>81</v>
      </c>
      <c r="M47" s="4">
        <v>0</v>
      </c>
      <c r="N47" s="8">
        <v>43.33</v>
      </c>
      <c r="O47" s="4" t="s">
        <v>6</v>
      </c>
      <c r="P47" s="8">
        <v>1</v>
      </c>
      <c r="Q47" s="8">
        <f t="shared" si="4"/>
        <v>0</v>
      </c>
      <c r="R47" s="9" t="s">
        <v>82</v>
      </c>
    </row>
    <row r="48" spans="1:18" ht="28.8" x14ac:dyDescent="0.3">
      <c r="A48" s="45"/>
      <c r="B48" s="10" t="s">
        <v>186</v>
      </c>
      <c r="C48" s="7" t="s">
        <v>185</v>
      </c>
      <c r="D48" s="11"/>
      <c r="E48" s="11"/>
      <c r="F48" s="4">
        <v>2</v>
      </c>
      <c r="G48" s="12" t="s">
        <v>73</v>
      </c>
      <c r="H48" s="4" t="s">
        <v>128</v>
      </c>
      <c r="I48" s="20">
        <f t="shared" si="1"/>
        <v>0</v>
      </c>
      <c r="J48" s="4" t="s">
        <v>184</v>
      </c>
      <c r="K48" s="4" t="s">
        <v>49</v>
      </c>
      <c r="L48" s="4" t="s">
        <v>183</v>
      </c>
      <c r="M48" s="4">
        <v>0</v>
      </c>
      <c r="N48" s="8">
        <v>7.8</v>
      </c>
      <c r="O48" s="4" t="s">
        <v>6</v>
      </c>
      <c r="P48" s="8">
        <v>1</v>
      </c>
      <c r="Q48" s="8">
        <f t="shared" si="4"/>
        <v>0</v>
      </c>
      <c r="R48" s="9" t="s">
        <v>182</v>
      </c>
    </row>
    <row r="49" spans="1:18" ht="28.8" x14ac:dyDescent="0.3">
      <c r="A49" s="45"/>
      <c r="B49" s="10" t="s">
        <v>235</v>
      </c>
      <c r="C49" s="7" t="s">
        <v>38</v>
      </c>
      <c r="D49" s="11"/>
      <c r="E49" s="11"/>
      <c r="F49" s="4">
        <v>1</v>
      </c>
      <c r="G49" s="12" t="s">
        <v>73</v>
      </c>
      <c r="H49" s="4" t="s">
        <v>128</v>
      </c>
      <c r="I49" s="20">
        <f t="shared" si="1"/>
        <v>0</v>
      </c>
      <c r="J49" s="4" t="s">
        <v>233</v>
      </c>
      <c r="K49" s="4" t="s">
        <v>49</v>
      </c>
      <c r="L49" s="4" t="s">
        <v>234</v>
      </c>
      <c r="M49" s="4">
        <v>0</v>
      </c>
      <c r="N49" s="8">
        <v>456</v>
      </c>
      <c r="O49" s="4" t="s">
        <v>6</v>
      </c>
      <c r="P49" s="8">
        <v>1</v>
      </c>
      <c r="Q49" s="8">
        <f t="shared" si="4"/>
        <v>0</v>
      </c>
      <c r="R49" s="9" t="s">
        <v>232</v>
      </c>
    </row>
    <row r="50" spans="1:18" ht="28.8" x14ac:dyDescent="0.3">
      <c r="A50" s="45"/>
      <c r="B50" s="10" t="s">
        <v>243</v>
      </c>
      <c r="C50" s="7" t="s">
        <v>240</v>
      </c>
      <c r="D50" s="11"/>
      <c r="E50" s="11"/>
      <c r="F50" s="4">
        <v>0</v>
      </c>
      <c r="G50" s="12" t="s">
        <v>73</v>
      </c>
      <c r="H50" s="4">
        <v>0</v>
      </c>
      <c r="I50" s="20">
        <f t="shared" si="1"/>
        <v>0</v>
      </c>
      <c r="J50" s="4" t="s">
        <v>80</v>
      </c>
      <c r="K50" s="4" t="s">
        <v>49</v>
      </c>
      <c r="L50" s="4" t="s">
        <v>242</v>
      </c>
      <c r="M50" s="4">
        <v>0</v>
      </c>
      <c r="N50" s="8">
        <v>17.12</v>
      </c>
      <c r="O50" s="4" t="s">
        <v>6</v>
      </c>
      <c r="P50" s="8">
        <v>1</v>
      </c>
      <c r="Q50" s="8">
        <v>0</v>
      </c>
      <c r="R50" s="14" t="s">
        <v>241</v>
      </c>
    </row>
    <row r="51" spans="1:18" ht="28.8" x14ac:dyDescent="0.3">
      <c r="A51" s="45"/>
      <c r="B51" s="10" t="s">
        <v>271</v>
      </c>
      <c r="C51" s="7" t="s">
        <v>244</v>
      </c>
      <c r="D51" s="11"/>
      <c r="E51" s="11"/>
      <c r="F51" s="4">
        <v>0</v>
      </c>
      <c r="G51" s="28" t="s">
        <v>282</v>
      </c>
      <c r="H51" s="4">
        <v>1</v>
      </c>
      <c r="I51" s="20">
        <f t="shared" si="1"/>
        <v>0</v>
      </c>
      <c r="J51" s="4" t="s">
        <v>245</v>
      </c>
      <c r="K51" s="4" t="s">
        <v>49</v>
      </c>
      <c r="L51" s="4">
        <v>430024</v>
      </c>
      <c r="M51" s="4">
        <v>0</v>
      </c>
      <c r="N51" s="8">
        <v>11.56</v>
      </c>
      <c r="O51" s="4" t="s">
        <v>6</v>
      </c>
      <c r="P51" s="8">
        <v>1</v>
      </c>
      <c r="Q51" s="8">
        <f t="shared" ref="Q51:Q57" si="5">M51*N51</f>
        <v>0</v>
      </c>
      <c r="R51" s="23" t="s">
        <v>270</v>
      </c>
    </row>
    <row r="52" spans="1:18" x14ac:dyDescent="0.3">
      <c r="A52" s="45"/>
      <c r="B52" s="10" t="s">
        <v>236</v>
      </c>
      <c r="C52" s="7" t="s">
        <v>40</v>
      </c>
      <c r="D52" s="11"/>
      <c r="E52" s="11"/>
      <c r="F52" s="4">
        <v>1</v>
      </c>
      <c r="G52" s="12" t="s">
        <v>73</v>
      </c>
      <c r="H52" s="4" t="s">
        <v>128</v>
      </c>
      <c r="I52" s="20">
        <f t="shared" si="1"/>
        <v>0</v>
      </c>
      <c r="J52" s="4" t="s">
        <v>237</v>
      </c>
      <c r="K52" s="4" t="s">
        <v>49</v>
      </c>
      <c r="L52" s="4" t="s">
        <v>238</v>
      </c>
      <c r="M52" s="4">
        <v>0</v>
      </c>
      <c r="N52" s="8">
        <v>47.65</v>
      </c>
      <c r="O52" s="4" t="s">
        <v>6</v>
      </c>
      <c r="P52" s="8">
        <v>1</v>
      </c>
      <c r="Q52" s="8">
        <f t="shared" si="5"/>
        <v>0</v>
      </c>
      <c r="R52" s="9" t="s">
        <v>239</v>
      </c>
    </row>
    <row r="53" spans="1:18" ht="28.8" x14ac:dyDescent="0.3">
      <c r="A53" s="45"/>
      <c r="B53" s="10" t="s">
        <v>249</v>
      </c>
      <c r="C53" s="7" t="s">
        <v>85</v>
      </c>
      <c r="D53" s="11"/>
      <c r="E53" s="11"/>
      <c r="F53" s="4">
        <v>1</v>
      </c>
      <c r="G53" s="12" t="s">
        <v>73</v>
      </c>
      <c r="H53" s="4" t="s">
        <v>128</v>
      </c>
      <c r="I53" s="20">
        <f t="shared" si="1"/>
        <v>0</v>
      </c>
      <c r="J53" s="4" t="s">
        <v>226</v>
      </c>
      <c r="K53" s="4" t="s">
        <v>49</v>
      </c>
      <c r="L53" s="4" t="s">
        <v>248</v>
      </c>
      <c r="M53" s="4">
        <v>0</v>
      </c>
      <c r="N53" s="8">
        <v>4.45</v>
      </c>
      <c r="O53" s="4" t="s">
        <v>6</v>
      </c>
      <c r="P53" s="8">
        <v>1</v>
      </c>
      <c r="Q53" s="8">
        <f t="shared" si="5"/>
        <v>0</v>
      </c>
      <c r="R53" s="4" t="s">
        <v>247</v>
      </c>
    </row>
    <row r="54" spans="1:18" x14ac:dyDescent="0.3">
      <c r="A54" s="45"/>
      <c r="B54" s="10" t="s">
        <v>274</v>
      </c>
      <c r="C54" s="7" t="s">
        <v>87</v>
      </c>
      <c r="D54" s="11"/>
      <c r="E54" s="27"/>
      <c r="F54" s="4">
        <v>1</v>
      </c>
      <c r="G54" s="28" t="s">
        <v>282</v>
      </c>
      <c r="H54" s="4">
        <v>1</v>
      </c>
      <c r="I54" s="20">
        <f t="shared" si="1"/>
        <v>0</v>
      </c>
      <c r="J54" s="4" t="s">
        <v>226</v>
      </c>
      <c r="K54" s="4" t="s">
        <v>49</v>
      </c>
      <c r="L54" s="4" t="s">
        <v>272</v>
      </c>
      <c r="M54" s="4">
        <v>0</v>
      </c>
      <c r="N54" s="8">
        <v>5.94</v>
      </c>
      <c r="O54" s="4" t="s">
        <v>6</v>
      </c>
      <c r="P54" s="8">
        <v>1</v>
      </c>
      <c r="Q54" s="8">
        <f t="shared" si="5"/>
        <v>0</v>
      </c>
      <c r="R54" s="23" t="s">
        <v>273</v>
      </c>
    </row>
    <row r="55" spans="1:18" x14ac:dyDescent="0.3">
      <c r="A55" s="45"/>
      <c r="B55" s="10" t="s">
        <v>275</v>
      </c>
      <c r="C55" s="25" t="s">
        <v>276</v>
      </c>
      <c r="D55" s="11"/>
      <c r="E55" s="11"/>
      <c r="F55" s="26">
        <v>0</v>
      </c>
      <c r="G55" s="21" t="s">
        <v>72</v>
      </c>
      <c r="H55" s="4">
        <v>2</v>
      </c>
      <c r="I55" s="20">
        <f t="shared" si="1"/>
        <v>41.94</v>
      </c>
      <c r="J55" s="4" t="s">
        <v>199</v>
      </c>
      <c r="K55" s="4" t="s">
        <v>49</v>
      </c>
      <c r="L55" s="4">
        <v>2843448</v>
      </c>
      <c r="M55" s="4">
        <v>0</v>
      </c>
      <c r="N55" s="8">
        <v>20.97</v>
      </c>
      <c r="O55" s="4" t="s">
        <v>6</v>
      </c>
      <c r="P55" s="8">
        <v>1</v>
      </c>
      <c r="Q55" s="8">
        <f t="shared" si="5"/>
        <v>0</v>
      </c>
      <c r="R55" s="23" t="s">
        <v>277</v>
      </c>
    </row>
    <row r="56" spans="1:18" x14ac:dyDescent="0.3">
      <c r="A56" s="46"/>
      <c r="B56" s="10" t="s">
        <v>279</v>
      </c>
      <c r="C56" s="25" t="s">
        <v>280</v>
      </c>
      <c r="D56" s="11"/>
      <c r="E56" s="11"/>
      <c r="F56" s="26">
        <v>0</v>
      </c>
      <c r="G56" s="21" t="s">
        <v>72</v>
      </c>
      <c r="H56" s="4">
        <v>2</v>
      </c>
      <c r="I56" s="20">
        <f t="shared" si="1"/>
        <v>13.54</v>
      </c>
      <c r="J56" s="4" t="s">
        <v>278</v>
      </c>
      <c r="K56" s="4" t="s">
        <v>49</v>
      </c>
      <c r="L56" s="4">
        <v>73014150</v>
      </c>
      <c r="M56" s="4">
        <v>0</v>
      </c>
      <c r="N56" s="8">
        <v>6.77</v>
      </c>
      <c r="O56" s="4" t="s">
        <v>6</v>
      </c>
      <c r="P56" s="8">
        <v>1</v>
      </c>
      <c r="Q56" s="8">
        <f t="shared" si="5"/>
        <v>0</v>
      </c>
      <c r="R56" s="23" t="s">
        <v>281</v>
      </c>
    </row>
    <row r="57" spans="1:18" ht="28.8" x14ac:dyDescent="0.3">
      <c r="A57" s="24"/>
      <c r="B57" s="10" t="s">
        <v>285</v>
      </c>
      <c r="C57" s="25" t="s">
        <v>109</v>
      </c>
      <c r="D57" s="11"/>
      <c r="E57" s="11"/>
      <c r="F57" s="26">
        <v>0</v>
      </c>
      <c r="G57" s="21" t="s">
        <v>72</v>
      </c>
      <c r="H57" s="4">
        <v>1</v>
      </c>
      <c r="I57" s="20">
        <f t="shared" si="1"/>
        <v>21.25</v>
      </c>
      <c r="J57" s="4" t="s">
        <v>284</v>
      </c>
      <c r="K57" s="4" t="s">
        <v>93</v>
      </c>
      <c r="L57" s="4" t="s">
        <v>283</v>
      </c>
      <c r="M57" s="4">
        <v>0</v>
      </c>
      <c r="N57" s="8">
        <v>21.25</v>
      </c>
      <c r="O57" s="4" t="s">
        <v>6</v>
      </c>
      <c r="P57" s="8">
        <v>1</v>
      </c>
      <c r="Q57" s="8">
        <f t="shared" si="5"/>
        <v>0</v>
      </c>
      <c r="R57" s="23" t="s">
        <v>286</v>
      </c>
    </row>
    <row r="58" spans="1:18" x14ac:dyDescent="0.3">
      <c r="A58" s="16" t="s">
        <v>140</v>
      </c>
      <c r="B58" s="17">
        <f>SUM(Q2:Q53)</f>
        <v>104.768203</v>
      </c>
      <c r="C58" s="16" t="s">
        <v>250</v>
      </c>
      <c r="D58" s="40">
        <f>SUM(I2:I53)</f>
        <v>1047.1350000000002</v>
      </c>
      <c r="E58" s="41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9"/>
      <c r="R58" s="18"/>
    </row>
  </sheetData>
  <mergeCells count="6">
    <mergeCell ref="D58:E58"/>
    <mergeCell ref="A3:A13"/>
    <mergeCell ref="A14:A21"/>
    <mergeCell ref="A22:A32"/>
    <mergeCell ref="A33:A38"/>
    <mergeCell ref="A39:A56"/>
  </mergeCells>
  <hyperlinks>
    <hyperlink ref="R5" r:id="rId1" display="https://www.fruugo.co.uk/digital-load-cell-weight-sensor-4-sets-1kg-load-cell-hx711-ad-weighit-amplifier-module-pressure-sen/p-158471165-336116188?language=en&amp;ac=croud&amp;asc=pmax&amp;gclid=CjwKCAjw_uGmBhBREiwAeOfsd2Tte1J7DV2BnS36Kg06w9KA5tCizeWKm5fCU2_G8qSP8UY_3eaP3RoC95IQAvD_BwE" xr:uid="{E8A153C6-CBA3-47B1-9E64-D9DE3A2B9A99}"/>
    <hyperlink ref="R6" r:id="rId2" display="https://www.digikey.co.uk/en/products/detail/adafruit-industries-llc/4540/12323569?utm_adgroup=&amp;utm_source=google&amp;utm_medium=cpc&amp;utm_campaign=PMAX%20Shopping_Product_Higher%20Performing&amp;utm_term=&amp;productid=12323569&amp;gclid=Cj0KCQjwoeemBhCfARIsADR2QCvjQtq8xGB7zNIjsWEW115X1vtfFKRMJCEBZncin5CkRDHvQ6EQkaQaAmG1EALw_wcB" xr:uid="{98972B4E-E3A7-438B-B953-CBB2317CB60C}"/>
    <hyperlink ref="R7" r:id="rId3" xr:uid="{8865E837-704E-43DA-9598-8B2ECF6488B8}"/>
    <hyperlink ref="R51" r:id="rId4" xr:uid="{D56736B2-5AFE-4E6F-8EED-EFBE6A931A83}"/>
    <hyperlink ref="R54" r:id="rId5" display="https://uk.farnell.com/duratool/d03409/weighing-scale-compact-0-01g-500g/dp/3573556?gclid=CjwKCAjwxOymBhAFEiwAnodBLDdi6rUJ0KjttFhMKsMkw4ZxcYMkRQvy5e4TKvMsL7GNv1-HlGXrmxoCBSEQAvD_BwE&amp;mckv=_dc|pcrid||plid||kword||match||slid||product|3573556|pgrid||ptaid||&amp;CMP=KNC-GUK-GEN-SHOPPING-PMAX-PrivateLabel-Test990&amp;gross_price=true" xr:uid="{95C7149C-2DDC-43FC-A097-54F1B4D6D103}"/>
    <hyperlink ref="R55" r:id="rId6" display="https://uk.farnell.com/pro-signal/u3-10hub/usb-3-0-hub-10-port/dp/2843448?gclid=Cj0KCQjwrfymBhCTARIsADXTabnUyyCA0Q7m03It5AoFMssxCoh6nXXbdo9R3ZKoI-JBPAR5ywICiBgaAoUjEALw_wcB&amp;mckv=_dc|pcrid||plid||kword||match||slid||product|2843448|pgrid||ptaid||&amp;CMP=KNC-GUK-GEN-SHOPPING-PMAX-PrivateLabel-Test990&amp;gross_price=true" xr:uid="{7E7452D8-4425-4BBF-BFC1-97EE2D4CE27E}"/>
    <hyperlink ref="R56" r:id="rId7" xr:uid="{9EB9272C-93DB-4391-A62C-27D883267828}"/>
    <hyperlink ref="R57" r:id="rId8" xr:uid="{DA1CDDC2-EFC2-4E33-9278-6C1F78A328B8}"/>
    <hyperlink ref="R25" r:id="rId9" xr:uid="{F2BB4A2C-BB16-414E-A034-5D3FCCBFFDF2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4C10-CCD0-40A5-B185-C9790922D22E}">
  <dimension ref="A1:M61"/>
  <sheetViews>
    <sheetView tabSelected="1" zoomScale="55" zoomScaleNormal="55" workbookViewId="0">
      <pane ySplit="1" topLeftCell="A2" activePane="bottomLeft" state="frozen"/>
      <selection pane="bottomLeft" activeCell="O33" sqref="O33"/>
    </sheetView>
  </sheetViews>
  <sheetFormatPr defaultColWidth="8.77734375" defaultRowHeight="14.4" x14ac:dyDescent="0.3"/>
  <cols>
    <col min="1" max="1" width="35.44140625" style="4" customWidth="1"/>
    <col min="2" max="2" width="59" style="7" customWidth="1"/>
    <col min="3" max="3" width="44.44140625" style="7" customWidth="1"/>
    <col min="4" max="4" width="19.77734375" style="4" customWidth="1"/>
    <col min="5" max="5" width="18.33203125" style="4" customWidth="1"/>
    <col min="6" max="6" width="21.77734375" style="4" customWidth="1"/>
    <col min="7" max="7" width="25.77734375" style="4" customWidth="1"/>
    <col min="8" max="8" width="31" style="4" customWidth="1"/>
    <col min="9" max="9" width="12.44140625" style="4" customWidth="1"/>
    <col min="10" max="10" width="18.77734375" style="4" customWidth="1"/>
    <col min="11" max="11" width="20" style="4" customWidth="1"/>
    <col min="12" max="12" width="37.21875" style="4" customWidth="1"/>
    <col min="13" max="16384" width="8.77734375" style="4"/>
  </cols>
  <sheetData>
    <row r="1" spans="1:13" x14ac:dyDescent="0.3">
      <c r="A1" s="1" t="s">
        <v>26</v>
      </c>
      <c r="B1" s="2" t="s">
        <v>0</v>
      </c>
      <c r="C1" s="2" t="s">
        <v>1</v>
      </c>
      <c r="D1" s="1" t="s">
        <v>2</v>
      </c>
      <c r="E1" s="1" t="s">
        <v>48</v>
      </c>
      <c r="F1" s="1" t="s">
        <v>293</v>
      </c>
      <c r="G1" s="1" t="s">
        <v>295</v>
      </c>
      <c r="H1" s="1" t="s">
        <v>294</v>
      </c>
      <c r="I1" s="1" t="s">
        <v>4</v>
      </c>
      <c r="J1" s="1" t="s">
        <v>126</v>
      </c>
      <c r="K1" s="1" t="s">
        <v>306</v>
      </c>
      <c r="L1" s="3" t="s">
        <v>5</v>
      </c>
      <c r="M1" s="4" t="s">
        <v>302</v>
      </c>
    </row>
    <row r="2" spans="1:13" x14ac:dyDescent="0.3">
      <c r="A2" s="50" t="s">
        <v>27</v>
      </c>
      <c r="B2" s="6" t="s">
        <v>51</v>
      </c>
      <c r="C2" s="6" t="s">
        <v>46</v>
      </c>
      <c r="D2" s="13" t="s">
        <v>47</v>
      </c>
      <c r="E2" s="13" t="s">
        <v>49</v>
      </c>
      <c r="F2" s="13">
        <v>1621</v>
      </c>
      <c r="G2" s="13">
        <f>274/750</f>
        <v>0.36533333333333334</v>
      </c>
      <c r="H2" s="30">
        <v>44.47</v>
      </c>
      <c r="I2" s="13" t="s">
        <v>6</v>
      </c>
      <c r="J2" s="30">
        <v>1</v>
      </c>
      <c r="K2" s="30">
        <f t="shared" ref="K2:K21" si="0">G2*H2*J2</f>
        <v>16.246373333333334</v>
      </c>
      <c r="L2" s="32" t="s">
        <v>52</v>
      </c>
      <c r="M2" s="12" t="s">
        <v>302</v>
      </c>
    </row>
    <row r="3" spans="1:13" x14ac:dyDescent="0.3">
      <c r="A3" s="51"/>
      <c r="B3" s="6" t="s">
        <v>307</v>
      </c>
      <c r="C3" s="6" t="s">
        <v>308</v>
      </c>
      <c r="D3" s="13" t="s">
        <v>47</v>
      </c>
      <c r="E3" s="13" t="s">
        <v>49</v>
      </c>
      <c r="F3" s="13">
        <v>9731</v>
      </c>
      <c r="G3" s="30">
        <f>50/750</f>
        <v>6.6666666666666666E-2</v>
      </c>
      <c r="H3" s="30">
        <v>85.58</v>
      </c>
      <c r="I3" s="13" t="s">
        <v>6</v>
      </c>
      <c r="J3" s="30">
        <v>1</v>
      </c>
      <c r="K3" s="30">
        <f t="shared" si="0"/>
        <v>5.7053333333333329</v>
      </c>
      <c r="L3" s="32" t="s">
        <v>309</v>
      </c>
      <c r="M3" s="12" t="s">
        <v>302</v>
      </c>
    </row>
    <row r="4" spans="1:13" x14ac:dyDescent="0.3">
      <c r="A4" s="42" t="s">
        <v>31</v>
      </c>
      <c r="B4" s="10" t="s">
        <v>9</v>
      </c>
      <c r="C4" s="10" t="s">
        <v>9</v>
      </c>
      <c r="D4" s="11" t="s">
        <v>92</v>
      </c>
      <c r="E4" s="11" t="s">
        <v>118</v>
      </c>
      <c r="F4" s="11" t="s">
        <v>10</v>
      </c>
      <c r="G4" s="11">
        <v>1</v>
      </c>
      <c r="H4" s="34">
        <v>29.77</v>
      </c>
      <c r="I4" s="11" t="s">
        <v>11</v>
      </c>
      <c r="J4" s="34">
        <v>0.86</v>
      </c>
      <c r="K4" s="34">
        <f t="shared" si="0"/>
        <v>25.6022</v>
      </c>
      <c r="L4" s="35" t="s">
        <v>291</v>
      </c>
      <c r="M4" s="4" t="s">
        <v>302</v>
      </c>
    </row>
    <row r="5" spans="1:13" x14ac:dyDescent="0.3">
      <c r="A5" s="42"/>
      <c r="B5" s="10" t="s">
        <v>12</v>
      </c>
      <c r="C5" s="10" t="s">
        <v>12</v>
      </c>
      <c r="D5" s="11" t="s">
        <v>92</v>
      </c>
      <c r="E5" s="11" t="s">
        <v>118</v>
      </c>
      <c r="F5" s="11" t="s">
        <v>13</v>
      </c>
      <c r="G5" s="11">
        <v>1</v>
      </c>
      <c r="H5" s="34">
        <v>18.05</v>
      </c>
      <c r="I5" s="11" t="s">
        <v>11</v>
      </c>
      <c r="J5" s="34">
        <v>0.86</v>
      </c>
      <c r="K5" s="34">
        <f t="shared" si="0"/>
        <v>15.523</v>
      </c>
      <c r="L5" s="35" t="s">
        <v>292</v>
      </c>
      <c r="M5" s="4" t="s">
        <v>302</v>
      </c>
    </row>
    <row r="6" spans="1:13" ht="28.8" x14ac:dyDescent="0.3">
      <c r="A6" s="42"/>
      <c r="B6" s="10" t="s">
        <v>255</v>
      </c>
      <c r="C6" s="10" t="s">
        <v>35</v>
      </c>
      <c r="D6" s="11" t="s">
        <v>246</v>
      </c>
      <c r="E6" s="11" t="s">
        <v>254</v>
      </c>
      <c r="F6" s="11" t="s">
        <v>253</v>
      </c>
      <c r="G6" s="11">
        <f>1/4</f>
        <v>0.25</v>
      </c>
      <c r="H6" s="34">
        <v>11.95</v>
      </c>
      <c r="I6" s="11" t="s">
        <v>6</v>
      </c>
      <c r="J6" s="34">
        <v>1</v>
      </c>
      <c r="K6" s="34">
        <f>G6*H6*J6</f>
        <v>2.9874999999999998</v>
      </c>
      <c r="L6" s="37" t="s">
        <v>252</v>
      </c>
      <c r="M6" s="4" t="s">
        <v>302</v>
      </c>
    </row>
    <row r="7" spans="1:13" x14ac:dyDescent="0.3">
      <c r="A7" s="42"/>
      <c r="B7" s="10" t="s">
        <v>266</v>
      </c>
      <c r="C7" s="10" t="s">
        <v>261</v>
      </c>
      <c r="D7" s="11" t="s">
        <v>265</v>
      </c>
      <c r="E7" s="11" t="s">
        <v>264</v>
      </c>
      <c r="F7" s="11">
        <v>4540</v>
      </c>
      <c r="G7" s="11">
        <v>1</v>
      </c>
      <c r="H7" s="34">
        <v>3.06</v>
      </c>
      <c r="I7" s="11" t="s">
        <v>6</v>
      </c>
      <c r="J7" s="34">
        <v>1</v>
      </c>
      <c r="K7" s="34">
        <f>G7*H7*J7</f>
        <v>3.06</v>
      </c>
      <c r="L7" s="37" t="s">
        <v>263</v>
      </c>
      <c r="M7" s="4" t="s">
        <v>302</v>
      </c>
    </row>
    <row r="8" spans="1:13" x14ac:dyDescent="0.3">
      <c r="A8" s="42"/>
      <c r="B8" s="10" t="s">
        <v>269</v>
      </c>
      <c r="C8" s="10" t="s">
        <v>262</v>
      </c>
      <c r="D8" s="11" t="s">
        <v>268</v>
      </c>
      <c r="E8" s="11" t="s">
        <v>268</v>
      </c>
      <c r="F8" s="11">
        <v>126663068</v>
      </c>
      <c r="G8" s="11">
        <v>1</v>
      </c>
      <c r="H8" s="34">
        <v>5.07</v>
      </c>
      <c r="I8" s="11" t="s">
        <v>6</v>
      </c>
      <c r="J8" s="34">
        <v>1</v>
      </c>
      <c r="K8" s="34">
        <f>G8*H8*J8</f>
        <v>5.07</v>
      </c>
      <c r="L8" s="37" t="s">
        <v>267</v>
      </c>
      <c r="M8" s="4" t="s">
        <v>302</v>
      </c>
    </row>
    <row r="9" spans="1:13" x14ac:dyDescent="0.3">
      <c r="A9" s="42"/>
      <c r="B9" s="10" t="s">
        <v>121</v>
      </c>
      <c r="C9" s="11" t="s">
        <v>116</v>
      </c>
      <c r="D9" s="11" t="s">
        <v>117</v>
      </c>
      <c r="E9" s="11" t="s">
        <v>118</v>
      </c>
      <c r="F9" s="10" t="s">
        <v>120</v>
      </c>
      <c r="G9" s="11">
        <v>1</v>
      </c>
      <c r="H9" s="34">
        <v>1.45</v>
      </c>
      <c r="I9" s="11" t="s">
        <v>6</v>
      </c>
      <c r="J9" s="34">
        <v>1</v>
      </c>
      <c r="K9" s="34">
        <f>G9*H9*J9</f>
        <v>1.45</v>
      </c>
      <c r="L9" s="37" t="s">
        <v>119</v>
      </c>
      <c r="M9" s="4" t="s">
        <v>302</v>
      </c>
    </row>
    <row r="10" spans="1:13" x14ac:dyDescent="0.3">
      <c r="A10" s="42"/>
      <c r="B10" s="10" t="s">
        <v>134</v>
      </c>
      <c r="C10" s="10" t="s">
        <v>42</v>
      </c>
      <c r="D10" s="11" t="s">
        <v>133</v>
      </c>
      <c r="E10" s="11" t="s">
        <v>49</v>
      </c>
      <c r="F10" s="11" t="s">
        <v>136</v>
      </c>
      <c r="G10" s="11">
        <v>1</v>
      </c>
      <c r="H10" s="34">
        <v>1.64</v>
      </c>
      <c r="I10" s="11" t="s">
        <v>6</v>
      </c>
      <c r="J10" s="34">
        <v>1</v>
      </c>
      <c r="K10" s="34">
        <f t="shared" si="0"/>
        <v>1.64</v>
      </c>
      <c r="L10" s="35" t="s">
        <v>135</v>
      </c>
      <c r="M10" s="4" t="s">
        <v>302</v>
      </c>
    </row>
    <row r="11" spans="1:13" x14ac:dyDescent="0.3">
      <c r="A11" s="42"/>
      <c r="B11" s="10" t="s">
        <v>139</v>
      </c>
      <c r="C11" s="10" t="s">
        <v>132</v>
      </c>
      <c r="D11" s="11" t="s">
        <v>8</v>
      </c>
      <c r="E11" s="11" t="s">
        <v>93</v>
      </c>
      <c r="F11" s="11" t="s">
        <v>137</v>
      </c>
      <c r="G11" s="11">
        <f>1/20</f>
        <v>0.05</v>
      </c>
      <c r="H11" s="34">
        <v>1.4</v>
      </c>
      <c r="I11" s="11" t="s">
        <v>6</v>
      </c>
      <c r="J11" s="34">
        <v>1</v>
      </c>
      <c r="K11" s="34">
        <f t="shared" si="0"/>
        <v>6.9999999999999993E-2</v>
      </c>
      <c r="L11" s="35" t="s">
        <v>138</v>
      </c>
      <c r="M11" s="4" t="s">
        <v>302</v>
      </c>
    </row>
    <row r="12" spans="1:13" x14ac:dyDescent="0.3">
      <c r="A12" s="42"/>
      <c r="B12" s="10" t="s">
        <v>16</v>
      </c>
      <c r="C12" s="10" t="s">
        <v>17</v>
      </c>
      <c r="D12" s="11" t="s">
        <v>131</v>
      </c>
      <c r="E12" s="11" t="s">
        <v>49</v>
      </c>
      <c r="F12" s="11" t="s">
        <v>18</v>
      </c>
      <c r="G12" s="11">
        <v>2</v>
      </c>
      <c r="H12" s="34">
        <v>0.62</v>
      </c>
      <c r="I12" s="11" t="s">
        <v>6</v>
      </c>
      <c r="J12" s="34">
        <v>1</v>
      </c>
      <c r="K12" s="34">
        <f t="shared" si="0"/>
        <v>1.24</v>
      </c>
      <c r="L12" s="37" t="s">
        <v>19</v>
      </c>
      <c r="M12" s="4" t="s">
        <v>302</v>
      </c>
    </row>
    <row r="13" spans="1:13" x14ac:dyDescent="0.3">
      <c r="A13" s="42"/>
      <c r="B13" s="10" t="s">
        <v>23</v>
      </c>
      <c r="C13" s="10" t="s">
        <v>101</v>
      </c>
      <c r="D13" s="11" t="s">
        <v>8</v>
      </c>
      <c r="E13" s="11" t="s">
        <v>93</v>
      </c>
      <c r="F13" s="11" t="s">
        <v>24</v>
      </c>
      <c r="G13" s="11">
        <v>1</v>
      </c>
      <c r="H13" s="34">
        <v>10.55</v>
      </c>
      <c r="I13" s="11" t="s">
        <v>6</v>
      </c>
      <c r="J13" s="34">
        <v>1</v>
      </c>
      <c r="K13" s="34">
        <f t="shared" si="0"/>
        <v>10.55</v>
      </c>
      <c r="L13" s="35" t="s">
        <v>25</v>
      </c>
      <c r="M13" s="4" t="s">
        <v>302</v>
      </c>
    </row>
    <row r="14" spans="1:13" ht="28.8" x14ac:dyDescent="0.3">
      <c r="A14" s="42"/>
      <c r="B14" s="10" t="s">
        <v>130</v>
      </c>
      <c r="C14" s="10" t="s">
        <v>202</v>
      </c>
      <c r="D14" s="11" t="s">
        <v>129</v>
      </c>
      <c r="E14" s="11" t="s">
        <v>49</v>
      </c>
      <c r="F14" s="11" t="s">
        <v>14</v>
      </c>
      <c r="G14" s="11">
        <v>1</v>
      </c>
      <c r="H14" s="34">
        <v>9.2200000000000006</v>
      </c>
      <c r="I14" s="11" t="s">
        <v>6</v>
      </c>
      <c r="J14" s="34">
        <v>1</v>
      </c>
      <c r="K14" s="34">
        <f t="shared" si="0"/>
        <v>9.2200000000000006</v>
      </c>
      <c r="L14" s="37" t="s">
        <v>15</v>
      </c>
      <c r="M14" s="4" t="s">
        <v>302</v>
      </c>
    </row>
    <row r="15" spans="1:13" ht="28.8" x14ac:dyDescent="0.3">
      <c r="A15" s="43" t="s">
        <v>30</v>
      </c>
      <c r="B15" s="6" t="s">
        <v>77</v>
      </c>
      <c r="C15" s="6" t="s">
        <v>100</v>
      </c>
      <c r="D15" s="13" t="s">
        <v>8</v>
      </c>
      <c r="E15" s="13" t="s">
        <v>93</v>
      </c>
      <c r="F15" s="13" t="s">
        <v>75</v>
      </c>
      <c r="G15" s="13">
        <f>10/(100*100)</f>
        <v>1E-3</v>
      </c>
      <c r="H15" s="30">
        <v>14.66</v>
      </c>
      <c r="I15" s="13" t="s">
        <v>6</v>
      </c>
      <c r="J15" s="30">
        <v>1</v>
      </c>
      <c r="K15" s="30">
        <f t="shared" si="0"/>
        <v>1.4660000000000001E-2</v>
      </c>
      <c r="L15" s="32" t="s">
        <v>74</v>
      </c>
      <c r="M15" s="4" t="s">
        <v>302</v>
      </c>
    </row>
    <row r="16" spans="1:13" ht="28.8" x14ac:dyDescent="0.3">
      <c r="A16" s="43"/>
      <c r="B16" s="6" t="s">
        <v>55</v>
      </c>
      <c r="C16" s="6" t="s">
        <v>303</v>
      </c>
      <c r="D16" s="13" t="s">
        <v>8</v>
      </c>
      <c r="E16" s="13" t="s">
        <v>93</v>
      </c>
      <c r="F16" s="13" t="s">
        <v>56</v>
      </c>
      <c r="G16" s="13">
        <f>4/100</f>
        <v>0.04</v>
      </c>
      <c r="H16" s="30">
        <v>20.399999999999999</v>
      </c>
      <c r="I16" s="13" t="s">
        <v>6</v>
      </c>
      <c r="J16" s="30">
        <v>1</v>
      </c>
      <c r="K16" s="30">
        <f t="shared" si="0"/>
        <v>0.81599999999999995</v>
      </c>
      <c r="L16" s="32" t="s">
        <v>57</v>
      </c>
      <c r="M16" s="4" t="s">
        <v>302</v>
      </c>
    </row>
    <row r="17" spans="1:13" x14ac:dyDescent="0.3">
      <c r="A17" s="43"/>
      <c r="B17" s="6" t="s">
        <v>157</v>
      </c>
      <c r="C17" s="13" t="s">
        <v>95</v>
      </c>
      <c r="D17" s="13" t="s">
        <v>154</v>
      </c>
      <c r="E17" s="13" t="s">
        <v>118</v>
      </c>
      <c r="F17" s="13" t="s">
        <v>155</v>
      </c>
      <c r="G17" s="13">
        <v>1</v>
      </c>
      <c r="H17" s="30">
        <v>0.9</v>
      </c>
      <c r="I17" s="13" t="s">
        <v>6</v>
      </c>
      <c r="J17" s="30">
        <v>1</v>
      </c>
      <c r="K17" s="30">
        <f t="shared" si="0"/>
        <v>0.9</v>
      </c>
      <c r="L17" s="32" t="s">
        <v>156</v>
      </c>
      <c r="M17" s="4" t="s">
        <v>302</v>
      </c>
    </row>
    <row r="18" spans="1:13" x14ac:dyDescent="0.3">
      <c r="A18" s="43"/>
      <c r="B18" s="6" t="s">
        <v>165</v>
      </c>
      <c r="C18" s="13" t="s">
        <v>96</v>
      </c>
      <c r="D18" s="13" t="s">
        <v>162</v>
      </c>
      <c r="E18" s="13" t="s">
        <v>93</v>
      </c>
      <c r="F18" s="13" t="s">
        <v>163</v>
      </c>
      <c r="G18" s="13">
        <f>8/10</f>
        <v>0.8</v>
      </c>
      <c r="H18" s="30">
        <v>0.67900000000000005</v>
      </c>
      <c r="I18" s="13" t="s">
        <v>6</v>
      </c>
      <c r="J18" s="30">
        <v>1</v>
      </c>
      <c r="K18" s="30">
        <f t="shared" si="0"/>
        <v>0.54320000000000002</v>
      </c>
      <c r="L18" s="32" t="s">
        <v>164</v>
      </c>
      <c r="M18" s="4" t="s">
        <v>302</v>
      </c>
    </row>
    <row r="19" spans="1:13" ht="28.8" x14ac:dyDescent="0.3">
      <c r="A19" s="43"/>
      <c r="B19" s="6" t="s">
        <v>60</v>
      </c>
      <c r="C19" s="6" t="s">
        <v>41</v>
      </c>
      <c r="D19" s="13" t="s">
        <v>8</v>
      </c>
      <c r="E19" s="13" t="s">
        <v>93</v>
      </c>
      <c r="F19" s="13" t="s">
        <v>61</v>
      </c>
      <c r="G19" s="13">
        <f>1/(10*100)</f>
        <v>1E-3</v>
      </c>
      <c r="H19" s="30">
        <v>1.583</v>
      </c>
      <c r="I19" s="13" t="s">
        <v>6</v>
      </c>
      <c r="J19" s="30">
        <v>1</v>
      </c>
      <c r="K19" s="30">
        <f t="shared" si="0"/>
        <v>1.583E-3</v>
      </c>
      <c r="L19" s="32" t="s">
        <v>62</v>
      </c>
      <c r="M19" s="4" t="s">
        <v>302</v>
      </c>
    </row>
    <row r="20" spans="1:13" x14ac:dyDescent="0.3">
      <c r="A20" s="43"/>
      <c r="B20" s="6" t="s">
        <v>149</v>
      </c>
      <c r="C20" s="6" t="s">
        <v>304</v>
      </c>
      <c r="D20" s="13" t="s">
        <v>148</v>
      </c>
      <c r="E20" s="13" t="s">
        <v>93</v>
      </c>
      <c r="F20" s="13" t="s">
        <v>147</v>
      </c>
      <c r="G20" s="13">
        <f>1/10</f>
        <v>0.1</v>
      </c>
      <c r="H20" s="30">
        <v>0.52</v>
      </c>
      <c r="I20" s="13" t="s">
        <v>6</v>
      </c>
      <c r="J20" s="30">
        <v>1</v>
      </c>
      <c r="K20" s="30">
        <f t="shared" si="0"/>
        <v>5.2000000000000005E-2</v>
      </c>
      <c r="L20" s="32" t="s">
        <v>146</v>
      </c>
      <c r="M20" s="4" t="s">
        <v>302</v>
      </c>
    </row>
    <row r="21" spans="1:13" x14ac:dyDescent="0.3">
      <c r="A21" s="43"/>
      <c r="B21" s="6" t="s">
        <v>161</v>
      </c>
      <c r="C21" s="6" t="s">
        <v>305</v>
      </c>
      <c r="D21" s="13" t="s">
        <v>148</v>
      </c>
      <c r="E21" s="13" t="s">
        <v>93</v>
      </c>
      <c r="F21" s="13" t="s">
        <v>160</v>
      </c>
      <c r="G21" s="13">
        <f>1/100</f>
        <v>0.01</v>
      </c>
      <c r="H21" s="30">
        <v>2.9</v>
      </c>
      <c r="I21" s="13" t="s">
        <v>6</v>
      </c>
      <c r="J21" s="30">
        <v>1</v>
      </c>
      <c r="K21" s="30">
        <f t="shared" si="0"/>
        <v>2.8999999999999998E-2</v>
      </c>
      <c r="L21" s="32" t="s">
        <v>158</v>
      </c>
      <c r="M21" s="4" t="s">
        <v>302</v>
      </c>
    </row>
    <row r="22" spans="1:13" x14ac:dyDescent="0.3">
      <c r="A22" s="43"/>
      <c r="B22" s="6" t="s">
        <v>190</v>
      </c>
      <c r="C22" s="6" t="s">
        <v>94</v>
      </c>
      <c r="D22" s="13" t="s">
        <v>189</v>
      </c>
      <c r="E22" s="13" t="s">
        <v>21</v>
      </c>
      <c r="F22" s="13" t="s">
        <v>188</v>
      </c>
      <c r="G22" s="13">
        <v>0.05</v>
      </c>
      <c r="H22" s="30">
        <v>6.2</v>
      </c>
      <c r="I22" s="13" t="s">
        <v>6</v>
      </c>
      <c r="J22" s="30">
        <v>1</v>
      </c>
      <c r="K22" s="30"/>
      <c r="L22" s="31" t="s">
        <v>187</v>
      </c>
      <c r="M22" s="4" t="s">
        <v>302</v>
      </c>
    </row>
    <row r="23" spans="1:13" x14ac:dyDescent="0.3">
      <c r="A23" s="42" t="s">
        <v>28</v>
      </c>
      <c r="B23" s="10" t="s">
        <v>20</v>
      </c>
      <c r="C23" s="10" t="s">
        <v>99</v>
      </c>
      <c r="D23" s="11" t="s">
        <v>21</v>
      </c>
      <c r="E23" s="11" t="s">
        <v>21</v>
      </c>
      <c r="F23" s="11">
        <v>104329</v>
      </c>
      <c r="G23" s="11">
        <f>1/10</f>
        <v>0.1</v>
      </c>
      <c r="H23" s="34">
        <v>0.5</v>
      </c>
      <c r="I23" s="11" t="s">
        <v>6</v>
      </c>
      <c r="J23" s="34">
        <v>1</v>
      </c>
      <c r="K23" s="34">
        <f t="shared" ref="K23:K31" si="1">G23*H23*J23</f>
        <v>0.05</v>
      </c>
      <c r="L23" s="37" t="s">
        <v>22</v>
      </c>
      <c r="M23" s="4" t="s">
        <v>302</v>
      </c>
    </row>
    <row r="24" spans="1:13" x14ac:dyDescent="0.3">
      <c r="A24" s="42"/>
      <c r="B24" s="10" t="s">
        <v>181</v>
      </c>
      <c r="C24" s="11" t="s">
        <v>104</v>
      </c>
      <c r="D24" s="11" t="s">
        <v>170</v>
      </c>
      <c r="E24" s="11" t="s">
        <v>49</v>
      </c>
      <c r="F24" s="11" t="s">
        <v>33</v>
      </c>
      <c r="G24" s="11">
        <f>1/100</f>
        <v>0.01</v>
      </c>
      <c r="H24" s="34">
        <v>13.15</v>
      </c>
      <c r="I24" s="11" t="s">
        <v>6</v>
      </c>
      <c r="J24" s="34">
        <v>1</v>
      </c>
      <c r="K24" s="34">
        <f t="shared" si="1"/>
        <v>0.13150000000000001</v>
      </c>
      <c r="L24" s="37" t="s">
        <v>32</v>
      </c>
      <c r="M24" s="4" t="s">
        <v>302</v>
      </c>
    </row>
    <row r="25" spans="1:13" ht="28.8" x14ac:dyDescent="0.3">
      <c r="A25" s="42"/>
      <c r="B25" s="10" t="s">
        <v>167</v>
      </c>
      <c r="C25" s="10" t="s">
        <v>105</v>
      </c>
      <c r="D25" s="11" t="s">
        <v>111</v>
      </c>
      <c r="E25" s="11" t="s">
        <v>93</v>
      </c>
      <c r="F25" s="11" t="s">
        <v>169</v>
      </c>
      <c r="G25" s="11">
        <v>6</v>
      </c>
      <c r="H25" s="34">
        <f>4.67/10</f>
        <v>0.46699999999999997</v>
      </c>
      <c r="I25" s="11" t="s">
        <v>6</v>
      </c>
      <c r="J25" s="34">
        <v>1</v>
      </c>
      <c r="K25" s="34">
        <f t="shared" si="1"/>
        <v>2.8019999999999996</v>
      </c>
      <c r="L25" s="37" t="s">
        <v>166</v>
      </c>
      <c r="M25" s="4" t="s">
        <v>302</v>
      </c>
    </row>
    <row r="26" spans="1:13" x14ac:dyDescent="0.3">
      <c r="A26" s="42"/>
      <c r="B26" s="10" t="s">
        <v>290</v>
      </c>
      <c r="C26" s="10" t="s">
        <v>34</v>
      </c>
      <c r="D26" s="11" t="s">
        <v>287</v>
      </c>
      <c r="E26" s="11" t="s">
        <v>49</v>
      </c>
      <c r="F26" s="11" t="s">
        <v>288</v>
      </c>
      <c r="G26" s="11">
        <f>6/100</f>
        <v>0.06</v>
      </c>
      <c r="H26" s="34">
        <v>13.72</v>
      </c>
      <c r="I26" s="11" t="s">
        <v>6</v>
      </c>
      <c r="J26" s="34">
        <v>1</v>
      </c>
      <c r="K26" s="34">
        <f t="shared" si="1"/>
        <v>0.82320000000000004</v>
      </c>
      <c r="L26" s="37" t="s">
        <v>289</v>
      </c>
      <c r="M26" s="4" t="s">
        <v>302</v>
      </c>
    </row>
    <row r="27" spans="1:13" ht="28.8" x14ac:dyDescent="0.3">
      <c r="A27" s="42"/>
      <c r="B27" s="10" t="s">
        <v>172</v>
      </c>
      <c r="C27" s="10" t="s">
        <v>98</v>
      </c>
      <c r="D27" s="11" t="s">
        <v>173</v>
      </c>
      <c r="E27" s="11" t="s">
        <v>93</v>
      </c>
      <c r="F27" s="11" t="s">
        <v>174</v>
      </c>
      <c r="G27" s="11">
        <f>4/100</f>
        <v>0.04</v>
      </c>
      <c r="H27" s="34">
        <v>98</v>
      </c>
      <c r="I27" s="11" t="s">
        <v>6</v>
      </c>
      <c r="J27" s="34">
        <v>1</v>
      </c>
      <c r="K27" s="34">
        <f t="shared" si="1"/>
        <v>3.92</v>
      </c>
      <c r="L27" s="37" t="s">
        <v>171</v>
      </c>
      <c r="M27" s="4" t="s">
        <v>302</v>
      </c>
    </row>
    <row r="28" spans="1:13" x14ac:dyDescent="0.3">
      <c r="A28" s="42"/>
      <c r="B28" s="10" t="s">
        <v>180</v>
      </c>
      <c r="C28" s="10" t="s">
        <v>43</v>
      </c>
      <c r="D28" s="11" t="s">
        <v>8</v>
      </c>
      <c r="E28" s="11" t="s">
        <v>93</v>
      </c>
      <c r="F28" s="10" t="s">
        <v>179</v>
      </c>
      <c r="G28" s="11">
        <f>4/250</f>
        <v>1.6E-2</v>
      </c>
      <c r="H28" s="34">
        <v>6.84</v>
      </c>
      <c r="I28" s="11" t="s">
        <v>6</v>
      </c>
      <c r="J28" s="34">
        <v>1</v>
      </c>
      <c r="K28" s="34">
        <f t="shared" si="1"/>
        <v>0.10944</v>
      </c>
      <c r="L28" s="37" t="s">
        <v>178</v>
      </c>
      <c r="M28" s="4" t="s">
        <v>302</v>
      </c>
    </row>
    <row r="29" spans="1:13" x14ac:dyDescent="0.3">
      <c r="A29" s="42"/>
      <c r="B29" s="10" t="s">
        <v>192</v>
      </c>
      <c r="C29" s="11" t="s">
        <v>106</v>
      </c>
      <c r="D29" s="11" t="s">
        <v>8</v>
      </c>
      <c r="E29" s="11" t="s">
        <v>93</v>
      </c>
      <c r="F29" s="11" t="s">
        <v>191</v>
      </c>
      <c r="G29" s="11">
        <f>2/50</f>
        <v>0.04</v>
      </c>
      <c r="H29" s="34">
        <v>7.64</v>
      </c>
      <c r="I29" s="11" t="s">
        <v>6</v>
      </c>
      <c r="J29" s="34">
        <v>1</v>
      </c>
      <c r="K29" s="34">
        <f t="shared" si="1"/>
        <v>0.30559999999999998</v>
      </c>
      <c r="L29" s="37" t="s">
        <v>193</v>
      </c>
      <c r="M29" s="4" t="s">
        <v>302</v>
      </c>
    </row>
    <row r="30" spans="1:13" x14ac:dyDescent="0.3">
      <c r="A30" s="42"/>
      <c r="B30" s="10" t="s">
        <v>197</v>
      </c>
      <c r="C30" s="11" t="s">
        <v>195</v>
      </c>
      <c r="D30" s="11" t="s">
        <v>8</v>
      </c>
      <c r="E30" s="11" t="s">
        <v>93</v>
      </c>
      <c r="F30" s="10" t="s">
        <v>194</v>
      </c>
      <c r="G30" s="11">
        <f>2/50</f>
        <v>0.04</v>
      </c>
      <c r="H30" s="34">
        <v>5.0599999999999996</v>
      </c>
      <c r="I30" s="11" t="s">
        <v>6</v>
      </c>
      <c r="J30" s="34">
        <v>1</v>
      </c>
      <c r="K30" s="34">
        <f t="shared" si="1"/>
        <v>0.2024</v>
      </c>
      <c r="L30" s="37" t="s">
        <v>196</v>
      </c>
      <c r="M30" s="4" t="s">
        <v>302</v>
      </c>
    </row>
    <row r="31" spans="1:13" x14ac:dyDescent="0.3">
      <c r="A31" s="42"/>
      <c r="B31" s="10" t="s">
        <v>201</v>
      </c>
      <c r="C31" s="10" t="s">
        <v>97</v>
      </c>
      <c r="D31" s="11" t="s">
        <v>199</v>
      </c>
      <c r="E31" s="11" t="s">
        <v>49</v>
      </c>
      <c r="F31" s="11" t="s">
        <v>200</v>
      </c>
      <c r="G31" s="11">
        <f>2/200</f>
        <v>0.01</v>
      </c>
      <c r="H31" s="34">
        <v>10.63</v>
      </c>
      <c r="I31" s="11" t="s">
        <v>6</v>
      </c>
      <c r="J31" s="34">
        <v>1</v>
      </c>
      <c r="K31" s="34">
        <f t="shared" si="1"/>
        <v>0.10630000000000001</v>
      </c>
      <c r="L31" s="37" t="s">
        <v>198</v>
      </c>
      <c r="M31" s="4" t="s">
        <v>302</v>
      </c>
    </row>
    <row r="32" spans="1:13" x14ac:dyDescent="0.3">
      <c r="A32" s="42"/>
      <c r="B32" s="10" t="s">
        <v>63</v>
      </c>
      <c r="C32" s="10" t="s">
        <v>66</v>
      </c>
      <c r="D32" s="11" t="s">
        <v>67</v>
      </c>
      <c r="E32" s="11" t="s">
        <v>93</v>
      </c>
      <c r="F32" s="11" t="s">
        <v>68</v>
      </c>
      <c r="G32" s="11">
        <f>3/(5*100)</f>
        <v>6.0000000000000001E-3</v>
      </c>
      <c r="H32" s="34">
        <v>3.46</v>
      </c>
      <c r="I32" s="11" t="s">
        <v>6</v>
      </c>
      <c r="J32" s="34">
        <v>1</v>
      </c>
      <c r="K32" s="34">
        <f t="shared" ref="K32:K51" si="2">G32*H32</f>
        <v>2.0760000000000001E-2</v>
      </c>
      <c r="L32" s="36" t="s">
        <v>69</v>
      </c>
      <c r="M32" s="4" t="s">
        <v>302</v>
      </c>
    </row>
    <row r="33" spans="1:13" x14ac:dyDescent="0.3">
      <c r="A33" s="42"/>
      <c r="B33" s="10" t="s">
        <v>65</v>
      </c>
      <c r="C33" s="10" t="s">
        <v>64</v>
      </c>
      <c r="D33" s="11" t="s">
        <v>67</v>
      </c>
      <c r="E33" s="11" t="s">
        <v>93</v>
      </c>
      <c r="F33" s="10" t="s">
        <v>89</v>
      </c>
      <c r="G33" s="11">
        <f>3/(5*100)</f>
        <v>6.0000000000000001E-3</v>
      </c>
      <c r="H33" s="34">
        <v>4.79</v>
      </c>
      <c r="I33" s="11" t="s">
        <v>6</v>
      </c>
      <c r="J33" s="34">
        <v>1</v>
      </c>
      <c r="K33" s="34">
        <f t="shared" si="2"/>
        <v>2.8740000000000002E-2</v>
      </c>
      <c r="L33" s="35" t="s">
        <v>90</v>
      </c>
      <c r="M33" s="4" t="s">
        <v>302</v>
      </c>
    </row>
    <row r="34" spans="1:13" x14ac:dyDescent="0.3">
      <c r="A34" s="43" t="s">
        <v>29</v>
      </c>
      <c r="B34" s="6" t="s">
        <v>153</v>
      </c>
      <c r="C34" s="6" t="s">
        <v>103</v>
      </c>
      <c r="D34" s="13" t="s">
        <v>152</v>
      </c>
      <c r="E34" s="13" t="s">
        <v>152</v>
      </c>
      <c r="F34" s="13" t="s">
        <v>151</v>
      </c>
      <c r="G34" s="13">
        <f>1/100</f>
        <v>0.01</v>
      </c>
      <c r="H34" s="30">
        <v>2</v>
      </c>
      <c r="I34" s="13" t="s">
        <v>6</v>
      </c>
      <c r="J34" s="30">
        <v>1</v>
      </c>
      <c r="K34" s="30">
        <f t="shared" si="2"/>
        <v>0.02</v>
      </c>
      <c r="L34" s="32" t="s">
        <v>150</v>
      </c>
      <c r="M34" s="4" t="s">
        <v>302</v>
      </c>
    </row>
    <row r="35" spans="1:13" x14ac:dyDescent="0.3">
      <c r="A35" s="43"/>
      <c r="B35" s="6" t="s">
        <v>115</v>
      </c>
      <c r="C35" s="6" t="s">
        <v>110</v>
      </c>
      <c r="D35" s="13" t="s">
        <v>111</v>
      </c>
      <c r="E35" s="13" t="s">
        <v>49</v>
      </c>
      <c r="F35" s="13" t="s">
        <v>113</v>
      </c>
      <c r="G35" s="13">
        <v>2</v>
      </c>
      <c r="H35" s="30">
        <v>0.14799999999999999</v>
      </c>
      <c r="I35" s="13" t="s">
        <v>6</v>
      </c>
      <c r="J35" s="30">
        <v>1</v>
      </c>
      <c r="K35" s="30">
        <f t="shared" si="2"/>
        <v>0.29599999999999999</v>
      </c>
      <c r="L35" s="32" t="s">
        <v>114</v>
      </c>
      <c r="M35" s="4" t="s">
        <v>302</v>
      </c>
    </row>
    <row r="36" spans="1:13" ht="28.8" x14ac:dyDescent="0.3">
      <c r="A36" s="43"/>
      <c r="B36" s="6" t="s">
        <v>124</v>
      </c>
      <c r="C36" s="6" t="s">
        <v>122</v>
      </c>
      <c r="D36" s="13" t="s">
        <v>80</v>
      </c>
      <c r="E36" s="13" t="s">
        <v>49</v>
      </c>
      <c r="F36" s="13" t="s">
        <v>125</v>
      </c>
      <c r="G36" s="13">
        <f>2/100</f>
        <v>0.02</v>
      </c>
      <c r="H36" s="30">
        <v>21</v>
      </c>
      <c r="I36" s="13" t="s">
        <v>6</v>
      </c>
      <c r="J36" s="30">
        <v>1</v>
      </c>
      <c r="K36" s="30">
        <f t="shared" si="2"/>
        <v>0.42</v>
      </c>
      <c r="L36" s="33" t="s">
        <v>123</v>
      </c>
      <c r="M36" s="4" t="s">
        <v>302</v>
      </c>
    </row>
    <row r="37" spans="1:13" ht="28.8" x14ac:dyDescent="0.3">
      <c r="A37" s="43"/>
      <c r="B37" s="6" t="s">
        <v>177</v>
      </c>
      <c r="C37" s="6" t="s">
        <v>7</v>
      </c>
      <c r="D37" s="13" t="s">
        <v>8</v>
      </c>
      <c r="E37" s="13" t="s">
        <v>93</v>
      </c>
      <c r="F37" s="13" t="s">
        <v>175</v>
      </c>
      <c r="G37" s="13">
        <v>1</v>
      </c>
      <c r="H37" s="30">
        <v>3.6</v>
      </c>
      <c r="I37" s="13" t="s">
        <v>6</v>
      </c>
      <c r="J37" s="30">
        <v>1</v>
      </c>
      <c r="K37" s="30">
        <f t="shared" si="2"/>
        <v>3.6</v>
      </c>
      <c r="L37" s="33" t="s">
        <v>176</v>
      </c>
      <c r="M37" s="4" t="s">
        <v>302</v>
      </c>
    </row>
    <row r="38" spans="1:13" x14ac:dyDescent="0.3">
      <c r="A38" s="43"/>
      <c r="B38" s="6" t="s">
        <v>298</v>
      </c>
      <c r="C38" s="6" t="s">
        <v>297</v>
      </c>
      <c r="D38" s="13" t="s">
        <v>299</v>
      </c>
      <c r="E38" s="13" t="s">
        <v>49</v>
      </c>
      <c r="F38" s="13" t="s">
        <v>300</v>
      </c>
      <c r="G38" s="13">
        <v>1</v>
      </c>
      <c r="H38" s="30">
        <v>4.67</v>
      </c>
      <c r="I38" s="13" t="s">
        <v>6</v>
      </c>
      <c r="J38" s="30">
        <v>1</v>
      </c>
      <c r="K38" s="30">
        <f t="shared" si="2"/>
        <v>4.67</v>
      </c>
      <c r="L38" s="32" t="s">
        <v>301</v>
      </c>
      <c r="M38" s="4" t="s">
        <v>302</v>
      </c>
    </row>
    <row r="39" spans="1:13" x14ac:dyDescent="0.3">
      <c r="A39" s="43"/>
      <c r="B39" s="6" t="s">
        <v>204</v>
      </c>
      <c r="C39" s="6" t="s">
        <v>296</v>
      </c>
      <c r="D39" s="13" t="s">
        <v>205</v>
      </c>
      <c r="E39" s="13" t="s">
        <v>49</v>
      </c>
      <c r="F39" s="13" t="s">
        <v>206</v>
      </c>
      <c r="G39" s="13">
        <v>0</v>
      </c>
      <c r="H39" s="30">
        <v>29.38</v>
      </c>
      <c r="I39" s="13" t="s">
        <v>6</v>
      </c>
      <c r="J39" s="30">
        <v>1</v>
      </c>
      <c r="K39" s="30">
        <f>G39*H39</f>
        <v>0</v>
      </c>
      <c r="L39" s="32" t="s">
        <v>207</v>
      </c>
      <c r="M39" s="4" t="s">
        <v>302</v>
      </c>
    </row>
    <row r="40" spans="1:13" ht="28.8" x14ac:dyDescent="0.3">
      <c r="A40" s="43"/>
      <c r="B40" s="6" t="s">
        <v>257</v>
      </c>
      <c r="C40" s="13" t="s">
        <v>256</v>
      </c>
      <c r="D40" s="13" t="s">
        <v>258</v>
      </c>
      <c r="E40" s="13" t="s">
        <v>93</v>
      </c>
      <c r="F40" s="13" t="s">
        <v>259</v>
      </c>
      <c r="G40" s="13">
        <v>0</v>
      </c>
      <c r="H40" s="13">
        <v>193.15</v>
      </c>
      <c r="I40" s="13" t="s">
        <v>6</v>
      </c>
      <c r="J40" s="30">
        <v>1</v>
      </c>
      <c r="K40" s="30">
        <f>G40*H40</f>
        <v>0</v>
      </c>
      <c r="L40" s="13" t="s">
        <v>260</v>
      </c>
      <c r="M40" s="4" t="s">
        <v>302</v>
      </c>
    </row>
    <row r="41" spans="1:13" x14ac:dyDescent="0.3">
      <c r="A41" s="47" t="s">
        <v>86</v>
      </c>
      <c r="B41" s="10" t="s">
        <v>210</v>
      </c>
      <c r="C41" s="10" t="s">
        <v>39</v>
      </c>
      <c r="D41" s="11" t="s">
        <v>47</v>
      </c>
      <c r="E41" s="11" t="s">
        <v>93</v>
      </c>
      <c r="F41" s="11" t="s">
        <v>209</v>
      </c>
      <c r="G41" s="11">
        <v>0</v>
      </c>
      <c r="H41" s="34">
        <v>4650</v>
      </c>
      <c r="I41" s="11" t="s">
        <v>6</v>
      </c>
      <c r="J41" s="34">
        <v>1</v>
      </c>
      <c r="K41" s="34">
        <f t="shared" si="2"/>
        <v>0</v>
      </c>
      <c r="L41" s="37" t="s">
        <v>208</v>
      </c>
      <c r="M41" s="12" t="s">
        <v>302</v>
      </c>
    </row>
    <row r="42" spans="1:13" x14ac:dyDescent="0.3">
      <c r="A42" s="48"/>
      <c r="B42" s="10" t="s">
        <v>145</v>
      </c>
      <c r="C42" s="11" t="s">
        <v>84</v>
      </c>
      <c r="D42" s="11" t="s">
        <v>144</v>
      </c>
      <c r="E42" s="11" t="s">
        <v>143</v>
      </c>
      <c r="F42" s="11">
        <v>3583323</v>
      </c>
      <c r="G42" s="11">
        <v>0</v>
      </c>
      <c r="H42" s="34">
        <v>3.23</v>
      </c>
      <c r="I42" s="11" t="s">
        <v>6</v>
      </c>
      <c r="J42" s="34">
        <v>1</v>
      </c>
      <c r="K42" s="34">
        <f t="shared" si="2"/>
        <v>0</v>
      </c>
      <c r="L42" s="37" t="s">
        <v>142</v>
      </c>
      <c r="M42" s="12" t="s">
        <v>302</v>
      </c>
    </row>
    <row r="43" spans="1:13" x14ac:dyDescent="0.3">
      <c r="A43" s="48"/>
      <c r="B43" s="10" t="s">
        <v>213</v>
      </c>
      <c r="C43" s="10" t="s">
        <v>109</v>
      </c>
      <c r="D43" s="11" t="s">
        <v>212</v>
      </c>
      <c r="E43" s="11" t="s">
        <v>93</v>
      </c>
      <c r="F43" s="11" t="s">
        <v>211</v>
      </c>
      <c r="G43" s="11">
        <v>0</v>
      </c>
      <c r="H43" s="34">
        <v>4.76</v>
      </c>
      <c r="I43" s="11" t="s">
        <v>6</v>
      </c>
      <c r="J43" s="34">
        <v>1</v>
      </c>
      <c r="K43" s="34">
        <f t="shared" si="2"/>
        <v>0</v>
      </c>
      <c r="L43" s="35" t="s">
        <v>214</v>
      </c>
      <c r="M43" s="4" t="s">
        <v>302</v>
      </c>
    </row>
    <row r="44" spans="1:13" x14ac:dyDescent="0.3">
      <c r="A44" s="48"/>
      <c r="B44" s="10" t="s">
        <v>218</v>
      </c>
      <c r="C44" s="10" t="s">
        <v>53</v>
      </c>
      <c r="D44" s="11" t="s">
        <v>215</v>
      </c>
      <c r="E44" s="11" t="s">
        <v>216</v>
      </c>
      <c r="F44" s="11">
        <v>10666182</v>
      </c>
      <c r="G44" s="11">
        <v>0</v>
      </c>
      <c r="H44" s="34">
        <v>68.5</v>
      </c>
      <c r="I44" s="11" t="s">
        <v>6</v>
      </c>
      <c r="J44" s="34">
        <v>1</v>
      </c>
      <c r="K44" s="34">
        <f t="shared" si="2"/>
        <v>0</v>
      </c>
      <c r="L44" s="36" t="s">
        <v>217</v>
      </c>
      <c r="M44" s="4" t="s">
        <v>302</v>
      </c>
    </row>
    <row r="45" spans="1:13" x14ac:dyDescent="0.3">
      <c r="A45" s="48"/>
      <c r="B45" s="10" t="s">
        <v>221</v>
      </c>
      <c r="C45" s="10" t="s">
        <v>88</v>
      </c>
      <c r="D45" s="11" t="s">
        <v>8</v>
      </c>
      <c r="E45" s="11" t="s">
        <v>93</v>
      </c>
      <c r="F45" s="11" t="s">
        <v>219</v>
      </c>
      <c r="G45" s="11">
        <v>0</v>
      </c>
      <c r="H45" s="34">
        <v>15.49</v>
      </c>
      <c r="I45" s="11" t="s">
        <v>6</v>
      </c>
      <c r="J45" s="34">
        <v>1</v>
      </c>
      <c r="K45" s="34">
        <f t="shared" si="2"/>
        <v>0</v>
      </c>
      <c r="L45" s="36" t="s">
        <v>220</v>
      </c>
      <c r="M45" s="4" t="s">
        <v>302</v>
      </c>
    </row>
    <row r="46" spans="1:13" x14ac:dyDescent="0.3">
      <c r="A46" s="48"/>
      <c r="B46" s="10" t="s">
        <v>224</v>
      </c>
      <c r="C46" s="10" t="s">
        <v>83</v>
      </c>
      <c r="D46" s="11" t="s">
        <v>223</v>
      </c>
      <c r="E46" s="11" t="s">
        <v>49</v>
      </c>
      <c r="F46" s="11">
        <v>5118014001</v>
      </c>
      <c r="G46" s="11">
        <v>0</v>
      </c>
      <c r="H46" s="34">
        <v>4.8</v>
      </c>
      <c r="I46" s="11" t="s">
        <v>6</v>
      </c>
      <c r="J46" s="34">
        <v>1</v>
      </c>
      <c r="K46" s="34">
        <f t="shared" si="2"/>
        <v>0</v>
      </c>
      <c r="L46" s="35" t="s">
        <v>222</v>
      </c>
      <c r="M46" s="4" t="s">
        <v>302</v>
      </c>
    </row>
    <row r="47" spans="1:13" x14ac:dyDescent="0.3">
      <c r="A47" s="48"/>
      <c r="B47" s="10" t="s">
        <v>228</v>
      </c>
      <c r="C47" s="10" t="s">
        <v>37</v>
      </c>
      <c r="D47" s="11" t="s">
        <v>226</v>
      </c>
      <c r="E47" s="11" t="s">
        <v>49</v>
      </c>
      <c r="F47" s="11" t="s">
        <v>227</v>
      </c>
      <c r="G47" s="11">
        <v>0</v>
      </c>
      <c r="H47" s="34">
        <v>5.6</v>
      </c>
      <c r="I47" s="11" t="s">
        <v>6</v>
      </c>
      <c r="J47" s="34">
        <v>1</v>
      </c>
      <c r="K47" s="34">
        <f t="shared" si="2"/>
        <v>0</v>
      </c>
      <c r="L47" s="35" t="s">
        <v>225</v>
      </c>
      <c r="M47" s="4" t="s">
        <v>302</v>
      </c>
    </row>
    <row r="48" spans="1:13" x14ac:dyDescent="0.3">
      <c r="A48" s="48"/>
      <c r="B48" s="10" t="s">
        <v>231</v>
      </c>
      <c r="C48" s="10" t="s">
        <v>108</v>
      </c>
      <c r="D48" s="11" t="s">
        <v>226</v>
      </c>
      <c r="E48" s="11" t="s">
        <v>49</v>
      </c>
      <c r="F48" s="11" t="s">
        <v>230</v>
      </c>
      <c r="G48" s="11">
        <v>0</v>
      </c>
      <c r="H48" s="34">
        <v>2.58</v>
      </c>
      <c r="I48" s="11" t="s">
        <v>6</v>
      </c>
      <c r="J48" s="34">
        <v>1</v>
      </c>
      <c r="K48" s="34">
        <f t="shared" si="2"/>
        <v>0</v>
      </c>
      <c r="L48" s="35" t="s">
        <v>229</v>
      </c>
      <c r="M48" s="4" t="s">
        <v>302</v>
      </c>
    </row>
    <row r="49" spans="1:13" ht="28.8" x14ac:dyDescent="0.3">
      <c r="A49" s="48"/>
      <c r="B49" s="10" t="s">
        <v>78</v>
      </c>
      <c r="C49" s="10" t="s">
        <v>36</v>
      </c>
      <c r="D49" s="11" t="s">
        <v>80</v>
      </c>
      <c r="E49" s="11" t="s">
        <v>49</v>
      </c>
      <c r="F49" s="11" t="s">
        <v>81</v>
      </c>
      <c r="G49" s="11">
        <v>0</v>
      </c>
      <c r="H49" s="34">
        <v>43.33</v>
      </c>
      <c r="I49" s="11" t="s">
        <v>6</v>
      </c>
      <c r="J49" s="34">
        <v>1</v>
      </c>
      <c r="K49" s="34">
        <f t="shared" si="2"/>
        <v>0</v>
      </c>
      <c r="L49" s="35" t="s">
        <v>82</v>
      </c>
      <c r="M49" s="4" t="s">
        <v>302</v>
      </c>
    </row>
    <row r="50" spans="1:13" x14ac:dyDescent="0.3">
      <c r="A50" s="48"/>
      <c r="B50" s="10" t="s">
        <v>186</v>
      </c>
      <c r="C50" s="10" t="s">
        <v>94</v>
      </c>
      <c r="D50" s="11" t="s">
        <v>184</v>
      </c>
      <c r="E50" s="11" t="s">
        <v>49</v>
      </c>
      <c r="F50" s="11" t="s">
        <v>183</v>
      </c>
      <c r="G50" s="11">
        <v>0</v>
      </c>
      <c r="H50" s="34">
        <v>7.8</v>
      </c>
      <c r="I50" s="11" t="s">
        <v>6</v>
      </c>
      <c r="J50" s="34">
        <v>1</v>
      </c>
      <c r="K50" s="34">
        <f t="shared" si="2"/>
        <v>0</v>
      </c>
      <c r="L50" s="35" t="s">
        <v>182</v>
      </c>
      <c r="M50" s="4" t="s">
        <v>302</v>
      </c>
    </row>
    <row r="51" spans="1:13" x14ac:dyDescent="0.3">
      <c r="A51" s="48"/>
      <c r="B51" s="10" t="s">
        <v>235</v>
      </c>
      <c r="C51" s="10" t="s">
        <v>38</v>
      </c>
      <c r="D51" s="11" t="s">
        <v>233</v>
      </c>
      <c r="E51" s="11" t="s">
        <v>49</v>
      </c>
      <c r="F51" s="11" t="s">
        <v>234</v>
      </c>
      <c r="G51" s="11">
        <v>0</v>
      </c>
      <c r="H51" s="34">
        <v>456</v>
      </c>
      <c r="I51" s="11" t="s">
        <v>6</v>
      </c>
      <c r="J51" s="34">
        <v>1</v>
      </c>
      <c r="K51" s="34">
        <f t="shared" si="2"/>
        <v>0</v>
      </c>
      <c r="L51" s="35" t="s">
        <v>232</v>
      </c>
      <c r="M51" s="4" t="s">
        <v>302</v>
      </c>
    </row>
    <row r="52" spans="1:13" x14ac:dyDescent="0.3">
      <c r="A52" s="48"/>
      <c r="B52" s="10" t="s">
        <v>243</v>
      </c>
      <c r="C52" s="10" t="s">
        <v>240</v>
      </c>
      <c r="D52" s="11" t="s">
        <v>80</v>
      </c>
      <c r="E52" s="11" t="s">
        <v>49</v>
      </c>
      <c r="F52" s="11" t="s">
        <v>242</v>
      </c>
      <c r="G52" s="11">
        <v>0</v>
      </c>
      <c r="H52" s="34">
        <v>17.12</v>
      </c>
      <c r="I52" s="11" t="s">
        <v>6</v>
      </c>
      <c r="J52" s="34">
        <v>1</v>
      </c>
      <c r="K52" s="34">
        <v>0</v>
      </c>
      <c r="L52" s="36" t="s">
        <v>241</v>
      </c>
      <c r="M52" s="4" t="s">
        <v>302</v>
      </c>
    </row>
    <row r="53" spans="1:13" x14ac:dyDescent="0.3">
      <c r="A53" s="48"/>
      <c r="B53" s="10" t="s">
        <v>271</v>
      </c>
      <c r="C53" s="10" t="s">
        <v>244</v>
      </c>
      <c r="D53" s="11" t="s">
        <v>245</v>
      </c>
      <c r="E53" s="11" t="s">
        <v>49</v>
      </c>
      <c r="F53" s="11">
        <v>430024</v>
      </c>
      <c r="G53" s="11">
        <v>0</v>
      </c>
      <c r="H53" s="34">
        <v>11.56</v>
      </c>
      <c r="I53" s="11" t="s">
        <v>6</v>
      </c>
      <c r="J53" s="34">
        <v>1</v>
      </c>
      <c r="K53" s="34">
        <f t="shared" ref="K53:K59" si="3">G53*H53</f>
        <v>0</v>
      </c>
      <c r="L53" s="37" t="s">
        <v>270</v>
      </c>
      <c r="M53" s="4" t="s">
        <v>302</v>
      </c>
    </row>
    <row r="54" spans="1:13" x14ac:dyDescent="0.3">
      <c r="A54" s="48"/>
      <c r="B54" s="10" t="s">
        <v>236</v>
      </c>
      <c r="C54" s="10" t="s">
        <v>40</v>
      </c>
      <c r="D54" s="11" t="s">
        <v>237</v>
      </c>
      <c r="E54" s="11" t="s">
        <v>49</v>
      </c>
      <c r="F54" s="11" t="s">
        <v>238</v>
      </c>
      <c r="G54" s="11">
        <v>0</v>
      </c>
      <c r="H54" s="34">
        <v>47.65</v>
      </c>
      <c r="I54" s="11" t="s">
        <v>6</v>
      </c>
      <c r="J54" s="34">
        <v>1</v>
      </c>
      <c r="K54" s="34">
        <f t="shared" si="3"/>
        <v>0</v>
      </c>
      <c r="L54" s="35" t="s">
        <v>239</v>
      </c>
      <c r="M54" s="4" t="s">
        <v>302</v>
      </c>
    </row>
    <row r="55" spans="1:13" x14ac:dyDescent="0.3">
      <c r="A55" s="48"/>
      <c r="B55" s="10" t="s">
        <v>249</v>
      </c>
      <c r="C55" s="10" t="s">
        <v>85</v>
      </c>
      <c r="D55" s="11" t="s">
        <v>226</v>
      </c>
      <c r="E55" s="11" t="s">
        <v>49</v>
      </c>
      <c r="F55" s="11" t="s">
        <v>248</v>
      </c>
      <c r="G55" s="11">
        <v>0</v>
      </c>
      <c r="H55" s="34">
        <v>4.45</v>
      </c>
      <c r="I55" s="11" t="s">
        <v>6</v>
      </c>
      <c r="J55" s="34">
        <v>1</v>
      </c>
      <c r="K55" s="34">
        <f t="shared" si="3"/>
        <v>0</v>
      </c>
      <c r="L55" s="11" t="s">
        <v>247</v>
      </c>
      <c r="M55" s="4" t="s">
        <v>302</v>
      </c>
    </row>
    <row r="56" spans="1:13" x14ac:dyDescent="0.3">
      <c r="A56" s="48"/>
      <c r="B56" s="10" t="s">
        <v>274</v>
      </c>
      <c r="C56" s="10" t="s">
        <v>87</v>
      </c>
      <c r="D56" s="11" t="s">
        <v>226</v>
      </c>
      <c r="E56" s="11" t="s">
        <v>49</v>
      </c>
      <c r="F56" s="11" t="s">
        <v>272</v>
      </c>
      <c r="G56" s="11">
        <v>0</v>
      </c>
      <c r="H56" s="34">
        <v>5.94</v>
      </c>
      <c r="I56" s="11" t="s">
        <v>6</v>
      </c>
      <c r="J56" s="34">
        <v>1</v>
      </c>
      <c r="K56" s="34">
        <f t="shared" si="3"/>
        <v>0</v>
      </c>
      <c r="L56" s="37" t="s">
        <v>273</v>
      </c>
      <c r="M56" s="4" t="s">
        <v>302</v>
      </c>
    </row>
    <row r="57" spans="1:13" x14ac:dyDescent="0.3">
      <c r="A57" s="48"/>
      <c r="B57" s="10" t="s">
        <v>275</v>
      </c>
      <c r="C57" s="38" t="s">
        <v>276</v>
      </c>
      <c r="D57" s="11" t="s">
        <v>199</v>
      </c>
      <c r="E57" s="11" t="s">
        <v>49</v>
      </c>
      <c r="F57" s="11">
        <v>2843448</v>
      </c>
      <c r="G57" s="11">
        <v>0</v>
      </c>
      <c r="H57" s="34">
        <v>20.97</v>
      </c>
      <c r="I57" s="11" t="s">
        <v>6</v>
      </c>
      <c r="J57" s="34">
        <v>1</v>
      </c>
      <c r="K57" s="34">
        <f t="shared" si="3"/>
        <v>0</v>
      </c>
      <c r="L57" s="37" t="s">
        <v>277</v>
      </c>
      <c r="M57" s="4" t="s">
        <v>302</v>
      </c>
    </row>
    <row r="58" spans="1:13" x14ac:dyDescent="0.3">
      <c r="A58" s="49"/>
      <c r="B58" s="10" t="s">
        <v>279</v>
      </c>
      <c r="C58" s="38" t="s">
        <v>280</v>
      </c>
      <c r="D58" s="11" t="s">
        <v>278</v>
      </c>
      <c r="E58" s="11" t="s">
        <v>49</v>
      </c>
      <c r="F58" s="11">
        <v>73014150</v>
      </c>
      <c r="G58" s="11">
        <v>0</v>
      </c>
      <c r="H58" s="34">
        <v>6.77</v>
      </c>
      <c r="I58" s="11" t="s">
        <v>6</v>
      </c>
      <c r="J58" s="34">
        <v>1</v>
      </c>
      <c r="K58" s="34">
        <f t="shared" si="3"/>
        <v>0</v>
      </c>
      <c r="L58" s="37" t="s">
        <v>281</v>
      </c>
      <c r="M58" s="4" t="s">
        <v>302</v>
      </c>
    </row>
    <row r="59" spans="1:13" x14ac:dyDescent="0.3">
      <c r="A59" s="29"/>
      <c r="B59" s="10" t="s">
        <v>285</v>
      </c>
      <c r="C59" s="38" t="s">
        <v>109</v>
      </c>
      <c r="D59" s="11" t="s">
        <v>284</v>
      </c>
      <c r="E59" s="11" t="s">
        <v>93</v>
      </c>
      <c r="F59" s="11" t="s">
        <v>283</v>
      </c>
      <c r="G59" s="11">
        <v>0</v>
      </c>
      <c r="H59" s="34">
        <v>21.25</v>
      </c>
      <c r="I59" s="11" t="s">
        <v>6</v>
      </c>
      <c r="J59" s="34">
        <v>1</v>
      </c>
      <c r="K59" s="34">
        <f t="shared" si="3"/>
        <v>0</v>
      </c>
      <c r="L59" s="37" t="s">
        <v>286</v>
      </c>
      <c r="M59" s="12" t="s">
        <v>302</v>
      </c>
    </row>
    <row r="60" spans="1:13" x14ac:dyDescent="0.3">
      <c r="A60" s="16" t="s">
        <v>140</v>
      </c>
      <c r="B60" s="39">
        <f>SUM(K2:K55)</f>
        <v>118.22678966666665</v>
      </c>
      <c r="C60" s="16"/>
      <c r="D60" s="18"/>
      <c r="E60" s="18"/>
      <c r="F60" s="18"/>
      <c r="G60" s="18"/>
      <c r="H60" s="18"/>
      <c r="I60" s="18"/>
      <c r="J60" s="18"/>
      <c r="K60" s="19"/>
      <c r="L60" s="18"/>
      <c r="M60" s="4" t="s">
        <v>302</v>
      </c>
    </row>
    <row r="61" spans="1:13" x14ac:dyDescent="0.3">
      <c r="M61" s="4" t="s">
        <v>302</v>
      </c>
    </row>
  </sheetData>
  <mergeCells count="6">
    <mergeCell ref="A2:A3"/>
    <mergeCell ref="A4:A14"/>
    <mergeCell ref="A15:A22"/>
    <mergeCell ref="A23:A33"/>
    <mergeCell ref="A34:A40"/>
    <mergeCell ref="A41:A58"/>
  </mergeCells>
  <hyperlinks>
    <hyperlink ref="L6" r:id="rId1" display="https://www.fruugo.co.uk/digital-load-cell-weight-sensor-4-sets-1kg-load-cell-hx711-ad-weighit-amplifier-module-pressure-sen/p-158471165-336116188?language=en&amp;ac=croud&amp;asc=pmax&amp;gclid=CjwKCAjw_uGmBhBREiwAeOfsd2Tte1J7DV2BnS36Kg06w9KA5tCizeWKm5fCU2_G8qSP8UY_3eaP3RoC95IQAvD_BwE" xr:uid="{D9FBBEC3-90F0-484F-B3CA-6DFD3C94BF78}"/>
    <hyperlink ref="L7" r:id="rId2" display="https://www.digikey.co.uk/en/products/detail/adafruit-industries-llc/4540/12323569?utm_adgroup=&amp;utm_source=google&amp;utm_medium=cpc&amp;utm_campaign=PMAX%20Shopping_Product_Higher%20Performing&amp;utm_term=&amp;productid=12323569&amp;gclid=Cj0KCQjwoeemBhCfARIsADR2QCvjQtq8xGB7zNIjsWEW115X1vtfFKRMJCEBZncin5CkRDHvQ6EQkaQaAmG1EALw_wcB" xr:uid="{0E72BAB8-ED2A-41C6-AF76-30F349FAC191}"/>
    <hyperlink ref="L8" r:id="rId3" xr:uid="{6F15E947-FFDD-4B03-AAEB-7451EF81AF2A}"/>
    <hyperlink ref="L53" r:id="rId4" xr:uid="{C1DC1256-B91F-44EC-AD80-CF30544E147C}"/>
    <hyperlink ref="L56" r:id="rId5" display="https://uk.farnell.com/duratool/d03409/weighing-scale-compact-0-01g-500g/dp/3573556?gclid=CjwKCAjwxOymBhAFEiwAnodBLDdi6rUJ0KjttFhMKsMkw4ZxcYMkRQvy5e4TKvMsL7GNv1-HlGXrmxoCBSEQAvD_BwE&amp;mckv=_dc|pcrid||plid||kword||match||slid||product|3573556|pgrid||ptaid||&amp;CMP=KNC-GUK-GEN-SHOPPING-PMAX-PrivateLabel-Test990&amp;gross_price=true" xr:uid="{548CDE4B-3C86-4806-884C-6153826374F6}"/>
    <hyperlink ref="L57" r:id="rId6" display="https://uk.farnell.com/pro-signal/u3-10hub/usb-3-0-hub-10-port/dp/2843448?gclid=Cj0KCQjwrfymBhCTARIsADXTabnUyyCA0Q7m03It5AoFMssxCoh6nXXbdo9R3ZKoI-JBPAR5ywICiBgaAoUjEALw_wcB&amp;mckv=_dc|pcrid||plid||kword||match||slid||product|2843448|pgrid||ptaid||&amp;CMP=KNC-GUK-GEN-SHOPPING-PMAX-PrivateLabel-Test990&amp;gross_price=true" xr:uid="{A3C36D0D-61BC-4D1E-BF5A-D78DEA7ECF0E}"/>
    <hyperlink ref="L58" r:id="rId7" xr:uid="{9ADD696C-E8C0-4A45-B81C-BC9E0CF0F396}"/>
    <hyperlink ref="L59" r:id="rId8" xr:uid="{3287F2C8-E0C5-49A6-93E5-A8CD92602D44}"/>
    <hyperlink ref="L26" r:id="rId9" xr:uid="{C1BB7009-6F5B-41BD-ADF0-6E2971BC6FAF}"/>
    <hyperlink ref="L38" r:id="rId10" display="https://uk.farnell.com/dfrobot/dfr0668/lipo-charger-type-c-board-arduino/dp/3879658?gclid=CjwKCAjwjaWoBhAmEiwAXz8DBXI0e5TJcyaFSBkKk_fuOoZK49yE3yIa8k_mLAieQcC4ELENnK70IhoCfIEQAvD_BwE&amp;mckv=_dc|pcrid||plid||kword||match||slid||product|3879658|pgrid||ptaid|&amp;CMP=KNC-GUK-GEN-SHOPPING-PMAX-Medium_ROAS-Test990&amp;gross_price=true" xr:uid="{AD7CF91C-CEEB-41BA-9E5D-3B5DDE1010FF}"/>
    <hyperlink ref="L18" r:id="rId11" xr:uid="{5D7E28AB-486A-492F-A02B-5C42083E8CF2}"/>
    <hyperlink ref="L17" r:id="rId12" xr:uid="{56A1A618-99B1-4ECA-83AE-D3FAF01D587F}"/>
    <hyperlink ref="L15" r:id="rId13" xr:uid="{47EE0437-B2CA-4A98-A694-E5415EB1E6A2}"/>
    <hyperlink ref="L16" r:id="rId14" xr:uid="{68BC814C-71CF-4584-8DD9-501111831743}"/>
    <hyperlink ref="L12" r:id="rId15" display="https://uk.farnell.com/e-switch/ra1113112r/rocker-switch-spst-black-panel/dp/2830709?gclid=CjwKCAiAv9ucBhBXEiwA6N8nYIH3jP5cV0Jt3GV_Izf0TcOJrfF0iFLuON0JmVTK1x8pazD7WQBReBoCw_8QAvD_BwE&amp;mckv=_dc|pcrid||plid||kword||match||slid||product|2830709|pgrid||ptaid||&amp;CMP=KNC-GUK-GEN-SHOPPING-PMAX-US-DirectShip-Test990&amp;gross_price=true" xr:uid="{9D0A6F3A-2D4B-4438-86FD-2C1AB78A4D65}"/>
    <hyperlink ref="L19" r:id="rId16" xr:uid="{71A6504A-F65E-4E3C-9DD7-A7B3D9AC85E3}"/>
    <hyperlink ref="L9" r:id="rId17" xr:uid="{5838A601-FC09-4F77-9C40-FE31D78F53EE}"/>
    <hyperlink ref="L21" r:id="rId18" xr:uid="{60789C52-D214-4E01-B217-CDC47A50ACBC}"/>
    <hyperlink ref="L20" r:id="rId19" xr:uid="{7A268A8F-D3B9-4C4C-8AA0-AD42EB35C0DC}"/>
    <hyperlink ref="L27" r:id="rId20" xr:uid="{036C8297-169A-4CA1-BE33-2317FC2A1212}"/>
    <hyperlink ref="L23" r:id="rId21" display="https://thepihut.com/products/m2-5-nylon-standoff-packs?variant=41056882327747&amp;currency=GBP&amp;utm_medium=product_sync&amp;utm_source=google&amp;utm_content=sag_organic&amp;utm_campaign=sag_organic&amp;gclid=CjwKCAiAv9ucBhBXEiwA6N8nYMALsTAdnJaEfqRm8rlGHIkw8k_-wddpUlsjskTBw0Nt-zeI4IdqRBoC2hEQAvD_BwE" xr:uid="{E8345350-DA62-4AB7-A55E-26A4C284E0FA}"/>
    <hyperlink ref="L29" r:id="rId22" xr:uid="{05A04A62-F668-4963-AD0A-B47A0BB0FC3C}"/>
    <hyperlink ref="L25" r:id="rId23" xr:uid="{F9C78282-F89B-43E0-AE49-7847A8D16C72}"/>
    <hyperlink ref="L28" r:id="rId24" xr:uid="{046956D2-0DEB-421C-B2C8-BA460A84DFC7}"/>
    <hyperlink ref="L31" r:id="rId25" xr:uid="{13703A9C-1BBC-4730-9F9F-8C9FB012EC7C}"/>
    <hyperlink ref="L30" r:id="rId26" xr:uid="{86AEED5F-220C-4F76-944E-50B99EA0A024}"/>
    <hyperlink ref="L34" r:id="rId27" xr:uid="{4ED5E924-BBE1-494E-AE7E-8A9537EDCC47}"/>
    <hyperlink ref="L24" r:id="rId28" xr:uid="{94B855EA-4F71-4E20-B7FB-5CCF845211D4}"/>
    <hyperlink ref="L35" r:id="rId29" xr:uid="{63A6509C-25FD-4EDC-97EF-003C20B22F52}"/>
    <hyperlink ref="L39" r:id="rId30" xr:uid="{849BE63F-E847-4455-8A9B-D1F308ECA839}"/>
    <hyperlink ref="L14" r:id="rId31" xr:uid="{1E3446C4-AC65-4EB4-B82F-FB47662BC954}"/>
    <hyperlink ref="L41" r:id="rId32" xr:uid="{C50BCF15-CCD3-4DCB-8674-91A2B0632CEB}"/>
    <hyperlink ref="L2" r:id="rId33" xr:uid="{93E6EAC9-2DB7-4E17-9212-6E4D92E0873A}"/>
    <hyperlink ref="L42" r:id="rId34" display="https://www.viking-direct.co.uk/en/uhu-glue-stick-40-g-p-3583323?customerType=consumer&amp;utm_source=google&amp;utm_medium=organic&amp;utm_campaign=surface_google&amp;cm_mmc=Google-_--_--_-3583323&amp;gclsrc=aw.ds&amp;gclid=CjwKCAjw29ymBhAKEiwAHJbJ8uTgx7kKxn6nbHusQiRFdakibM5nQ46gGbbzKmTG5DiIC01LaVmLUBoCaWcQAvD_BwE" xr:uid="{E4A99624-11B5-4775-95A5-686EEF267328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Details</vt:lpstr>
      <vt:lpstr>Condensed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Mueller</dc:creator>
  <cp:lastModifiedBy>Marissa Mueller</cp:lastModifiedBy>
  <dcterms:created xsi:type="dcterms:W3CDTF">2023-08-10T19:51:22Z</dcterms:created>
  <dcterms:modified xsi:type="dcterms:W3CDTF">2025-02-18T08:08:06Z</dcterms:modified>
</cp:coreProperties>
</file>